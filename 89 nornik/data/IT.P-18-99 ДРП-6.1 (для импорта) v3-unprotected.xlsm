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pivotTables/pivotTable1.xml" ContentType="application/vnd.openxmlformats-officedocument.spreadsheetml.pivot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9001" codeName="{320AAD7A-AEEB-3B57-35EE-6C7AAB037B02}"/>
  <workbookPr showInkAnnotation="0" updateLinks="never" codeName="ЭтаКнига" defaultThemeVersion="124226"/>
  <mc:AlternateContent xmlns:mc="http://schemas.openxmlformats.org/markup-compatibility/2006">
    <mc:Choice Requires="x15">
      <x15ac:absPath xmlns:x15ac="http://schemas.microsoft.com/office/spreadsheetml/2010/11/ac" url="D:\iwork.GH\R.projects\89 nornik\data\"/>
    </mc:Choice>
  </mc:AlternateContent>
  <bookViews>
    <workbookView xWindow="0" yWindow="0" windowWidth="20430" windowHeight="7470" tabRatio="893" firstSheet="5" activeTab="11" xr2:uid="{00000000-000D-0000-FFFF-FFFF00000000}"/>
  </bookViews>
  <sheets>
    <sheet name="Аннотация по заполнению" sheetId="68" r:id="rId1"/>
    <sheet name="ДРП - свод" sheetId="30" r:id="rId2"/>
    <sheet name="Бюджет проекта по оплатам" sheetId="64" r:id="rId3"/>
    <sheet name="Работы - НН-ОЦО" sheetId="3" r:id="rId4"/>
    <sheet name="Командировочные расходы" sheetId="19" r:id="rId5"/>
    <sheet name="ФИО" sheetId="49" r:id="rId6"/>
    <sheet name="Стоимость подрядных работ" sheetId="45" r:id="rId7"/>
    <sheet name="Оборудование_ПО" sheetId="36" r:id="rId8"/>
    <sheet name="Свод CapEx-OpEx" sheetId="42" r:id="rId9"/>
    <sheet name="Бюджет_подряд_оплаты" sheetId="67" r:id="rId10"/>
    <sheet name="Для загрузки" sheetId="48" r:id="rId11"/>
    <sheet name="СДЗ" sheetId="69" r:id="rId12"/>
    <sheet name="сбор" sheetId="70" r:id="rId13"/>
    <sheet name="ком" sheetId="71" r:id="rId14"/>
    <sheet name="подряд" sheetId="72" r:id="rId15"/>
    <sheet name="прочие" sheetId="73" r:id="rId16"/>
    <sheet name="админка" sheetId="74" r:id="rId17"/>
    <sheet name="Мэппинг" sheetId="44" state="hidden" r:id="rId18"/>
    <sheet name="справочник сотрудников" sheetId="39" state="hidden" r:id="rId19"/>
    <sheet name="справочник подразделений" sheetId="41" state="hidden" r:id="rId20"/>
    <sheet name="справочник" sheetId="40" state="hidden" r:id="rId21"/>
    <sheet name="Справочник ролей" sheetId="43" state="hidden" r:id="rId22"/>
  </sheets>
  <functionGroups builtInGroupCount="19"/>
  <externalReferences>
    <externalReference r:id="rId23"/>
  </externalReferences>
  <definedNames>
    <definedName name="_Order1" hidden="1">255</definedName>
    <definedName name="_Sort" localSheetId="1" hidden="1">#REF!</definedName>
    <definedName name="_Sort" localSheetId="3" hidden="1">#REF!</definedName>
    <definedName name="_Sort" localSheetId="20" hidden="1">#REF!</definedName>
    <definedName name="_Sort" localSheetId="18" hidden="1">#REF!</definedName>
    <definedName name="_Sort" hidden="1">#REF!</definedName>
    <definedName name="_sort1" localSheetId="20" hidden="1">#REF!</definedName>
    <definedName name="_sort1" localSheetId="18" hidden="1">#REF!</definedName>
    <definedName name="_sort1" hidden="1">#REF!</definedName>
    <definedName name="_sort5" localSheetId="20" hidden="1">#REF!</definedName>
    <definedName name="_sort5" localSheetId="18" hidden="1">#REF!</definedName>
    <definedName name="_sort5" hidden="1">#REF!</definedName>
    <definedName name="_xlnm._FilterDatabase" localSheetId="16" hidden="1">админка!#REF!</definedName>
    <definedName name="_xlnm._FilterDatabase" localSheetId="10" hidden="1">'Для загрузки'!$A$1:$Q$1</definedName>
    <definedName name="_xlnm._FilterDatabase" localSheetId="4" hidden="1">'Командировочные расходы'!$A$4:$BU$4</definedName>
    <definedName name="_xlnm._FilterDatabase" localSheetId="7" hidden="1">Оборудование_ПО!$B$5:$BY$5</definedName>
    <definedName name="_xlnm._FilterDatabase" localSheetId="14" hidden="1">подряд!$A$1:$X$22</definedName>
    <definedName name="_xlnm._FilterDatabase" localSheetId="3" hidden="1">'Работы - НН-ОЦО'!$A$7:$CN$228</definedName>
    <definedName name="_xlnm._FilterDatabase" localSheetId="12" hidden="1">сбор!$A$1:$U$1</definedName>
    <definedName name="_xlnm._FilterDatabase" localSheetId="11" hidden="1">СДЗ!$B$1:$C$1</definedName>
    <definedName name="_xlnm._FilterDatabase" localSheetId="18" hidden="1">'справочник сотрудников'!$A$3:$H$3</definedName>
    <definedName name="_xlnm._FilterDatabase" localSheetId="6" hidden="1">'Стоимость подрядных работ'!$A$7:$CX$116</definedName>
    <definedName name="CG" localSheetId="20" hidden="1">{#N/A,#N/A,FALSE,"1 квартал"}</definedName>
    <definedName name="CG" localSheetId="18" hidden="1">{#N/A,#N/A,FALSE,"1 квартал"}</definedName>
    <definedName name="CG" hidden="1">{#N/A,#N/A,FALSE,"1 квартал"}</definedName>
    <definedName name="COST">'Работы - НН-ОЦО'!$CN$8:$CN$227</definedName>
    <definedName name="DD" localSheetId="20" hidden="1">{#N/A,#N/A,FALSE,"1 квартал"}</definedName>
    <definedName name="DD" localSheetId="18" hidden="1">{#N/A,#N/A,FALSE,"1 квартал"}</definedName>
    <definedName name="DD" hidden="1">{#N/A,#N/A,FALSE,"1 квартал"}</definedName>
    <definedName name="hgnb" localSheetId="20" hidden="1">#REF!</definedName>
    <definedName name="hgnb" localSheetId="18" hidden="1">#REF!</definedName>
    <definedName name="hgnb" hidden="1">#REF!</definedName>
    <definedName name="hgnb1" localSheetId="20" hidden="1">#REF!</definedName>
    <definedName name="hgnb1" localSheetId="18" hidden="1">#REF!</definedName>
    <definedName name="hgnb1" hidden="1">#REF!</definedName>
    <definedName name="hgnb5" localSheetId="20" hidden="1">#REF!</definedName>
    <definedName name="hgnb5" localSheetId="18" hidden="1">#REF!</definedName>
    <definedName name="hgnb5" hidden="1">#REF!</definedName>
    <definedName name="HTML_LineBefore" hidden="1">FALSE</definedName>
    <definedName name="HTML_Name" hidden="1">"Алесенко"</definedName>
    <definedName name="HTML_OBDlg2" hidden="1">TRUE</definedName>
    <definedName name="HTML_OBDlg4" hidden="1">TRUE</definedName>
    <definedName name="HTML_OS" hidden="1">0</definedName>
    <definedName name="HTML_PathFile" hidden="1">"L:\WWW\ECONOMIC\541-rsk.htm"</definedName>
    <definedName name="HTML_Title" hidden="1">"DIAG_RSK"</definedName>
    <definedName name="ID" localSheetId="11" hidden="1">"aebaae82-6966-49b5-8fff-c677b2df3990"</definedName>
    <definedName name="KATEGORY">'Работы - НН-ОЦО'!$H$8:$H$227</definedName>
    <definedName name="LABOUR">'Работы - НН-ОЦО'!$CM$8:$CM$227</definedName>
    <definedName name="SF" localSheetId="20" hidden="1">{#N/A,#N/A,FALSE,"1 квартал"}</definedName>
    <definedName name="SF" localSheetId="18" hidden="1">{#N/A,#N/A,FALSE,"1 квартал"}</definedName>
    <definedName name="SF" hidden="1">{#N/A,#N/A,FALSE,"1 квартал"}</definedName>
    <definedName name="soft2" localSheetId="20" hidden="1">#REF!</definedName>
    <definedName name="soft2" localSheetId="18" hidden="1">#REF!</definedName>
    <definedName name="soft2" hidden="1">#REF!</definedName>
    <definedName name="TM1REBUILDOPTION">1</definedName>
    <definedName name="Total">'Работы - НН-ОЦО'!$CN$228</definedName>
    <definedName name="Total_COM">'Командировочные расходы'!$BU$87</definedName>
    <definedName name="Total_contr">'Стоимость подрядных работ'!$CU$116</definedName>
    <definedName name="uj" localSheetId="20" hidden="1">{#N/A,#N/A,FALSE,"1 квартал"}</definedName>
    <definedName name="uj" localSheetId="18" hidden="1">{#N/A,#N/A,FALSE,"1 квартал"}</definedName>
    <definedName name="uj" hidden="1">{#N/A,#N/A,FALSE,"1 квартал"}</definedName>
    <definedName name="UR" localSheetId="20" hidden="1">{#N/A,#N/A,FALSE,"1 квартал"}</definedName>
    <definedName name="UR" localSheetId="18" hidden="1">{#N/A,#N/A,FALSE,"1 квартал"}</definedName>
    <definedName name="UR" hidden="1">{#N/A,#N/A,FALSE,"1 квартал"}</definedName>
    <definedName name="w" localSheetId="20" hidden="1">{#N/A,#N/A,FALSE,"1 квартал"}</definedName>
    <definedName name="w" localSheetId="18" hidden="1">{#N/A,#N/A,FALSE,"1 квартал"}</definedName>
    <definedName name="w" hidden="1">{#N/A,#N/A,FALSE,"1 квартал"}</definedName>
    <definedName name="wrn.ОТЧЕТ._.ПО._.МАРКАМ._.ЗА._.1._.КВАРТАЛ._.1998._.ГОДА." localSheetId="20" hidden="1">{#N/A,#N/A,FALSE,"1 квартал"}</definedName>
    <definedName name="wrn.ОТЧЕТ._.ПО._.МАРКАМ._.ЗА._.1._.КВАРТАЛ._.1998._.ГОДА." localSheetId="18" hidden="1">{#N/A,#N/A,FALSE,"1 квартал"}</definedName>
    <definedName name="wrn.ОТЧЕТ._.ПО._.МАРКАМ._.ЗА._.1._.КВАРТАЛ._.1998._.ГОДА." hidden="1">{#N/A,#N/A,FALSE,"1 квартал"}</definedName>
    <definedName name="XF" localSheetId="20" hidden="1">{#N/A,#N/A,FALSE,"1 квартал"}</definedName>
    <definedName name="XF" localSheetId="18" hidden="1">{#N/A,#N/A,FALSE,"1 квартал"}</definedName>
    <definedName name="XF" hidden="1">{#N/A,#N/A,FALSE,"1 квартал"}</definedName>
    <definedName name="yjdjt" localSheetId="1" hidden="1">#REF!</definedName>
    <definedName name="yjdjt" localSheetId="3" hidden="1">#REF!</definedName>
    <definedName name="yjdjt" localSheetId="20" hidden="1">#REF!</definedName>
    <definedName name="yjdjt" localSheetId="18" hidden="1">#REF!</definedName>
    <definedName name="yjdjt" hidden="1">#REF!</definedName>
    <definedName name="YK" localSheetId="20" hidden="1">{#N/A,#N/A,FALSE,"1 квартал"}</definedName>
    <definedName name="YK" localSheetId="18" hidden="1">{#N/A,#N/A,FALSE,"1 квартал"}</definedName>
    <definedName name="YK" hidden="1">{#N/A,#N/A,FALSE,"1 квартал"}</definedName>
    <definedName name="Z_2CBACB7F_7C94_420C_9031_253F162BA1DE_.wvu.Cols" localSheetId="3" hidden="1">'Работы - НН-ОЦО'!$K:$K,'Работы - НН-ОЦО'!$Q:$Q,'Работы - НН-ОЦО'!$T:$AE,'Работы - НН-ОЦО'!$CL:$CL</definedName>
    <definedName name="Z_2CBACB7F_7C94_420C_9031_253F162BA1DE_.wvu.PrintArea" localSheetId="3" hidden="1">'Работы - НН-ОЦО'!$A$1:$CM$230</definedName>
    <definedName name="Z_2CBACB7F_7C94_420C_9031_253F162BA1DE_.wvu.PrintTitles" localSheetId="3" hidden="1">'Работы - НН-ОЦО'!#REF!</definedName>
    <definedName name="Z_2CBACB7F_7C94_420C_9031_253F162BA1DE_.wvu.Rows" localSheetId="3" hidden="1">'Работы - НН-ОЦО'!#REF!</definedName>
    <definedName name="Z_4D6282AA_B9EF_4A5E_8AEA_7ACC8676CB72_.wvu.Cols" localSheetId="3" hidden="1">'Работы - НН-ОЦО'!$K:$K,'Работы - НН-ОЦО'!$Q:$Q,'Работы - НН-ОЦО'!$S:$AE,'Работы - НН-ОЦО'!$CL:$CL</definedName>
    <definedName name="Z_4D6282AA_B9EF_4A5E_8AEA_7ACC8676CB72_.wvu.PrintArea" localSheetId="3" hidden="1">'Работы - НН-ОЦО'!$A$1:$CM$230</definedName>
    <definedName name="Z_4D6282AA_B9EF_4A5E_8AEA_7ACC8676CB72_.wvu.PrintTitles" localSheetId="3" hidden="1">'Работы - НН-ОЦО'!#REF!</definedName>
    <definedName name="Z_4D6282AA_B9EF_4A5E_8AEA_7ACC8676CB72_.wvu.Rows" localSheetId="3" hidden="1">'Работы - НН-ОЦО'!#REF!</definedName>
    <definedName name="Z_57368E1B_4829_48A1_9626_F048114AF915_.wvu.Cols" localSheetId="3" hidden="1">'Работы - НН-ОЦО'!$K:$K,'Работы - НН-ОЦО'!$Q:$Q,'Работы - НН-ОЦО'!$CL:$CL</definedName>
    <definedName name="Z_57368E1B_4829_48A1_9626_F048114AF915_.wvu.PrintArea" localSheetId="3" hidden="1">'Работы - НН-ОЦО'!$A$1:$CM$230</definedName>
    <definedName name="Z_57368E1B_4829_48A1_9626_F048114AF915_.wvu.PrintTitles" localSheetId="3" hidden="1">'Работы - НН-ОЦО'!#REF!</definedName>
    <definedName name="Z_57368E1B_4829_48A1_9626_F048114AF915_.wvu.Rows" localSheetId="3" hidden="1">'Работы - НН-ОЦО'!#REF!</definedName>
    <definedName name="аа" localSheetId="20" hidden="1">{#N/A,#N/A,FALSE,"1 квартал"}</definedName>
    <definedName name="аа" localSheetId="18" hidden="1">{#N/A,#N/A,FALSE,"1 квартал"}</definedName>
    <definedName name="аа" hidden="1">{#N/A,#N/A,FALSE,"1 квартал"}</definedName>
    <definedName name="ааа" localSheetId="20" hidden="1">{#N/A,#N/A,FALSE,"1 квартал"}</definedName>
    <definedName name="ааа" localSheetId="18" hidden="1">{#N/A,#N/A,FALSE,"1 квартал"}</definedName>
    <definedName name="ааа" hidden="1">{#N/A,#N/A,FALSE,"1 квартал"}</definedName>
    <definedName name="б" localSheetId="20" hidden="1">{#N/A,#N/A,FALSE,"1 квартал"}</definedName>
    <definedName name="б" localSheetId="18" hidden="1">{#N/A,#N/A,FALSE,"1 квартал"}</definedName>
    <definedName name="б" hidden="1">{#N/A,#N/A,FALSE,"1 квартал"}</definedName>
    <definedName name="в" localSheetId="20" hidden="1">{#N/A,#N/A,FALSE,"1 квартал"}</definedName>
    <definedName name="в" localSheetId="18" hidden="1">{#N/A,#N/A,FALSE,"1 квартал"}</definedName>
    <definedName name="в" hidden="1">{#N/A,#N/A,FALSE,"1 квартал"}</definedName>
    <definedName name="Ванкор" localSheetId="20" hidden="1">{#N/A,#N/A,FALSE,"1 квартал"}</definedName>
    <definedName name="Ванкор" localSheetId="18" hidden="1">{#N/A,#N/A,FALSE,"1 квартал"}</definedName>
    <definedName name="Ванкор" hidden="1">{#N/A,#N/A,FALSE,"1 квартал"}</definedName>
    <definedName name="д" localSheetId="20" hidden="1">{#N/A,#N/A,FALSE,"1 квартал"}</definedName>
    <definedName name="д" localSheetId="18" hidden="1">{#N/A,#N/A,FALSE,"1 квартал"}</definedName>
    <definedName name="д" hidden="1">{#N/A,#N/A,FALSE,"1 квартал"}</definedName>
    <definedName name="ж" localSheetId="20" hidden="1">{#N/A,#N/A,FALSE,"1 квартал"}</definedName>
    <definedName name="ж" localSheetId="18" hidden="1">{#N/A,#N/A,FALSE,"1 квартал"}</definedName>
    <definedName name="ж" hidden="1">{#N/A,#N/A,FALSE,"1 квартал"}</definedName>
    <definedName name="зщ" localSheetId="20" hidden="1">{#N/A,#N/A,FALSE,"1 квартал"}</definedName>
    <definedName name="зщ" localSheetId="18" hidden="1">{#N/A,#N/A,FALSE,"1 квартал"}</definedName>
    <definedName name="зщ" hidden="1">{#N/A,#N/A,FALSE,"1 квартал"}</definedName>
    <definedName name="Итого">Оборудование_ПО!$BY$15</definedName>
    <definedName name="к_до_доп">'Командировочные расходы'!$G$91</definedName>
    <definedName name="к_до_оцо">'Работы - НН-ОЦО'!$N$235</definedName>
    <definedName name="к_итого_доп">'Командировочные расходы'!$BU$91</definedName>
    <definedName name="к_итого_оцо">'Работы - НН-ОЦО'!$CN$235</definedName>
    <definedName name="к2017доп">'Командировочные расходы'!$T$91</definedName>
    <definedName name="к2017оцо">'Работы - НН-ОЦО'!$AC$235</definedName>
    <definedName name="к2018доп">'Командировочные расходы'!$AG$91</definedName>
    <definedName name="к2018оцо">'Работы - НН-ОЦО'!$AR$235</definedName>
    <definedName name="к2019доп">'Командировочные расходы'!$AT$91</definedName>
    <definedName name="к2019оцо">'Работы - НН-ОЦО'!$BG$235</definedName>
    <definedName name="к2020доп">'Командировочные расходы'!$BG$91</definedName>
    <definedName name="к2020оцо">'Работы - НН-ОЦО'!$BV$235</definedName>
    <definedName name="к2021доп">'Командировочные расходы'!$BT$91</definedName>
    <definedName name="к2021оцо">'Работы - НН-ОЦО'!$CK$235</definedName>
    <definedName name="Категория" localSheetId="20">[1]Фильтры!$C$2:$C$6</definedName>
    <definedName name="Категория" localSheetId="18">[1]Фильтры!$C$2:$C$6</definedName>
    <definedName name="Кипр" localSheetId="1" hidden="1">#REF!</definedName>
    <definedName name="Кипр" localSheetId="3" hidden="1">#REF!</definedName>
    <definedName name="Кипр" localSheetId="20" hidden="1">#REF!</definedName>
    <definedName name="Кипр" localSheetId="18" hidden="1">#REF!</definedName>
    <definedName name="Кипр" hidden="1">#REF!</definedName>
    <definedName name="Красноярск" localSheetId="20" hidden="1">{#N/A,#N/A,FALSE,"1 квартал"}</definedName>
    <definedName name="Красноярск" localSheetId="18" hidden="1">{#N/A,#N/A,FALSE,"1 квартал"}</definedName>
    <definedName name="Красноярск" hidden="1">{#N/A,#N/A,FALSE,"1 квартал"}</definedName>
    <definedName name="маш" localSheetId="20" hidden="1">{#N/A,#N/A,FALSE,"1 квартал"}</definedName>
    <definedName name="маш" localSheetId="18" hidden="1">{#N/A,#N/A,FALSE,"1 квартал"}</definedName>
    <definedName name="маш" hidden="1">{#N/A,#N/A,FALSE,"1 квартал"}</definedName>
    <definedName name="н" localSheetId="20" hidden="1">{#N/A,#N/A,FALSE,"1 квартал"}</definedName>
    <definedName name="н" localSheetId="18" hidden="1">{#N/A,#N/A,FALSE,"1 квартал"}</definedName>
    <definedName name="н" hidden="1">{#N/A,#N/A,FALSE,"1 квартал"}</definedName>
    <definedName name="нет" localSheetId="20" hidden="1">{#N/A,#N/A,FALSE,"1 квартал"}</definedName>
    <definedName name="нет" localSheetId="18" hidden="1">{#N/A,#N/A,FALSE,"1 квартал"}</definedName>
    <definedName name="нет" hidden="1">{#N/A,#N/A,FALSE,"1 квартал"}</definedName>
    <definedName name="о_до_доп">'Командировочные расходы'!$G$90</definedName>
    <definedName name="о_до_оцо">'Работы - НН-ОЦО'!$N$234</definedName>
    <definedName name="о_итого_доп">'Командировочные расходы'!$BU$90</definedName>
    <definedName name="о_итого_оцо">'Работы - НН-ОЦО'!$CN$234</definedName>
    <definedName name="о2017доп">'Командировочные расходы'!$T$90</definedName>
    <definedName name="о2017оцо">'Работы - НН-ОЦО'!$AC$234</definedName>
    <definedName name="о2018доп">'Командировочные расходы'!$AG$90</definedName>
    <definedName name="о2018оцо">'Работы - НН-ОЦО'!$AR$234</definedName>
    <definedName name="о2019доп">'Командировочные расходы'!$AT$90</definedName>
    <definedName name="о2019оцо">'Работы - НН-ОЦО'!$BG$234</definedName>
    <definedName name="о2020доп">'Командировочные расходы'!$BG$90</definedName>
    <definedName name="о2020оцо">'Работы - НН-ОЦО'!$BV$234</definedName>
    <definedName name="о2021доп">'Командировочные расходы'!$BT$90</definedName>
    <definedName name="о2021оцо">'Работы - НН-ОЦО'!$CK$234</definedName>
    <definedName name="_xlnm.Print_Area" localSheetId="1">'ДРП - свод'!$A$2:$J$60</definedName>
    <definedName name="_xlnm.Print_Area" localSheetId="3">'Работы - НН-ОЦО'!$A$5:$CQ$240</definedName>
    <definedName name="ппп" localSheetId="20" hidden="1">{#N/A,#N/A,FALSE,"1 квартал"}</definedName>
    <definedName name="ппп" localSheetId="18" hidden="1">{#N/A,#N/A,FALSE,"1 квартал"}</definedName>
    <definedName name="ппп" hidden="1">{#N/A,#N/A,FALSE,"1 квартал"}</definedName>
    <definedName name="пр" localSheetId="20" hidden="1">{#N/A,#N/A,FALSE,"1 квартал"}</definedName>
    <definedName name="пр" localSheetId="18" hidden="1">{#N/A,#N/A,FALSE,"1 квартал"}</definedName>
    <definedName name="пр" hidden="1">{#N/A,#N/A,FALSE,"1 квартал"}</definedName>
    <definedName name="р" localSheetId="20" hidden="1">{#N/A,#N/A,FALSE,"1 квартал"}</definedName>
    <definedName name="р" localSheetId="18" hidden="1">{#N/A,#N/A,FALSE,"1 квартал"}</definedName>
    <definedName name="р" hidden="1">{#N/A,#N/A,FALSE,"1 квартал"}</definedName>
    <definedName name="рпо" localSheetId="20" hidden="1">{#N/A,#N/A,FALSE,"1 квартал"}</definedName>
    <definedName name="рпо" localSheetId="18" hidden="1">{#N/A,#N/A,FALSE,"1 квартал"}</definedName>
    <definedName name="рпо" hidden="1">{#N/A,#N/A,FALSE,"1 квартал"}</definedName>
    <definedName name="Ставки_по_управлениям" localSheetId="20">OFFSET(#REF!, MATCH('[1]ДРП - НН-ОЦО'!$E1,#REF!,0)-1,3,COUNTIF(#REF!,'[1]ДРП - НН-ОЦО'!#REF!&amp;'[1]ДРП - НН-ОЦО'!$E1),1)</definedName>
    <definedName name="Ставки_по_управлениям" localSheetId="18">OFFSET(#REF!, MATCH('[1]ДРП - НН-ОЦО'!$E1,#REF!,0)-1,3,COUNTIF(#REF!,'[1]ДРП - НН-ОЦО'!#REF!&amp;'[1]ДРП - НН-ОЦО'!$E1),1)</definedName>
    <definedName name="тост" localSheetId="20" hidden="1">{#N/A,#N/A,FALSE,"1 квартал"}</definedName>
    <definedName name="тост" localSheetId="18" hidden="1">{#N/A,#N/A,FALSE,"1 квартал"}</definedName>
    <definedName name="тост" hidden="1">{#N/A,#N/A,FALSE,"1 квартал"}</definedName>
    <definedName name="ттт" localSheetId="20" hidden="1">{#N/A,#N/A,FALSE,"1 квартал"}</definedName>
    <definedName name="ттт" localSheetId="18" hidden="1">{#N/A,#N/A,FALSE,"1 квартал"}</definedName>
    <definedName name="ттт" hidden="1">{#N/A,#N/A,FALSE,"1 квартал"}</definedName>
    <definedName name="Управление" localSheetId="20">[1]Фильтры!$B$2:$B$16</definedName>
    <definedName name="Управление" localSheetId="18">[1]Фильтры!$B$2:$B$16</definedName>
    <definedName name="Управления_по_филиалам" localSheetId="20">OFFSET([1]Фильтры!$K$1,MATCH('[1]ДРП - НН-ОЦО'!#REF!,[1]Фильтры!$K:$K,0)-1,1,COUNTIF([1]Фильтры!$K:$K,'[1]ДРП - НН-ОЦО'!#REF!),1)</definedName>
    <definedName name="Управления_по_филиалам" localSheetId="18">OFFSET([1]Фильтры!$K$1,MATCH('[1]ДРП - НН-ОЦО'!#REF!,[1]Фильтры!$K:$K,0)-1,1,COUNTIF([1]Фильтры!$K:$K,'[1]ДРП - НН-ОЦО'!#REF!),1)</definedName>
    <definedName name="Филиал" localSheetId="20">[1]Фильтры!$A$3:$A$9</definedName>
    <definedName name="Филиал" localSheetId="18">[1]Фильтры!$A$3:$A$9</definedName>
    <definedName name="ш" localSheetId="20" hidden="1">{#N/A,#N/A,FALSE,"1 квартал"}</definedName>
    <definedName name="ш" localSheetId="18" hidden="1">{#N/A,#N/A,FALSE,"1 квартал"}</definedName>
    <definedName name="ш" hidden="1">{#N/A,#N/A,FALSE,"1 квартал"}</definedName>
    <definedName name="шш" localSheetId="20" hidden="1">{#N/A,#N/A,FALSE,"1 квартал"}</definedName>
    <definedName name="шш" localSheetId="18" hidden="1">{#N/A,#N/A,FALSE,"1 квартал"}</definedName>
    <definedName name="шш" hidden="1">{#N/A,#N/A,FALSE,"1 квартал"}</definedName>
  </definedNames>
  <calcPr calcId="171027"/>
  <customWorkbookViews>
    <customWorkbookView name="Sukhov, Victor A. - Личное представление" guid="{2CBACB7F-7C94-420C-9031-253F162BA1DE}" mergeInterval="0" personalView="1" maximized="1" windowWidth="1858" windowHeight="1014" activeSheetId="1"/>
    <customWorkbookView name="Korneev, Denis A. - Личное представление" guid="{4D6282AA-B9EF-4A5E-8AEA-7ACC8676CB72}" mergeInterval="0" personalView="1" maximized="1" windowWidth="1184" windowHeight="1072" activeSheetId="1"/>
    <customWorkbookView name="Korobchevskaya, Svetlana N. - Личное представление" guid="{57368E1B-4829-48A1-9626-F048114AF915}" mergeInterval="0" personalView="1" maximized="1" windowWidth="1276" windowHeight="765" activeSheetId="1"/>
  </customWorkbookViews>
  <pivotCaches>
    <pivotCache cacheId="0" r:id="rId24"/>
    <pivotCache cacheId="1" r:id="rId25"/>
    <pivotCache cacheId="2" r:id="rId26"/>
    <pivotCache cacheId="3" r:id="rId27"/>
    <pivotCache cacheId="4" r:id="rId28"/>
    <pivotCache cacheId="5" r:id="rId29"/>
  </pivotCaches>
</workbook>
</file>

<file path=xl/calcChain.xml><?xml version="1.0" encoding="utf-8"?>
<calcChain xmlns="http://schemas.openxmlformats.org/spreadsheetml/2006/main">
  <c r="CL206" i="3" l="1"/>
  <c r="CJ206" i="3"/>
  <c r="BU206" i="3"/>
  <c r="BF206" i="3"/>
  <c r="AQ206" i="3"/>
  <c r="AB206" i="3"/>
  <c r="K206" i="3"/>
  <c r="BV206" i="3" s="1"/>
  <c r="CL207" i="3"/>
  <c r="CJ207" i="3"/>
  <c r="BU207" i="3"/>
  <c r="BF207" i="3"/>
  <c r="AQ207" i="3"/>
  <c r="AB207" i="3"/>
  <c r="K207" i="3"/>
  <c r="BV207" i="3" s="1"/>
  <c r="CL200" i="3"/>
  <c r="CJ200" i="3"/>
  <c r="BU200" i="3"/>
  <c r="BF200" i="3"/>
  <c r="AQ200" i="3"/>
  <c r="AB200" i="3"/>
  <c r="K200" i="3"/>
  <c r="BV200" i="3" s="1"/>
  <c r="CL201" i="3"/>
  <c r="CJ201" i="3"/>
  <c r="BU201" i="3"/>
  <c r="BF201" i="3"/>
  <c r="AQ201" i="3"/>
  <c r="AB201" i="3"/>
  <c r="K201" i="3"/>
  <c r="BV201" i="3" s="1"/>
  <c r="CL194" i="3"/>
  <c r="CJ194" i="3"/>
  <c r="BU194" i="3"/>
  <c r="BF194" i="3"/>
  <c r="AQ194" i="3"/>
  <c r="AB194" i="3"/>
  <c r="K194" i="3"/>
  <c r="BV194" i="3" s="1"/>
  <c r="CL195" i="3"/>
  <c r="CJ195" i="3"/>
  <c r="BU195" i="3"/>
  <c r="BF195" i="3"/>
  <c r="AQ195" i="3"/>
  <c r="AB195" i="3"/>
  <c r="K195" i="3"/>
  <c r="BV195" i="3" s="1"/>
  <c r="CL196" i="3"/>
  <c r="CJ196" i="3"/>
  <c r="BU196" i="3"/>
  <c r="BF196" i="3"/>
  <c r="AQ196" i="3"/>
  <c r="AB196" i="3"/>
  <c r="K196" i="3"/>
  <c r="N196" i="3" s="1"/>
  <c r="CL197" i="3"/>
  <c r="CJ197" i="3"/>
  <c r="BU197" i="3"/>
  <c r="BF197" i="3"/>
  <c r="AQ197" i="3"/>
  <c r="AB197" i="3"/>
  <c r="K197" i="3"/>
  <c r="CL187" i="3"/>
  <c r="CJ187" i="3"/>
  <c r="BU187" i="3"/>
  <c r="BF187" i="3"/>
  <c r="AQ187" i="3"/>
  <c r="AB187" i="3"/>
  <c r="K187" i="3"/>
  <c r="BV187" i="3" s="1"/>
  <c r="CL182" i="3"/>
  <c r="CJ182" i="3"/>
  <c r="BU182" i="3"/>
  <c r="BF182" i="3"/>
  <c r="AQ182" i="3"/>
  <c r="AB182" i="3"/>
  <c r="K182" i="3"/>
  <c r="BV182" i="3" s="1"/>
  <c r="CL183" i="3"/>
  <c r="CJ183" i="3"/>
  <c r="BU183" i="3"/>
  <c r="BF183" i="3"/>
  <c r="AQ183" i="3"/>
  <c r="AB183" i="3"/>
  <c r="K183" i="3"/>
  <c r="BV183" i="3" s="1"/>
  <c r="CL184" i="3"/>
  <c r="CJ184" i="3"/>
  <c r="BU184" i="3"/>
  <c r="BF184" i="3"/>
  <c r="AQ184" i="3"/>
  <c r="AB184" i="3"/>
  <c r="K184" i="3"/>
  <c r="N184" i="3" s="1"/>
  <c r="CL165" i="3"/>
  <c r="CJ165" i="3"/>
  <c r="BU165" i="3"/>
  <c r="BF165" i="3"/>
  <c r="AQ165" i="3"/>
  <c r="AB165" i="3"/>
  <c r="K165" i="3"/>
  <c r="BV165" i="3" s="1"/>
  <c r="CL161" i="3"/>
  <c r="CJ161" i="3"/>
  <c r="BU161" i="3"/>
  <c r="BF161" i="3"/>
  <c r="AQ161" i="3"/>
  <c r="AB161" i="3"/>
  <c r="K161" i="3"/>
  <c r="BV161" i="3" s="1"/>
  <c r="CL162" i="3"/>
  <c r="CJ162" i="3"/>
  <c r="BU162" i="3"/>
  <c r="BF162" i="3"/>
  <c r="AQ162" i="3"/>
  <c r="AB162" i="3"/>
  <c r="K162" i="3"/>
  <c r="BV162" i="3" s="1"/>
  <c r="CL158" i="3"/>
  <c r="CJ158" i="3"/>
  <c r="BU158" i="3"/>
  <c r="BF158" i="3"/>
  <c r="AQ158" i="3"/>
  <c r="AB158" i="3"/>
  <c r="K158" i="3"/>
  <c r="BV158" i="3" s="1"/>
  <c r="CL155" i="3"/>
  <c r="CJ155" i="3"/>
  <c r="BU155" i="3"/>
  <c r="BF155" i="3"/>
  <c r="AQ155" i="3"/>
  <c r="AB155" i="3"/>
  <c r="K155" i="3"/>
  <c r="CL152" i="3"/>
  <c r="CJ152" i="3"/>
  <c r="BU152" i="3"/>
  <c r="BF152" i="3"/>
  <c r="AQ152" i="3"/>
  <c r="AB152" i="3"/>
  <c r="K152" i="3"/>
  <c r="BV152" i="3" s="1"/>
  <c r="CL145" i="3"/>
  <c r="CJ145" i="3"/>
  <c r="BU145" i="3"/>
  <c r="BF145" i="3"/>
  <c r="AQ145" i="3"/>
  <c r="AB145" i="3"/>
  <c r="K145" i="3"/>
  <c r="BV145" i="3" s="1"/>
  <c r="CL142" i="3"/>
  <c r="CJ142" i="3"/>
  <c r="BU142" i="3"/>
  <c r="BF142" i="3"/>
  <c r="AQ142" i="3"/>
  <c r="AB142" i="3"/>
  <c r="K142" i="3"/>
  <c r="BV142" i="3" s="1"/>
  <c r="CL136" i="3"/>
  <c r="CJ136" i="3"/>
  <c r="BU136" i="3"/>
  <c r="BF136" i="3"/>
  <c r="AQ136" i="3"/>
  <c r="AB136" i="3"/>
  <c r="K136" i="3"/>
  <c r="BV136" i="3" s="1"/>
  <c r="CL137" i="3"/>
  <c r="CJ137" i="3"/>
  <c r="BU137" i="3"/>
  <c r="BF137" i="3"/>
  <c r="AQ137" i="3"/>
  <c r="AB137" i="3"/>
  <c r="K137" i="3"/>
  <c r="BV137" i="3" s="1"/>
  <c r="CL125" i="3"/>
  <c r="CJ125" i="3"/>
  <c r="BU125" i="3"/>
  <c r="BF125" i="3"/>
  <c r="AQ125" i="3"/>
  <c r="AB125" i="3"/>
  <c r="K125" i="3"/>
  <c r="BV125" i="3" s="1"/>
  <c r="CL126" i="3"/>
  <c r="CJ126" i="3"/>
  <c r="BU126" i="3"/>
  <c r="BF126" i="3"/>
  <c r="AQ126" i="3"/>
  <c r="AB126" i="3"/>
  <c r="K126" i="3"/>
  <c r="BV126" i="3" s="1"/>
  <c r="CL127" i="3"/>
  <c r="CJ127" i="3"/>
  <c r="BU127" i="3"/>
  <c r="BF127" i="3"/>
  <c r="AQ127" i="3"/>
  <c r="AB127" i="3"/>
  <c r="K127" i="3"/>
  <c r="CL122" i="3"/>
  <c r="CJ122" i="3"/>
  <c r="BU122" i="3"/>
  <c r="BF122" i="3"/>
  <c r="AQ122" i="3"/>
  <c r="AB122" i="3"/>
  <c r="K122" i="3"/>
  <c r="BV122" i="3" s="1"/>
  <c r="CL115" i="3"/>
  <c r="CJ115" i="3"/>
  <c r="BU115" i="3"/>
  <c r="BF115" i="3"/>
  <c r="AQ115" i="3"/>
  <c r="AB115" i="3"/>
  <c r="K115" i="3"/>
  <c r="BV115" i="3" s="1"/>
  <c r="CL116" i="3"/>
  <c r="CJ116" i="3"/>
  <c r="BU116" i="3"/>
  <c r="BF116" i="3"/>
  <c r="AQ116" i="3"/>
  <c r="AB116" i="3"/>
  <c r="K116" i="3"/>
  <c r="CL117" i="3"/>
  <c r="CJ117" i="3"/>
  <c r="BU117" i="3"/>
  <c r="BF117" i="3"/>
  <c r="AQ117" i="3"/>
  <c r="AB117" i="3"/>
  <c r="K117" i="3"/>
  <c r="CL111" i="3"/>
  <c r="CJ111" i="3"/>
  <c r="BU111" i="3"/>
  <c r="BF111" i="3"/>
  <c r="AQ111" i="3"/>
  <c r="AB111" i="3"/>
  <c r="K111" i="3"/>
  <c r="BV111" i="3" s="1"/>
  <c r="CL112" i="3"/>
  <c r="CJ112" i="3"/>
  <c r="BU112" i="3"/>
  <c r="BF112" i="3"/>
  <c r="AQ112" i="3"/>
  <c r="AB112" i="3"/>
  <c r="K112" i="3"/>
  <c r="BV112" i="3" s="1"/>
  <c r="CL105" i="3"/>
  <c r="CJ105" i="3"/>
  <c r="BU105" i="3"/>
  <c r="BF105" i="3"/>
  <c r="AQ105" i="3"/>
  <c r="AB105" i="3"/>
  <c r="K105" i="3"/>
  <c r="CK105" i="3" s="1"/>
  <c r="CL106" i="3"/>
  <c r="CJ106" i="3"/>
  <c r="BU106" i="3"/>
  <c r="BF106" i="3"/>
  <c r="AQ106" i="3"/>
  <c r="AB106" i="3"/>
  <c r="K106" i="3"/>
  <c r="BV106" i="3" s="1"/>
  <c r="CL101" i="3"/>
  <c r="CJ101" i="3"/>
  <c r="BU101" i="3"/>
  <c r="BF101" i="3"/>
  <c r="AQ101" i="3"/>
  <c r="AB101" i="3"/>
  <c r="K101" i="3"/>
  <c r="BV101" i="3" s="1"/>
  <c r="CL102" i="3"/>
  <c r="CJ102" i="3"/>
  <c r="BU102" i="3"/>
  <c r="BF102" i="3"/>
  <c r="AQ102" i="3"/>
  <c r="AB102" i="3"/>
  <c r="K102" i="3"/>
  <c r="CL91" i="3"/>
  <c r="CJ91" i="3"/>
  <c r="BU91" i="3"/>
  <c r="BF91" i="3"/>
  <c r="AQ91" i="3"/>
  <c r="AB91" i="3"/>
  <c r="K91" i="3"/>
  <c r="BV91" i="3" s="1"/>
  <c r="CL92" i="3"/>
  <c r="CJ92" i="3"/>
  <c r="BU92" i="3"/>
  <c r="BF92" i="3"/>
  <c r="AQ92" i="3"/>
  <c r="AB92" i="3"/>
  <c r="K92" i="3"/>
  <c r="BV92" i="3" s="1"/>
  <c r="CL86" i="3"/>
  <c r="CJ86" i="3"/>
  <c r="BU86" i="3"/>
  <c r="BF86" i="3"/>
  <c r="AQ86" i="3"/>
  <c r="AB86" i="3"/>
  <c r="K86" i="3"/>
  <c r="A13" i="36"/>
  <c r="BX13" i="36"/>
  <c r="BK13" i="36"/>
  <c r="AX13" i="36"/>
  <c r="AK13" i="36"/>
  <c r="X13" i="36"/>
  <c r="A14" i="36"/>
  <c r="BX14" i="36"/>
  <c r="BK14" i="36"/>
  <c r="AX14" i="36"/>
  <c r="AK14" i="36"/>
  <c r="X14" i="36"/>
  <c r="A12" i="36"/>
  <c r="BX12" i="36"/>
  <c r="BK12" i="36"/>
  <c r="AX12" i="36"/>
  <c r="AK12" i="36"/>
  <c r="X12" i="36"/>
  <c r="K33" i="45"/>
  <c r="BT63" i="19"/>
  <c r="BG63" i="19"/>
  <c r="AT63" i="19"/>
  <c r="AG63" i="19"/>
  <c r="T63" i="19"/>
  <c r="BT62" i="19"/>
  <c r="BG62" i="19"/>
  <c r="AT62" i="19"/>
  <c r="AG62" i="19"/>
  <c r="T62" i="19"/>
  <c r="BT61" i="19"/>
  <c r="BG61" i="19"/>
  <c r="AT61" i="19"/>
  <c r="AG61" i="19"/>
  <c r="T61" i="19"/>
  <c r="BT60" i="19"/>
  <c r="BG60" i="19"/>
  <c r="AT60" i="19"/>
  <c r="AG60" i="19"/>
  <c r="T60" i="19"/>
  <c r="BT59" i="19"/>
  <c r="BG59" i="19"/>
  <c r="AT59" i="19"/>
  <c r="AG59" i="19"/>
  <c r="T59" i="19"/>
  <c r="C59" i="19"/>
  <c r="C60" i="19" s="1"/>
  <c r="C61" i="19" s="1"/>
  <c r="C62" i="19" s="1"/>
  <c r="C63" i="19" s="1"/>
  <c r="BY12" i="36" l="1"/>
  <c r="AR116" i="3"/>
  <c r="CM165" i="3"/>
  <c r="CM183" i="3"/>
  <c r="CK197" i="3"/>
  <c r="CM200" i="3"/>
  <c r="BG206" i="3"/>
  <c r="CK102" i="3"/>
  <c r="CM117" i="3"/>
  <c r="CM86" i="3"/>
  <c r="CK117" i="3"/>
  <c r="CK127" i="3"/>
  <c r="CK155" i="3"/>
  <c r="CM158" i="3"/>
  <c r="CM196" i="3"/>
  <c r="CK86" i="3"/>
  <c r="CM92" i="3"/>
  <c r="CM91" i="3"/>
  <c r="CM102" i="3"/>
  <c r="CM106" i="3"/>
  <c r="CM105" i="3"/>
  <c r="CM116" i="3"/>
  <c r="CM136" i="3"/>
  <c r="CM142" i="3"/>
  <c r="CM184" i="3"/>
  <c r="CM182" i="3"/>
  <c r="CM101" i="3"/>
  <c r="CM122" i="3"/>
  <c r="CM127" i="3"/>
  <c r="CM137" i="3"/>
  <c r="CM152" i="3"/>
  <c r="CM155" i="3"/>
  <c r="CM201" i="3"/>
  <c r="CM112" i="3"/>
  <c r="CM115" i="3"/>
  <c r="CM125" i="3"/>
  <c r="CM162" i="3"/>
  <c r="CM197" i="3"/>
  <c r="CM194" i="3"/>
  <c r="CM206" i="3"/>
  <c r="CM187" i="3"/>
  <c r="CM111" i="3"/>
  <c r="CM126" i="3"/>
  <c r="CM145" i="3"/>
  <c r="CM161" i="3"/>
  <c r="CM195" i="3"/>
  <c r="CM207" i="3"/>
  <c r="BG201" i="3"/>
  <c r="CK207" i="3"/>
  <c r="AC206" i="3"/>
  <c r="BG195" i="3"/>
  <c r="BG207" i="3"/>
  <c r="CK206" i="3"/>
  <c r="BG200" i="3"/>
  <c r="AC207" i="3"/>
  <c r="CK201" i="3"/>
  <c r="AC200" i="3"/>
  <c r="N206" i="3"/>
  <c r="AR206" i="3"/>
  <c r="CK200" i="3"/>
  <c r="AC196" i="3"/>
  <c r="BV196" i="3"/>
  <c r="N207" i="3"/>
  <c r="AR207" i="3"/>
  <c r="CK194" i="3"/>
  <c r="AC201" i="3"/>
  <c r="AC165" i="3"/>
  <c r="AR196" i="3"/>
  <c r="CK196" i="3"/>
  <c r="CK195" i="3"/>
  <c r="AC194" i="3"/>
  <c r="N200" i="3"/>
  <c r="AR200" i="3"/>
  <c r="BG194" i="3"/>
  <c r="BG196" i="3"/>
  <c r="N201" i="3"/>
  <c r="AR201" i="3"/>
  <c r="BV184" i="3"/>
  <c r="BG182" i="3"/>
  <c r="CK187" i="3"/>
  <c r="N197" i="3"/>
  <c r="AR197" i="3"/>
  <c r="BV197" i="3"/>
  <c r="AC195" i="3"/>
  <c r="AC182" i="3"/>
  <c r="BG187" i="3"/>
  <c r="N194" i="3"/>
  <c r="AR194" i="3"/>
  <c r="BG165" i="3"/>
  <c r="AC187" i="3"/>
  <c r="AC197" i="3"/>
  <c r="BG197" i="3"/>
  <c r="N195" i="3"/>
  <c r="AR195" i="3"/>
  <c r="AR184" i="3"/>
  <c r="CK184" i="3"/>
  <c r="CK183" i="3"/>
  <c r="CK165" i="3"/>
  <c r="BG184" i="3"/>
  <c r="N187" i="3"/>
  <c r="AR187" i="3"/>
  <c r="AC184" i="3"/>
  <c r="BG183" i="3"/>
  <c r="CK182" i="3"/>
  <c r="AC183" i="3"/>
  <c r="N155" i="3"/>
  <c r="BG161" i="3"/>
  <c r="BV155" i="3"/>
  <c r="AC161" i="3"/>
  <c r="N165" i="3"/>
  <c r="AR165" i="3"/>
  <c r="N182" i="3"/>
  <c r="AR182" i="3"/>
  <c r="N183" i="3"/>
  <c r="AR183" i="3"/>
  <c r="CK161" i="3"/>
  <c r="CK158" i="3"/>
  <c r="BG152" i="3"/>
  <c r="AR155" i="3"/>
  <c r="BG158" i="3"/>
  <c r="AC162" i="3"/>
  <c r="BG162" i="3"/>
  <c r="CK162" i="3"/>
  <c r="AC152" i="3"/>
  <c r="AC158" i="3"/>
  <c r="N161" i="3"/>
  <c r="AR161" i="3"/>
  <c r="N162" i="3"/>
  <c r="AR162" i="3"/>
  <c r="BG112" i="3"/>
  <c r="AC155" i="3"/>
  <c r="BG155" i="3"/>
  <c r="N158" i="3"/>
  <c r="AR158" i="3"/>
  <c r="BG136" i="3"/>
  <c r="BG126" i="3"/>
  <c r="AC136" i="3"/>
  <c r="BG145" i="3"/>
  <c r="CK152" i="3"/>
  <c r="BG142" i="3"/>
  <c r="AC142" i="3"/>
  <c r="N152" i="3"/>
  <c r="AR152" i="3"/>
  <c r="CK145" i="3"/>
  <c r="AC145" i="3"/>
  <c r="CK142" i="3"/>
  <c r="N145" i="3"/>
  <c r="AR145" i="3"/>
  <c r="CK137" i="3"/>
  <c r="BV127" i="3"/>
  <c r="N142" i="3"/>
  <c r="AR142" i="3"/>
  <c r="CK112" i="3"/>
  <c r="BG137" i="3"/>
  <c r="CK136" i="3"/>
  <c r="CK125" i="3"/>
  <c r="BG125" i="3"/>
  <c r="AC137" i="3"/>
  <c r="AR127" i="3"/>
  <c r="CK126" i="3"/>
  <c r="AC125" i="3"/>
  <c r="N136" i="3"/>
  <c r="AR136" i="3"/>
  <c r="N127" i="3"/>
  <c r="N137" i="3"/>
  <c r="AR137" i="3"/>
  <c r="BG116" i="3"/>
  <c r="N116" i="3"/>
  <c r="CK122" i="3"/>
  <c r="AC126" i="3"/>
  <c r="AC116" i="3"/>
  <c r="BV116" i="3"/>
  <c r="BG122" i="3"/>
  <c r="AC127" i="3"/>
  <c r="BG127" i="3"/>
  <c r="N125" i="3"/>
  <c r="AR125" i="3"/>
  <c r="AC122" i="3"/>
  <c r="N126" i="3"/>
  <c r="AR126" i="3"/>
  <c r="BG115" i="3"/>
  <c r="AC111" i="3"/>
  <c r="N122" i="3"/>
  <c r="AR122" i="3"/>
  <c r="CK116" i="3"/>
  <c r="CK115" i="3"/>
  <c r="N117" i="3"/>
  <c r="BV117" i="3"/>
  <c r="CK111" i="3"/>
  <c r="AR117" i="3"/>
  <c r="AC115" i="3"/>
  <c r="BG111" i="3"/>
  <c r="AC117" i="3"/>
  <c r="BG117" i="3"/>
  <c r="N115" i="3"/>
  <c r="AR115" i="3"/>
  <c r="N102" i="3"/>
  <c r="AR102" i="3"/>
  <c r="BV102" i="3"/>
  <c r="N105" i="3"/>
  <c r="AR105" i="3"/>
  <c r="AC112" i="3"/>
  <c r="N111" i="3"/>
  <c r="AR111" i="3"/>
  <c r="BV105" i="3"/>
  <c r="AC102" i="3"/>
  <c r="BG102" i="3"/>
  <c r="AC105" i="3"/>
  <c r="BG105" i="3"/>
  <c r="N112" i="3"/>
  <c r="AR112" i="3"/>
  <c r="BG91" i="3"/>
  <c r="AC106" i="3"/>
  <c r="BG106" i="3"/>
  <c r="CK106" i="3"/>
  <c r="AC91" i="3"/>
  <c r="N106" i="3"/>
  <c r="AR106" i="3"/>
  <c r="BG92" i="3"/>
  <c r="CK91" i="3"/>
  <c r="AC101" i="3"/>
  <c r="BG101" i="3"/>
  <c r="CK101" i="3"/>
  <c r="CK92" i="3"/>
  <c r="N101" i="3"/>
  <c r="AR101" i="3"/>
  <c r="AC92" i="3"/>
  <c r="N91" i="3"/>
  <c r="AR91" i="3"/>
  <c r="N92" i="3"/>
  <c r="AR92" i="3"/>
  <c r="N86" i="3"/>
  <c r="AR86" i="3"/>
  <c r="BV86" i="3"/>
  <c r="AC86" i="3"/>
  <c r="BG86" i="3"/>
  <c r="BY14" i="36"/>
  <c r="BY13" i="36"/>
  <c r="BU60" i="19"/>
  <c r="BU61" i="19"/>
  <c r="BU63" i="19"/>
  <c r="BU59" i="19"/>
  <c r="BU62" i="19"/>
  <c r="T115" i="45"/>
  <c r="S115" i="45"/>
  <c r="CS114" i="45"/>
  <c r="CS113" i="45"/>
  <c r="CS112" i="45"/>
  <c r="CS111" i="45"/>
  <c r="CS110" i="45"/>
  <c r="CS109" i="45"/>
  <c r="CS108" i="45"/>
  <c r="CS107" i="45"/>
  <c r="CS106" i="45"/>
  <c r="CS105" i="45"/>
  <c r="CS104" i="45"/>
  <c r="CS103" i="45"/>
  <c r="CS102" i="45"/>
  <c r="CS101" i="45"/>
  <c r="CS100" i="45"/>
  <c r="CS99" i="45"/>
  <c r="CS98" i="45"/>
  <c r="CS97" i="45"/>
  <c r="CS96" i="45"/>
  <c r="CS95" i="45"/>
  <c r="CS94" i="45"/>
  <c r="CS93" i="45"/>
  <c r="CS92" i="45"/>
  <c r="CS91" i="45"/>
  <c r="CS90" i="45"/>
  <c r="CS89" i="45"/>
  <c r="CS88" i="45"/>
  <c r="CS87" i="45"/>
  <c r="CS86" i="45"/>
  <c r="CS85" i="45"/>
  <c r="CS84" i="45"/>
  <c r="CS83" i="45"/>
  <c r="CS82" i="45"/>
  <c r="CS81" i="45"/>
  <c r="CS80" i="45"/>
  <c r="CS79" i="45"/>
  <c r="CS78" i="45"/>
  <c r="CS77" i="45"/>
  <c r="CS76" i="45"/>
  <c r="CS75" i="45"/>
  <c r="CS74" i="45"/>
  <c r="CS73" i="45"/>
  <c r="CS72" i="45"/>
  <c r="CS71" i="45"/>
  <c r="CS70" i="45"/>
  <c r="CS69" i="45"/>
  <c r="CS68" i="45"/>
  <c r="CS67" i="45"/>
  <c r="CS66" i="45"/>
  <c r="CS65" i="45"/>
  <c r="CS64" i="45"/>
  <c r="CS63" i="45"/>
  <c r="CS62" i="45"/>
  <c r="CS61" i="45"/>
  <c r="CS60" i="45"/>
  <c r="CS59" i="45"/>
  <c r="CS58" i="45"/>
  <c r="CS57" i="45"/>
  <c r="CS56" i="45"/>
  <c r="CS55" i="45"/>
  <c r="CS54" i="45"/>
  <c r="CS53" i="45"/>
  <c r="CS52" i="45"/>
  <c r="CS51" i="45"/>
  <c r="CS50" i="45"/>
  <c r="CS49" i="45"/>
  <c r="CS48" i="45"/>
  <c r="CS47" i="45"/>
  <c r="CS46" i="45"/>
  <c r="CS45" i="45"/>
  <c r="CS44" i="45"/>
  <c r="CS43" i="45"/>
  <c r="CS42" i="45"/>
  <c r="CS41" i="45"/>
  <c r="CS40" i="45"/>
  <c r="CS39" i="45"/>
  <c r="CS38" i="45"/>
  <c r="CS37" i="45"/>
  <c r="CS36" i="45"/>
  <c r="CS35" i="45"/>
  <c r="CS34" i="45"/>
  <c r="CS33" i="45"/>
  <c r="CS32" i="45"/>
  <c r="CS31" i="45"/>
  <c r="CS30" i="45"/>
  <c r="CS29" i="45"/>
  <c r="CS10" i="45"/>
  <c r="CS11" i="45"/>
  <c r="CS12" i="45"/>
  <c r="CS13" i="45"/>
  <c r="CS14" i="45"/>
  <c r="CS15" i="45"/>
  <c r="CS16" i="45"/>
  <c r="CS17" i="45"/>
  <c r="CS18" i="45"/>
  <c r="CS19" i="45"/>
  <c r="CS20" i="45"/>
  <c r="CS21" i="45"/>
  <c r="CS22" i="45"/>
  <c r="CS23" i="45"/>
  <c r="CS24" i="45"/>
  <c r="CS25" i="45"/>
  <c r="CS26" i="45"/>
  <c r="CS9" i="45"/>
  <c r="BW15" i="36"/>
  <c r="BV15" i="36"/>
  <c r="BU15" i="36"/>
  <c r="BT15" i="36"/>
  <c r="BS15" i="36"/>
  <c r="BR15" i="36"/>
  <c r="BQ15" i="36"/>
  <c r="BP15" i="36"/>
  <c r="BO15" i="36"/>
  <c r="BN15" i="36"/>
  <c r="BM15" i="36"/>
  <c r="BL15" i="36"/>
  <c r="BJ15" i="36"/>
  <c r="BI15" i="36"/>
  <c r="BH15" i="36"/>
  <c r="BG15" i="36"/>
  <c r="BF15" i="36"/>
  <c r="BE15" i="36"/>
  <c r="BD15" i="36"/>
  <c r="BC15" i="36"/>
  <c r="BB15" i="36"/>
  <c r="BA15" i="36"/>
  <c r="AZ15" i="36"/>
  <c r="AY15" i="36"/>
  <c r="AW15" i="36"/>
  <c r="AV15" i="36"/>
  <c r="AU15" i="36"/>
  <c r="AT15" i="36"/>
  <c r="AS15" i="36"/>
  <c r="AR15" i="36"/>
  <c r="AQ15" i="36"/>
  <c r="AP15" i="36"/>
  <c r="AO15" i="36"/>
  <c r="AN15" i="36"/>
  <c r="AM15" i="36"/>
  <c r="AL15" i="36"/>
  <c r="AJ15" i="36"/>
  <c r="AI15" i="36"/>
  <c r="AH15" i="36"/>
  <c r="AG15" i="36"/>
  <c r="AF15" i="36"/>
  <c r="AE15" i="36"/>
  <c r="AD15" i="36"/>
  <c r="AC15" i="36"/>
  <c r="AB15" i="36"/>
  <c r="AA15" i="36"/>
  <c r="Z15" i="36"/>
  <c r="Y15" i="36"/>
  <c r="W15" i="36"/>
  <c r="V15" i="36"/>
  <c r="U15" i="36"/>
  <c r="T15" i="36"/>
  <c r="S15" i="36"/>
  <c r="R15" i="36"/>
  <c r="Q15" i="36"/>
  <c r="P15" i="36"/>
  <c r="O15" i="36"/>
  <c r="N15" i="36"/>
  <c r="M15" i="36"/>
  <c r="L15" i="36"/>
  <c r="K15" i="36"/>
  <c r="A10" i="36"/>
  <c r="BX10" i="36"/>
  <c r="I27" i="64" s="1"/>
  <c r="BK10" i="36"/>
  <c r="AX10" i="36"/>
  <c r="G27" i="64" s="1"/>
  <c r="AK10" i="36"/>
  <c r="X10" i="36"/>
  <c r="E27" i="64" s="1"/>
  <c r="I25" i="64"/>
  <c r="G25" i="64"/>
  <c r="E25" i="64"/>
  <c r="H25" i="64"/>
  <c r="F25" i="64"/>
  <c r="D25" i="64"/>
  <c r="D27" i="64"/>
  <c r="F27" i="64"/>
  <c r="H27" i="64"/>
  <c r="D26" i="64"/>
  <c r="D14" i="64"/>
  <c r="D17" i="64"/>
  <c r="D16" i="64"/>
  <c r="A7" i="36"/>
  <c r="BX7" i="36"/>
  <c r="I14" i="64" s="1"/>
  <c r="BK7" i="36"/>
  <c r="H14" i="64" s="1"/>
  <c r="AX7" i="36"/>
  <c r="G14" i="64" s="1"/>
  <c r="AK7" i="36"/>
  <c r="F14" i="64" s="1"/>
  <c r="X7" i="36"/>
  <c r="E14" i="64" s="1"/>
  <c r="D13" i="64"/>
  <c r="CN206" i="3" l="1"/>
  <c r="CN196" i="3"/>
  <c r="CN207" i="3"/>
  <c r="CN194" i="3"/>
  <c r="CN200" i="3"/>
  <c r="CN184" i="3"/>
  <c r="CN201" i="3"/>
  <c r="CN197" i="3"/>
  <c r="CN182" i="3"/>
  <c r="CN187" i="3"/>
  <c r="CN165" i="3"/>
  <c r="CN195" i="3"/>
  <c r="CN183" i="3"/>
  <c r="CN152" i="3"/>
  <c r="CN161" i="3"/>
  <c r="CN158" i="3"/>
  <c r="CN162" i="3"/>
  <c r="CN155" i="3"/>
  <c r="CN142" i="3"/>
  <c r="CN136" i="3"/>
  <c r="CN125" i="3"/>
  <c r="CN145" i="3"/>
  <c r="CN116" i="3"/>
  <c r="CN137" i="3"/>
  <c r="CN122" i="3"/>
  <c r="CN127" i="3"/>
  <c r="CN126" i="3"/>
  <c r="CN111" i="3"/>
  <c r="CN117" i="3"/>
  <c r="CN115" i="3"/>
  <c r="CN102" i="3"/>
  <c r="CN112" i="3"/>
  <c r="CN105" i="3"/>
  <c r="CN91" i="3"/>
  <c r="CN106" i="3"/>
  <c r="CN101" i="3"/>
  <c r="CN86" i="3"/>
  <c r="CN92" i="3"/>
  <c r="BY10" i="36"/>
  <c r="J25" i="64"/>
  <c r="D37" i="30" s="1"/>
  <c r="J27" i="64"/>
  <c r="BY7" i="36"/>
  <c r="J14" i="64"/>
  <c r="D26" i="30" s="1"/>
  <c r="D24" i="64" l="1"/>
  <c r="D15" i="64"/>
  <c r="D12" i="64"/>
  <c r="F7" i="74" l="1"/>
  <c r="G7" i="74"/>
  <c r="H7" i="74"/>
  <c r="I7" i="74"/>
  <c r="J7" i="74"/>
  <c r="K7" i="74"/>
  <c r="L7" i="74"/>
  <c r="M7" i="74"/>
  <c r="N7" i="74"/>
  <c r="O7" i="74"/>
  <c r="P7" i="74"/>
  <c r="Q7" i="74"/>
  <c r="R7" i="74"/>
  <c r="S7" i="74"/>
  <c r="T7" i="74"/>
  <c r="U7" i="74"/>
  <c r="V7" i="74"/>
  <c r="W7" i="74"/>
  <c r="X7" i="74"/>
  <c r="Y7" i="74"/>
  <c r="Z7" i="74"/>
  <c r="AA7" i="74"/>
  <c r="AB7" i="74"/>
  <c r="AC7" i="74"/>
  <c r="AD7" i="74"/>
  <c r="AE7" i="74"/>
  <c r="AF7" i="74"/>
  <c r="AG7" i="74"/>
  <c r="AH7" i="74"/>
  <c r="AI7" i="74"/>
  <c r="AJ7" i="74"/>
  <c r="AK7" i="74"/>
  <c r="AL7" i="74"/>
  <c r="AM7" i="74"/>
  <c r="AN7" i="74"/>
  <c r="AO7" i="74"/>
  <c r="AP7" i="74"/>
  <c r="AQ7" i="74"/>
  <c r="AR7" i="74"/>
  <c r="AS7" i="74"/>
  <c r="AT7" i="74"/>
  <c r="AU7" i="74"/>
  <c r="AV7" i="74"/>
  <c r="AW7" i="74"/>
  <c r="AX7" i="74"/>
  <c r="E7" i="74"/>
  <c r="D7" i="74"/>
  <c r="A9" i="36" l="1"/>
  <c r="BX9" i="36"/>
  <c r="BK9" i="36"/>
  <c r="AX9" i="36"/>
  <c r="AK9" i="36"/>
  <c r="X9" i="36"/>
  <c r="A11" i="36"/>
  <c r="A8" i="36"/>
  <c r="A6" i="36"/>
  <c r="BX11" i="36"/>
  <c r="BK11" i="36"/>
  <c r="AX11" i="36"/>
  <c r="AK11" i="36"/>
  <c r="X11" i="36"/>
  <c r="I26" i="64"/>
  <c r="I24" i="64" s="1"/>
  <c r="G26" i="64"/>
  <c r="G24" i="64" s="1"/>
  <c r="F26" i="64"/>
  <c r="F24" i="64" s="1"/>
  <c r="E26" i="64"/>
  <c r="BX8" i="36"/>
  <c r="BK8" i="36"/>
  <c r="AX8" i="36"/>
  <c r="AK8" i="36"/>
  <c r="X8" i="36"/>
  <c r="X6" i="36"/>
  <c r="AK6" i="36"/>
  <c r="AX6" i="36"/>
  <c r="BK6" i="36"/>
  <c r="BX6" i="36"/>
  <c r="F17" i="64" l="1"/>
  <c r="E17" i="64"/>
  <c r="H16" i="64"/>
  <c r="H15" i="64" s="1"/>
  <c r="E16" i="64"/>
  <c r="E15" i="64" s="1"/>
  <c r="I16" i="64"/>
  <c r="G17" i="64"/>
  <c r="H17" i="64"/>
  <c r="F16" i="64"/>
  <c r="F15" i="64" s="1"/>
  <c r="I17" i="64"/>
  <c r="G16" i="64"/>
  <c r="G15" i="64" s="1"/>
  <c r="AX15" i="36"/>
  <c r="F13" i="64"/>
  <c r="F12" i="64" s="1"/>
  <c r="AK15" i="36"/>
  <c r="I13" i="64"/>
  <c r="I12" i="64" s="1"/>
  <c r="BX15" i="36"/>
  <c r="E13" i="64"/>
  <c r="E12" i="64" s="1"/>
  <c r="X15" i="36"/>
  <c r="H13" i="64"/>
  <c r="H12" i="64" s="1"/>
  <c r="BK15" i="36"/>
  <c r="H26" i="64"/>
  <c r="H24" i="64" s="1"/>
  <c r="E24" i="64"/>
  <c r="AX17" i="36"/>
  <c r="G13" i="64"/>
  <c r="G12" i="64" s="1"/>
  <c r="N17" i="36"/>
  <c r="BB17" i="36"/>
  <c r="AI16" i="36"/>
  <c r="AL17" i="36"/>
  <c r="S16" i="36"/>
  <c r="V17" i="36"/>
  <c r="BO16" i="36"/>
  <c r="BR17" i="36"/>
  <c r="BY9" i="36"/>
  <c r="AY16" i="36"/>
  <c r="L17" i="36"/>
  <c r="BS16" i="36"/>
  <c r="BC16" i="36"/>
  <c r="AM16" i="36"/>
  <c r="W16" i="36"/>
  <c r="BV17" i="36"/>
  <c r="BF17" i="36"/>
  <c r="AP17" i="36"/>
  <c r="Z17" i="36"/>
  <c r="BK16" i="36"/>
  <c r="AU16" i="36"/>
  <c r="AE16" i="36"/>
  <c r="O16" i="36"/>
  <c r="BN17" i="36"/>
  <c r="AH17" i="36"/>
  <c r="R17" i="36"/>
  <c r="BW16" i="36"/>
  <c r="BG16" i="36"/>
  <c r="AQ16" i="36"/>
  <c r="AA16" i="36"/>
  <c r="BJ17" i="36"/>
  <c r="AT17" i="36"/>
  <c r="AD17" i="36"/>
  <c r="BX16" i="36"/>
  <c r="I28" i="64" s="1"/>
  <c r="BT16" i="36"/>
  <c r="BP16" i="36"/>
  <c r="BL16" i="36"/>
  <c r="BH16" i="36"/>
  <c r="BD16" i="36"/>
  <c r="AZ16" i="36"/>
  <c r="AV16" i="36"/>
  <c r="AR16" i="36"/>
  <c r="AN16" i="36"/>
  <c r="AJ16" i="36"/>
  <c r="AF16" i="36"/>
  <c r="AB16" i="36"/>
  <c r="X16" i="36"/>
  <c r="T16" i="36"/>
  <c r="P16" i="36"/>
  <c r="L16" i="36"/>
  <c r="BW17" i="36"/>
  <c r="BS17" i="36"/>
  <c r="BO17" i="36"/>
  <c r="BK17" i="36"/>
  <c r="BG17" i="36"/>
  <c r="BC17" i="36"/>
  <c r="AY17" i="36"/>
  <c r="AU17" i="36"/>
  <c r="AQ17" i="36"/>
  <c r="AM17" i="36"/>
  <c r="AI17" i="36"/>
  <c r="AE17" i="36"/>
  <c r="AA17" i="36"/>
  <c r="W17" i="36"/>
  <c r="S17" i="36"/>
  <c r="O17" i="36"/>
  <c r="K17" i="36"/>
  <c r="D18" i="64" s="1"/>
  <c r="BV16" i="36"/>
  <c r="BR16" i="36"/>
  <c r="BN16" i="36"/>
  <c r="BJ16" i="36"/>
  <c r="BF16" i="36"/>
  <c r="BB16" i="36"/>
  <c r="AX16" i="36"/>
  <c r="G28" i="64" s="1"/>
  <c r="AT16" i="36"/>
  <c r="AP16" i="36"/>
  <c r="AL16" i="36"/>
  <c r="AH16" i="36"/>
  <c r="AD16" i="36"/>
  <c r="Z16" i="36"/>
  <c r="V16" i="36"/>
  <c r="R16" i="36"/>
  <c r="N16" i="36"/>
  <c r="BU17" i="36"/>
  <c r="BQ17" i="36"/>
  <c r="BM17" i="36"/>
  <c r="BI17" i="36"/>
  <c r="BE17" i="36"/>
  <c r="BA17" i="36"/>
  <c r="AW17" i="36"/>
  <c r="AS17" i="36"/>
  <c r="AO17" i="36"/>
  <c r="AK17" i="36"/>
  <c r="AG17" i="36"/>
  <c r="AC17" i="36"/>
  <c r="Y17" i="36"/>
  <c r="U17" i="36"/>
  <c r="Q17" i="36"/>
  <c r="M17" i="36"/>
  <c r="K16" i="36"/>
  <c r="D28" i="64" s="1"/>
  <c r="BU16" i="36"/>
  <c r="BQ16" i="36"/>
  <c r="BM16" i="36"/>
  <c r="BI16" i="36"/>
  <c r="BE16" i="36"/>
  <c r="BA16" i="36"/>
  <c r="AW16" i="36"/>
  <c r="AS16" i="36"/>
  <c r="AO16" i="36"/>
  <c r="AK16" i="36"/>
  <c r="F28" i="64" s="1"/>
  <c r="AG16" i="36"/>
  <c r="AC16" i="36"/>
  <c r="Y16" i="36"/>
  <c r="U16" i="36"/>
  <c r="Q16" i="36"/>
  <c r="M16" i="36"/>
  <c r="BX17" i="36"/>
  <c r="BT17" i="36"/>
  <c r="BP17" i="36"/>
  <c r="BL17" i="36"/>
  <c r="BH17" i="36"/>
  <c r="BD17" i="36"/>
  <c r="AZ17" i="36"/>
  <c r="AV17" i="36"/>
  <c r="AR17" i="36"/>
  <c r="AN17" i="36"/>
  <c r="AJ17" i="36"/>
  <c r="AF17" i="36"/>
  <c r="AB17" i="36"/>
  <c r="X17" i="36"/>
  <c r="T17" i="36"/>
  <c r="P17" i="36"/>
  <c r="BY8" i="36"/>
  <c r="BY11" i="36"/>
  <c r="BY6" i="36"/>
  <c r="A10" i="69"/>
  <c r="A9" i="69"/>
  <c r="A8" i="69"/>
  <c r="A7" i="69"/>
  <c r="A5" i="69"/>
  <c r="A4" i="69"/>
  <c r="A3" i="69"/>
  <c r="A2" i="69"/>
  <c r="I15" i="64" l="1"/>
  <c r="I18" i="64" s="1"/>
  <c r="J16" i="64"/>
  <c r="D28" i="30" s="1"/>
  <c r="BY16" i="36"/>
  <c r="J17" i="64"/>
  <c r="D29" i="30" s="1"/>
  <c r="E28" i="64"/>
  <c r="BY15" i="36"/>
  <c r="H18" i="64"/>
  <c r="H28" i="64"/>
  <c r="J26" i="64"/>
  <c r="D38" i="30" s="1"/>
  <c r="J24" i="64"/>
  <c r="F18" i="64"/>
  <c r="J12" i="64"/>
  <c r="E18" i="64"/>
  <c r="G18" i="64"/>
  <c r="J13" i="64"/>
  <c r="D25" i="30" s="1"/>
  <c r="BY17" i="36"/>
  <c r="J15" i="64" l="1"/>
  <c r="J28" i="64"/>
  <c r="J18" i="64"/>
  <c r="D30" i="30" s="1"/>
  <c r="D39" i="30"/>
  <c r="K81" i="3" l="1"/>
  <c r="K9" i="45"/>
  <c r="K10" i="45"/>
  <c r="K12" i="45"/>
  <c r="K13" i="45"/>
  <c r="K14" i="45"/>
  <c r="K15" i="45"/>
  <c r="K16" i="45"/>
  <c r="K30" i="45"/>
  <c r="K31" i="45"/>
  <c r="K32" i="45"/>
  <c r="K34" i="45"/>
  <c r="K35" i="45"/>
  <c r="K36" i="45"/>
  <c r="K37" i="45"/>
  <c r="K29" i="45"/>
  <c r="K69" i="45"/>
  <c r="K70" i="45"/>
  <c r="K81" i="45"/>
  <c r="K82" i="45"/>
  <c r="K83" i="45"/>
  <c r="K84" i="45"/>
  <c r="K85" i="45"/>
  <c r="K86" i="45"/>
  <c r="K87" i="45"/>
  <c r="K88" i="45"/>
  <c r="K89" i="45"/>
  <c r="K90" i="45"/>
  <c r="K91" i="45"/>
  <c r="K92" i="45"/>
  <c r="D40" i="30" l="1"/>
  <c r="CW20" i="45" l="1"/>
  <c r="K38" i="45"/>
  <c r="K39" i="45"/>
  <c r="K40" i="45"/>
  <c r="K41" i="45"/>
  <c r="K42" i="45"/>
  <c r="K43" i="45"/>
  <c r="K44" i="45"/>
  <c r="K45" i="45"/>
  <c r="K46" i="45"/>
  <c r="K47" i="45"/>
  <c r="K48" i="45"/>
  <c r="K49" i="45"/>
  <c r="K50" i="45"/>
  <c r="K51" i="45"/>
  <c r="K52" i="45"/>
  <c r="K53" i="45"/>
  <c r="K54" i="45"/>
  <c r="K55" i="45"/>
  <c r="K56" i="45"/>
  <c r="K57" i="45"/>
  <c r="K58" i="45"/>
  <c r="K59" i="45"/>
  <c r="K60" i="45"/>
  <c r="K61" i="45"/>
  <c r="K62" i="45"/>
  <c r="K63" i="45"/>
  <c r="K64" i="45"/>
  <c r="K65" i="45"/>
  <c r="K66" i="45"/>
  <c r="K67" i="45"/>
  <c r="K68" i="45"/>
  <c r="K71" i="45"/>
  <c r="K72" i="45"/>
  <c r="K73" i="45"/>
  <c r="K74" i="45"/>
  <c r="K75" i="45"/>
  <c r="K76" i="45"/>
  <c r="K77" i="45"/>
  <c r="K78" i="45"/>
  <c r="K79" i="45"/>
  <c r="K80" i="45"/>
  <c r="K93" i="45"/>
  <c r="K94" i="45"/>
  <c r="K95" i="45"/>
  <c r="K96" i="45"/>
  <c r="K97" i="45"/>
  <c r="K98" i="45"/>
  <c r="K99" i="45"/>
  <c r="K100" i="45"/>
  <c r="K101" i="45"/>
  <c r="K102" i="45"/>
  <c r="K103" i="45"/>
  <c r="K104" i="45"/>
  <c r="K105" i="45"/>
  <c r="K106" i="45"/>
  <c r="K107" i="45"/>
  <c r="K108" i="45"/>
  <c r="K109" i="45"/>
  <c r="K110" i="45"/>
  <c r="K111" i="45"/>
  <c r="K112" i="45"/>
  <c r="K113" i="45"/>
  <c r="K114" i="45"/>
  <c r="K17" i="45"/>
  <c r="K18" i="45"/>
  <c r="K19" i="45"/>
  <c r="K20" i="45"/>
  <c r="K21" i="45"/>
  <c r="K22" i="45"/>
  <c r="K23" i="45"/>
  <c r="K24" i="45"/>
  <c r="K25" i="45"/>
  <c r="K26" i="45"/>
  <c r="CP115" i="45"/>
  <c r="CO115" i="45"/>
  <c r="CN115" i="45"/>
  <c r="CM115" i="45"/>
  <c r="CL115" i="45"/>
  <c r="CK115" i="45"/>
  <c r="CJ115" i="45"/>
  <c r="CI115" i="45"/>
  <c r="CH115" i="45"/>
  <c r="CG115" i="45"/>
  <c r="CF115" i="45"/>
  <c r="CE115" i="45"/>
  <c r="CD115" i="45"/>
  <c r="CQ114" i="45"/>
  <c r="CQ113" i="45"/>
  <c r="CQ112" i="45"/>
  <c r="CQ111" i="45"/>
  <c r="CQ110" i="45"/>
  <c r="CQ109" i="45"/>
  <c r="CQ108" i="45"/>
  <c r="CQ107" i="45"/>
  <c r="CQ106" i="45"/>
  <c r="CQ105" i="45"/>
  <c r="CQ104" i="45"/>
  <c r="CQ103" i="45"/>
  <c r="CQ102" i="45"/>
  <c r="CQ101" i="45"/>
  <c r="CQ100" i="45"/>
  <c r="CQ99" i="45"/>
  <c r="CQ98" i="45"/>
  <c r="CQ97" i="45"/>
  <c r="CQ96" i="45"/>
  <c r="CQ95" i="45"/>
  <c r="CQ94" i="45"/>
  <c r="CQ93" i="45"/>
  <c r="CQ92" i="45"/>
  <c r="CQ91" i="45"/>
  <c r="CQ90" i="45"/>
  <c r="CQ89" i="45"/>
  <c r="CQ88" i="45"/>
  <c r="CQ87" i="45"/>
  <c r="CQ86" i="45"/>
  <c r="CQ85" i="45"/>
  <c r="CQ84" i="45"/>
  <c r="CQ83" i="45"/>
  <c r="CQ82" i="45"/>
  <c r="CQ81" i="45"/>
  <c r="CQ80" i="45"/>
  <c r="CQ79" i="45"/>
  <c r="CQ78" i="45"/>
  <c r="CQ77" i="45"/>
  <c r="CQ76" i="45"/>
  <c r="CQ75" i="45"/>
  <c r="CQ74" i="45"/>
  <c r="CQ73" i="45"/>
  <c r="CQ72" i="45"/>
  <c r="CQ71" i="45"/>
  <c r="CQ70" i="45"/>
  <c r="CQ69" i="45"/>
  <c r="CQ68" i="45"/>
  <c r="CQ67" i="45"/>
  <c r="CQ66" i="45"/>
  <c r="CQ65" i="45"/>
  <c r="CQ64" i="45"/>
  <c r="CQ63" i="45"/>
  <c r="CQ62" i="45"/>
  <c r="CQ61" i="45"/>
  <c r="CQ60" i="45"/>
  <c r="CQ59" i="45"/>
  <c r="CQ58" i="45"/>
  <c r="CQ57" i="45"/>
  <c r="CQ56" i="45"/>
  <c r="CQ55" i="45"/>
  <c r="CQ54" i="45"/>
  <c r="CQ53" i="45"/>
  <c r="CQ52" i="45"/>
  <c r="CQ51" i="45"/>
  <c r="CQ50" i="45"/>
  <c r="CQ49" i="45"/>
  <c r="CQ48" i="45"/>
  <c r="CQ47" i="45"/>
  <c r="CQ46" i="45"/>
  <c r="CQ45" i="45"/>
  <c r="CQ44" i="45"/>
  <c r="CQ43" i="45"/>
  <c r="CQ42" i="45"/>
  <c r="CQ41" i="45"/>
  <c r="CQ40" i="45"/>
  <c r="CQ39" i="45"/>
  <c r="CQ38" i="45"/>
  <c r="CQ37" i="45"/>
  <c r="CQ36" i="45"/>
  <c r="CQ35" i="45"/>
  <c r="CQ34" i="45"/>
  <c r="CQ33" i="45"/>
  <c r="CQ32" i="45"/>
  <c r="CQ31" i="45"/>
  <c r="CQ30" i="45"/>
  <c r="CQ29" i="45"/>
  <c r="CP27" i="45"/>
  <c r="CO27" i="45"/>
  <c r="CN27" i="45"/>
  <c r="CM27" i="45"/>
  <c r="CL27" i="45"/>
  <c r="CK27" i="45"/>
  <c r="CJ27" i="45"/>
  <c r="CI27" i="45"/>
  <c r="CH27" i="45"/>
  <c r="CG27" i="45"/>
  <c r="CF27" i="45"/>
  <c r="CE27" i="45"/>
  <c r="CD27" i="45"/>
  <c r="CQ26" i="45"/>
  <c r="CQ25" i="45"/>
  <c r="CQ24" i="45"/>
  <c r="CQ23" i="45"/>
  <c r="CQ22" i="45"/>
  <c r="CQ21" i="45"/>
  <c r="CQ20" i="45"/>
  <c r="CQ19" i="45"/>
  <c r="CQ18" i="45"/>
  <c r="CQ17" i="45"/>
  <c r="CQ16" i="45"/>
  <c r="CQ15" i="45"/>
  <c r="CQ14" i="45"/>
  <c r="CQ13" i="45"/>
  <c r="CQ12" i="45"/>
  <c r="CQ11" i="45"/>
  <c r="CQ10" i="45"/>
  <c r="CQ9" i="45"/>
  <c r="CA115" i="45"/>
  <c r="BZ115" i="45"/>
  <c r="BY115" i="45"/>
  <c r="BX115" i="45"/>
  <c r="BW115" i="45"/>
  <c r="BV115" i="45"/>
  <c r="BU115" i="45"/>
  <c r="BT115" i="45"/>
  <c r="BS115" i="45"/>
  <c r="BR115" i="45"/>
  <c r="BQ115" i="45"/>
  <c r="BP115" i="45"/>
  <c r="BO115" i="45"/>
  <c r="CB114" i="45"/>
  <c r="CC114" i="45" s="1"/>
  <c r="CB113" i="45"/>
  <c r="CC113" i="45" s="1"/>
  <c r="H23" i="64" s="1"/>
  <c r="CB112" i="45"/>
  <c r="CC112" i="45" s="1"/>
  <c r="CB111" i="45"/>
  <c r="CC111" i="45" s="1"/>
  <c r="CB110" i="45"/>
  <c r="CC110" i="45" s="1"/>
  <c r="H11" i="64" s="1"/>
  <c r="CB109" i="45"/>
  <c r="CC109" i="45" s="1"/>
  <c r="CB108" i="45"/>
  <c r="CC108" i="45" s="1"/>
  <c r="CB107" i="45"/>
  <c r="CC107" i="45" s="1"/>
  <c r="CB106" i="45"/>
  <c r="CC106" i="45" s="1"/>
  <c r="CB105" i="45"/>
  <c r="CC105" i="45" s="1"/>
  <c r="CB104" i="45"/>
  <c r="CC104" i="45" s="1"/>
  <c r="CB103" i="45"/>
  <c r="CC103" i="45" s="1"/>
  <c r="CB102" i="45"/>
  <c r="CC102" i="45" s="1"/>
  <c r="CB101" i="45"/>
  <c r="CC101" i="45" s="1"/>
  <c r="CB100" i="45"/>
  <c r="CC100" i="45" s="1"/>
  <c r="CB99" i="45"/>
  <c r="CC99" i="45" s="1"/>
  <c r="CB98" i="45"/>
  <c r="CC98" i="45" s="1"/>
  <c r="CB97" i="45"/>
  <c r="CC97" i="45" s="1"/>
  <c r="CB96" i="45"/>
  <c r="CC96" i="45" s="1"/>
  <c r="CB95" i="45"/>
  <c r="CC95" i="45" s="1"/>
  <c r="CB94" i="45"/>
  <c r="CC94" i="45" s="1"/>
  <c r="CB93" i="45"/>
  <c r="CC93" i="45" s="1"/>
  <c r="CB92" i="45"/>
  <c r="CC92" i="45" s="1"/>
  <c r="CB91" i="45"/>
  <c r="CC91" i="45" s="1"/>
  <c r="CB90" i="45"/>
  <c r="CC90" i="45" s="1"/>
  <c r="CB89" i="45"/>
  <c r="CC89" i="45" s="1"/>
  <c r="CB88" i="45"/>
  <c r="CC88" i="45" s="1"/>
  <c r="CB87" i="45"/>
  <c r="CC87" i="45" s="1"/>
  <c r="CB86" i="45"/>
  <c r="CC86" i="45" s="1"/>
  <c r="CB85" i="45"/>
  <c r="CC85" i="45" s="1"/>
  <c r="CB84" i="45"/>
  <c r="CC84" i="45" s="1"/>
  <c r="CB83" i="45"/>
  <c r="CC83" i="45" s="1"/>
  <c r="CB82" i="45"/>
  <c r="CC82" i="45" s="1"/>
  <c r="CB81" i="45"/>
  <c r="CC81" i="45" s="1"/>
  <c r="CB80" i="45"/>
  <c r="CC80" i="45" s="1"/>
  <c r="CB79" i="45"/>
  <c r="CC79" i="45" s="1"/>
  <c r="CB78" i="45"/>
  <c r="CC78" i="45" s="1"/>
  <c r="CB77" i="45"/>
  <c r="CC77" i="45" s="1"/>
  <c r="CB76" i="45"/>
  <c r="CC76" i="45" s="1"/>
  <c r="CB75" i="45"/>
  <c r="CC75" i="45" s="1"/>
  <c r="CB74" i="45"/>
  <c r="CC74" i="45" s="1"/>
  <c r="CB73" i="45"/>
  <c r="CC73" i="45" s="1"/>
  <c r="CB72" i="45"/>
  <c r="CC72" i="45" s="1"/>
  <c r="CB71" i="45"/>
  <c r="CC71" i="45" s="1"/>
  <c r="CB70" i="45"/>
  <c r="CC70" i="45" s="1"/>
  <c r="CB69" i="45"/>
  <c r="CC69" i="45" s="1"/>
  <c r="CB68" i="45"/>
  <c r="CC68" i="45" s="1"/>
  <c r="CB67" i="45"/>
  <c r="CC67" i="45" s="1"/>
  <c r="CB66" i="45"/>
  <c r="CC66" i="45" s="1"/>
  <c r="CB65" i="45"/>
  <c r="CC65" i="45" s="1"/>
  <c r="CB64" i="45"/>
  <c r="CC64" i="45" s="1"/>
  <c r="CB63" i="45"/>
  <c r="CC63" i="45" s="1"/>
  <c r="CB62" i="45"/>
  <c r="CC62" i="45" s="1"/>
  <c r="CB61" i="45"/>
  <c r="CC61" i="45" s="1"/>
  <c r="CB60" i="45"/>
  <c r="CC60" i="45" s="1"/>
  <c r="CB59" i="45"/>
  <c r="CC59" i="45" s="1"/>
  <c r="CB58" i="45"/>
  <c r="CC58" i="45" s="1"/>
  <c r="CB57" i="45"/>
  <c r="CC57" i="45" s="1"/>
  <c r="CB56" i="45"/>
  <c r="CC56" i="45" s="1"/>
  <c r="CB55" i="45"/>
  <c r="CC55" i="45" s="1"/>
  <c r="CB54" i="45"/>
  <c r="CC54" i="45" s="1"/>
  <c r="CB53" i="45"/>
  <c r="CC53" i="45" s="1"/>
  <c r="CB52" i="45"/>
  <c r="CC52" i="45" s="1"/>
  <c r="CB51" i="45"/>
  <c r="CC51" i="45" s="1"/>
  <c r="CB50" i="45"/>
  <c r="CC50" i="45" s="1"/>
  <c r="CB49" i="45"/>
  <c r="CC49" i="45" s="1"/>
  <c r="CB48" i="45"/>
  <c r="CC48" i="45" s="1"/>
  <c r="CB47" i="45"/>
  <c r="CC47" i="45" s="1"/>
  <c r="CB46" i="45"/>
  <c r="CC46" i="45" s="1"/>
  <c r="CB45" i="45"/>
  <c r="CC45" i="45" s="1"/>
  <c r="CB44" i="45"/>
  <c r="CC44" i="45" s="1"/>
  <c r="CB43" i="45"/>
  <c r="CC43" i="45" s="1"/>
  <c r="CB42" i="45"/>
  <c r="CC42" i="45" s="1"/>
  <c r="CB41" i="45"/>
  <c r="CC41" i="45" s="1"/>
  <c r="CB40" i="45"/>
  <c r="CC40" i="45" s="1"/>
  <c r="CB39" i="45"/>
  <c r="CC39" i="45" s="1"/>
  <c r="CB38" i="45"/>
  <c r="CC38" i="45" s="1"/>
  <c r="CB37" i="45"/>
  <c r="CC37" i="45" s="1"/>
  <c r="CB36" i="45"/>
  <c r="CC36" i="45" s="1"/>
  <c r="CB35" i="45"/>
  <c r="CC35" i="45" s="1"/>
  <c r="CB34" i="45"/>
  <c r="CC34" i="45" s="1"/>
  <c r="CB33" i="45"/>
  <c r="CC33" i="45" s="1"/>
  <c r="CB32" i="45"/>
  <c r="CC32" i="45" s="1"/>
  <c r="CB31" i="45"/>
  <c r="CC31" i="45" s="1"/>
  <c r="CB30" i="45"/>
  <c r="CC30" i="45" s="1"/>
  <c r="CB29" i="45"/>
  <c r="CA27" i="45"/>
  <c r="BZ27" i="45"/>
  <c r="BY27" i="45"/>
  <c r="BX27" i="45"/>
  <c r="BW27" i="45"/>
  <c r="BV27" i="45"/>
  <c r="BU27" i="45"/>
  <c r="BT27" i="45"/>
  <c r="BS27" i="45"/>
  <c r="BR27" i="45"/>
  <c r="BQ27" i="45"/>
  <c r="BP27" i="45"/>
  <c r="BO27" i="45"/>
  <c r="CB26" i="45"/>
  <c r="CC26" i="45" s="1"/>
  <c r="CB25" i="45"/>
  <c r="CC25" i="45" s="1"/>
  <c r="CB24" i="45"/>
  <c r="CC24" i="45" s="1"/>
  <c r="CB23" i="45"/>
  <c r="CC23" i="45" s="1"/>
  <c r="CB22" i="45"/>
  <c r="CC22" i="45" s="1"/>
  <c r="CB21" i="45"/>
  <c r="CC21" i="45" s="1"/>
  <c r="CB20" i="45"/>
  <c r="CC20" i="45" s="1"/>
  <c r="CB19" i="45"/>
  <c r="CC19" i="45" s="1"/>
  <c r="CB18" i="45"/>
  <c r="CC18" i="45" s="1"/>
  <c r="CB17" i="45"/>
  <c r="CC17" i="45" s="1"/>
  <c r="CB16" i="45"/>
  <c r="CC16" i="45" s="1"/>
  <c r="CB15" i="45"/>
  <c r="CC15" i="45" s="1"/>
  <c r="CB14" i="45"/>
  <c r="CC14" i="45" s="1"/>
  <c r="CB13" i="45"/>
  <c r="CC13" i="45" s="1"/>
  <c r="CB12" i="45"/>
  <c r="CC12" i="45" s="1"/>
  <c r="CB11" i="45"/>
  <c r="CC11" i="45" s="1"/>
  <c r="CB10" i="45"/>
  <c r="CC10" i="45" s="1"/>
  <c r="CB9" i="45"/>
  <c r="CC9" i="45" s="1"/>
  <c r="CW13" i="45"/>
  <c r="CJ16" i="3"/>
  <c r="CJ81" i="3"/>
  <c r="BU81" i="3"/>
  <c r="BU16" i="3"/>
  <c r="BF81" i="3"/>
  <c r="BF17" i="3"/>
  <c r="BF18" i="3"/>
  <c r="BF19" i="3"/>
  <c r="BF20" i="3"/>
  <c r="BF21" i="3"/>
  <c r="BF22" i="3"/>
  <c r="BF23" i="3"/>
  <c r="BF24" i="3"/>
  <c r="BF25" i="3"/>
  <c r="BF26" i="3"/>
  <c r="BF27" i="3"/>
  <c r="BF28" i="3"/>
  <c r="BF29" i="3"/>
  <c r="BF30" i="3"/>
  <c r="BF31" i="3"/>
  <c r="BF32" i="3"/>
  <c r="BF16" i="3"/>
  <c r="BF15" i="3"/>
  <c r="AQ82" i="3"/>
  <c r="AQ83" i="3"/>
  <c r="AQ84" i="3"/>
  <c r="AQ85" i="3"/>
  <c r="AQ87" i="3"/>
  <c r="AQ88" i="3"/>
  <c r="AQ89" i="3"/>
  <c r="AQ90" i="3"/>
  <c r="AQ93" i="3"/>
  <c r="AQ94" i="3"/>
  <c r="AQ95" i="3"/>
  <c r="AQ96" i="3"/>
  <c r="AQ97" i="3"/>
  <c r="AQ98" i="3"/>
  <c r="AQ99" i="3"/>
  <c r="AQ100" i="3"/>
  <c r="AQ103" i="3"/>
  <c r="AQ104" i="3"/>
  <c r="AQ107" i="3"/>
  <c r="AQ108" i="3"/>
  <c r="AQ109" i="3"/>
  <c r="AQ110" i="3"/>
  <c r="AQ113" i="3"/>
  <c r="AQ114" i="3"/>
  <c r="AQ118" i="3"/>
  <c r="AQ119" i="3"/>
  <c r="AQ120" i="3"/>
  <c r="AQ121" i="3"/>
  <c r="AQ123" i="3"/>
  <c r="AQ124" i="3"/>
  <c r="AQ128" i="3"/>
  <c r="AQ129" i="3"/>
  <c r="AQ130" i="3"/>
  <c r="AQ131" i="3"/>
  <c r="AQ132" i="3"/>
  <c r="AQ133" i="3"/>
  <c r="AQ134" i="3"/>
  <c r="AQ135" i="3"/>
  <c r="AQ138" i="3"/>
  <c r="AQ139" i="3"/>
  <c r="AQ140" i="3"/>
  <c r="AQ141" i="3"/>
  <c r="AQ143" i="3"/>
  <c r="AQ144" i="3"/>
  <c r="AQ146" i="3"/>
  <c r="AQ147" i="3"/>
  <c r="AQ148" i="3"/>
  <c r="AQ149" i="3"/>
  <c r="AQ150" i="3"/>
  <c r="AQ151" i="3"/>
  <c r="AQ153" i="3"/>
  <c r="AQ154" i="3"/>
  <c r="AQ156" i="3"/>
  <c r="AQ157" i="3"/>
  <c r="AQ159" i="3"/>
  <c r="AQ160" i="3"/>
  <c r="AQ163" i="3"/>
  <c r="AQ164" i="3"/>
  <c r="AQ166" i="3"/>
  <c r="AQ167" i="3"/>
  <c r="AQ168" i="3"/>
  <c r="AQ169" i="3"/>
  <c r="AQ170" i="3"/>
  <c r="AQ171" i="3"/>
  <c r="AQ172" i="3"/>
  <c r="AQ173" i="3"/>
  <c r="AQ174" i="3"/>
  <c r="AQ175" i="3"/>
  <c r="AQ176" i="3"/>
  <c r="AQ177" i="3"/>
  <c r="AQ178" i="3"/>
  <c r="AQ179" i="3"/>
  <c r="AQ180" i="3"/>
  <c r="AQ181" i="3"/>
  <c r="AQ185" i="3"/>
  <c r="AQ186" i="3"/>
  <c r="AQ188" i="3"/>
  <c r="AQ189" i="3"/>
  <c r="AQ190" i="3"/>
  <c r="AQ191" i="3"/>
  <c r="AQ192" i="3"/>
  <c r="AQ193" i="3"/>
  <c r="AQ198" i="3"/>
  <c r="AQ199" i="3"/>
  <c r="AQ202" i="3"/>
  <c r="AQ203" i="3"/>
  <c r="AQ204" i="3"/>
  <c r="AQ205" i="3"/>
  <c r="AQ208" i="3"/>
  <c r="AQ209" i="3"/>
  <c r="AQ210" i="3"/>
  <c r="AQ211" i="3"/>
  <c r="AQ212" i="3"/>
  <c r="AQ213" i="3"/>
  <c r="AQ214" i="3"/>
  <c r="AQ81" i="3"/>
  <c r="AQ16" i="3"/>
  <c r="CR9" i="45" l="1"/>
  <c r="CR13" i="45"/>
  <c r="CR17" i="45"/>
  <c r="CR21" i="45"/>
  <c r="CR25" i="45"/>
  <c r="CR30" i="45"/>
  <c r="CR34" i="45"/>
  <c r="CR38" i="45"/>
  <c r="CR42" i="45"/>
  <c r="CR46" i="45"/>
  <c r="CR50" i="45"/>
  <c r="CR54" i="45"/>
  <c r="CR58" i="45"/>
  <c r="CR62" i="45"/>
  <c r="CR66" i="45"/>
  <c r="CR70" i="45"/>
  <c r="CR74" i="45"/>
  <c r="CR78" i="45"/>
  <c r="CR82" i="45"/>
  <c r="CR86" i="45"/>
  <c r="CR90" i="45"/>
  <c r="CR94" i="45"/>
  <c r="CR98" i="45"/>
  <c r="CR102" i="45"/>
  <c r="CR106" i="45"/>
  <c r="CR110" i="45"/>
  <c r="I11" i="64" s="1"/>
  <c r="CR114" i="45"/>
  <c r="CC29" i="45"/>
  <c r="CB115" i="45"/>
  <c r="CR10" i="45"/>
  <c r="CR14" i="45"/>
  <c r="CR18" i="45"/>
  <c r="CR22" i="45"/>
  <c r="CR26" i="45"/>
  <c r="CR31" i="45"/>
  <c r="CR35" i="45"/>
  <c r="CR39" i="45"/>
  <c r="CR43" i="45"/>
  <c r="CR47" i="45"/>
  <c r="CR51" i="45"/>
  <c r="CR55" i="45"/>
  <c r="CR59" i="45"/>
  <c r="CR63" i="45"/>
  <c r="CR67" i="45"/>
  <c r="CR71" i="45"/>
  <c r="CR75" i="45"/>
  <c r="CR79" i="45"/>
  <c r="CR83" i="45"/>
  <c r="CR87" i="45"/>
  <c r="CR91" i="45"/>
  <c r="CR95" i="45"/>
  <c r="CR99" i="45"/>
  <c r="CR103" i="45"/>
  <c r="CR107" i="45"/>
  <c r="CR111" i="45"/>
  <c r="CR11" i="45"/>
  <c r="CR15" i="45"/>
  <c r="CR19" i="45"/>
  <c r="CR23" i="45"/>
  <c r="CR32" i="45"/>
  <c r="CR36" i="45"/>
  <c r="CR40" i="45"/>
  <c r="CR44" i="45"/>
  <c r="CR48" i="45"/>
  <c r="CR52" i="45"/>
  <c r="CR56" i="45"/>
  <c r="CR60" i="45"/>
  <c r="CR64" i="45"/>
  <c r="CR68" i="45"/>
  <c r="CR72" i="45"/>
  <c r="CR76" i="45"/>
  <c r="CR80" i="45"/>
  <c r="CR84" i="45"/>
  <c r="CR88" i="45"/>
  <c r="CR92" i="45"/>
  <c r="CR96" i="45"/>
  <c r="CR100" i="45"/>
  <c r="CR104" i="45"/>
  <c r="CR108" i="45"/>
  <c r="CR112" i="45"/>
  <c r="CR12" i="45"/>
  <c r="CR16" i="45"/>
  <c r="CR20" i="45"/>
  <c r="CR24" i="45"/>
  <c r="CQ115" i="45"/>
  <c r="CR33" i="45"/>
  <c r="CR37" i="45"/>
  <c r="CR41" i="45"/>
  <c r="CR45" i="45"/>
  <c r="CR49" i="45"/>
  <c r="CR53" i="45"/>
  <c r="CR57" i="45"/>
  <c r="CR61" i="45"/>
  <c r="CR65" i="45"/>
  <c r="CR69" i="45"/>
  <c r="CR73" i="45"/>
  <c r="CR77" i="45"/>
  <c r="CR81" i="45"/>
  <c r="CR85" i="45"/>
  <c r="CR89" i="45"/>
  <c r="CR93" i="45"/>
  <c r="CR97" i="45"/>
  <c r="CR101" i="45"/>
  <c r="CR105" i="45"/>
  <c r="CR109" i="45"/>
  <c r="CR113" i="45"/>
  <c r="I23" i="64" s="1"/>
  <c r="BV116" i="45"/>
  <c r="CF116" i="45"/>
  <c r="CN116" i="45"/>
  <c r="BZ116" i="45"/>
  <c r="CK116" i="45"/>
  <c r="BS116" i="45"/>
  <c r="BP116" i="45"/>
  <c r="BX116" i="45"/>
  <c r="CG116" i="45"/>
  <c r="CO116" i="45"/>
  <c r="CA116" i="45"/>
  <c r="BR116" i="45"/>
  <c r="BT116" i="45"/>
  <c r="CC27" i="45"/>
  <c r="CC121" i="45" s="1" a="1"/>
  <c r="CC121" i="45" s="1"/>
  <c r="H10" i="64" s="1"/>
  <c r="H8" i="64" s="1"/>
  <c r="H7" i="64" s="1"/>
  <c r="CP116" i="45"/>
  <c r="BU116" i="45"/>
  <c r="CI116" i="45"/>
  <c r="CR29" i="45"/>
  <c r="CH116" i="45"/>
  <c r="BQ116" i="45"/>
  <c r="BY116" i="45"/>
  <c r="CD116" i="45"/>
  <c r="CL116" i="45"/>
  <c r="BO116" i="45"/>
  <c r="BW116" i="45"/>
  <c r="CJ116" i="45"/>
  <c r="CE116" i="45"/>
  <c r="CM116" i="45"/>
  <c r="CB27" i="45"/>
  <c r="CC115" i="45"/>
  <c r="CQ27" i="45"/>
  <c r="N81" i="3"/>
  <c r="H86" i="19"/>
  <c r="I86" i="19"/>
  <c r="J86" i="19"/>
  <c r="K86" i="19"/>
  <c r="L86" i="19"/>
  <c r="M86" i="19"/>
  <c r="N86" i="19"/>
  <c r="O86" i="19"/>
  <c r="P86" i="19"/>
  <c r="Q86" i="19"/>
  <c r="R86" i="19"/>
  <c r="S86" i="19"/>
  <c r="U86" i="19"/>
  <c r="V86" i="19"/>
  <c r="W86" i="19"/>
  <c r="X86" i="19"/>
  <c r="Y86" i="19"/>
  <c r="Z86" i="19"/>
  <c r="AA86" i="19"/>
  <c r="AB86" i="19"/>
  <c r="AC86" i="19"/>
  <c r="AD86" i="19"/>
  <c r="AE86" i="19"/>
  <c r="AF86" i="19"/>
  <c r="AH86" i="19"/>
  <c r="AI86" i="19"/>
  <c r="AJ86" i="19"/>
  <c r="AK86" i="19"/>
  <c r="AL86" i="19"/>
  <c r="AM86" i="19"/>
  <c r="AN86" i="19"/>
  <c r="AO86" i="19"/>
  <c r="AP86" i="19"/>
  <c r="AQ86" i="19"/>
  <c r="AR86" i="19"/>
  <c r="AS86" i="19"/>
  <c r="AU86" i="19"/>
  <c r="AV86" i="19"/>
  <c r="AW86" i="19"/>
  <c r="AX86" i="19"/>
  <c r="AY86" i="19"/>
  <c r="AZ86" i="19"/>
  <c r="BA86" i="19"/>
  <c r="BB86" i="19"/>
  <c r="BC86" i="19"/>
  <c r="BD86" i="19"/>
  <c r="BE86" i="19"/>
  <c r="BF86" i="19"/>
  <c r="BH86" i="19"/>
  <c r="BI86" i="19"/>
  <c r="BJ86" i="19"/>
  <c r="BK86" i="19"/>
  <c r="BL86" i="19"/>
  <c r="BM86" i="19"/>
  <c r="BN86" i="19"/>
  <c r="BO86" i="19"/>
  <c r="BP86" i="19"/>
  <c r="BQ86" i="19"/>
  <c r="BR86" i="19"/>
  <c r="BS86" i="19"/>
  <c r="G86" i="19"/>
  <c r="H69" i="19"/>
  <c r="I69" i="19"/>
  <c r="J69" i="19"/>
  <c r="K69" i="19"/>
  <c r="L69" i="19"/>
  <c r="M69" i="19"/>
  <c r="N69" i="19"/>
  <c r="O69" i="19"/>
  <c r="P69" i="19"/>
  <c r="Q69" i="19"/>
  <c r="R69" i="19"/>
  <c r="S69" i="19"/>
  <c r="U69" i="19"/>
  <c r="V69" i="19"/>
  <c r="W69" i="19"/>
  <c r="X69" i="19"/>
  <c r="Y69" i="19"/>
  <c r="Z69" i="19"/>
  <c r="AA69" i="19"/>
  <c r="AB69" i="19"/>
  <c r="AC69" i="19"/>
  <c r="AD69" i="19"/>
  <c r="AE69" i="19"/>
  <c r="AF69" i="19"/>
  <c r="AH69" i="19"/>
  <c r="AI69" i="19"/>
  <c r="AJ69" i="19"/>
  <c r="AK69" i="19"/>
  <c r="AL69" i="19"/>
  <c r="AM69" i="19"/>
  <c r="AN69" i="19"/>
  <c r="AO69" i="19"/>
  <c r="AP69" i="19"/>
  <c r="AQ69" i="19"/>
  <c r="AR69" i="19"/>
  <c r="AS69" i="19"/>
  <c r="AU69" i="19"/>
  <c r="AV69" i="19"/>
  <c r="AW69" i="19"/>
  <c r="AX69" i="19"/>
  <c r="AY69" i="19"/>
  <c r="AZ69" i="19"/>
  <c r="BA69" i="19"/>
  <c r="BB69" i="19"/>
  <c r="BC69" i="19"/>
  <c r="BD69" i="19"/>
  <c r="BE69" i="19"/>
  <c r="BF69" i="19"/>
  <c r="BH69" i="19"/>
  <c r="BI69" i="19"/>
  <c r="BJ69" i="19"/>
  <c r="BK69" i="19"/>
  <c r="BL69" i="19"/>
  <c r="BM69" i="19"/>
  <c r="BN69" i="19"/>
  <c r="BO69" i="19"/>
  <c r="BP69" i="19"/>
  <c r="BQ69" i="19"/>
  <c r="BR69" i="19"/>
  <c r="BS69" i="19"/>
  <c r="H52" i="19"/>
  <c r="I52" i="19"/>
  <c r="J52" i="19"/>
  <c r="K52" i="19"/>
  <c r="L52" i="19"/>
  <c r="M52" i="19"/>
  <c r="N52" i="19"/>
  <c r="O52" i="19"/>
  <c r="P52" i="19"/>
  <c r="Q52" i="19"/>
  <c r="R52" i="19"/>
  <c r="S52" i="19"/>
  <c r="U52" i="19"/>
  <c r="V52" i="19"/>
  <c r="W52" i="19"/>
  <c r="X52" i="19"/>
  <c r="Y52" i="19"/>
  <c r="Z52" i="19"/>
  <c r="AA52" i="19"/>
  <c r="AB52" i="19"/>
  <c r="AC52" i="19"/>
  <c r="AD52" i="19"/>
  <c r="AE52" i="19"/>
  <c r="AF52" i="19"/>
  <c r="AH52" i="19"/>
  <c r="AI52" i="19"/>
  <c r="AJ52" i="19"/>
  <c r="AK52" i="19"/>
  <c r="AL52" i="19"/>
  <c r="AM52" i="19"/>
  <c r="AN52" i="19"/>
  <c r="AO52" i="19"/>
  <c r="AP52" i="19"/>
  <c r="AQ52" i="19"/>
  <c r="AR52" i="19"/>
  <c r="AS52" i="19"/>
  <c r="AU52" i="19"/>
  <c r="AV52" i="19"/>
  <c r="AW52" i="19"/>
  <c r="AX52" i="19"/>
  <c r="AY52" i="19"/>
  <c r="AZ52" i="19"/>
  <c r="BA52" i="19"/>
  <c r="BB52" i="19"/>
  <c r="BC52" i="19"/>
  <c r="BD52" i="19"/>
  <c r="BE52" i="19"/>
  <c r="BF52" i="19"/>
  <c r="BH52" i="19"/>
  <c r="BI52" i="19"/>
  <c r="BJ52" i="19"/>
  <c r="BK52" i="19"/>
  <c r="BL52" i="19"/>
  <c r="BM52" i="19"/>
  <c r="BN52" i="19"/>
  <c r="BO52" i="19"/>
  <c r="BP52" i="19"/>
  <c r="BQ52" i="19"/>
  <c r="BR52" i="19"/>
  <c r="BS52" i="19"/>
  <c r="H40" i="19"/>
  <c r="I40" i="19"/>
  <c r="J40" i="19"/>
  <c r="K40" i="19"/>
  <c r="L40" i="19"/>
  <c r="M40" i="19"/>
  <c r="N40" i="19"/>
  <c r="O40" i="19"/>
  <c r="P40" i="19"/>
  <c r="Q40" i="19"/>
  <c r="R40" i="19"/>
  <c r="S40" i="19"/>
  <c r="U40" i="19"/>
  <c r="V40" i="19"/>
  <c r="W40" i="19"/>
  <c r="X40" i="19"/>
  <c r="Y40" i="19"/>
  <c r="Z40" i="19"/>
  <c r="AA40" i="19"/>
  <c r="AB40" i="19"/>
  <c r="AC40" i="19"/>
  <c r="AD40" i="19"/>
  <c r="AE40" i="19"/>
  <c r="AF40" i="19"/>
  <c r="AH40" i="19"/>
  <c r="AI40" i="19"/>
  <c r="AJ40" i="19"/>
  <c r="AK40" i="19"/>
  <c r="AL40" i="19"/>
  <c r="AM40" i="19"/>
  <c r="AN40" i="19"/>
  <c r="AO40" i="19"/>
  <c r="AP40" i="19"/>
  <c r="AQ40" i="19"/>
  <c r="AR40" i="19"/>
  <c r="AS40" i="19"/>
  <c r="AU40" i="19"/>
  <c r="AV40" i="19"/>
  <c r="AW40" i="19"/>
  <c r="AX40" i="19"/>
  <c r="AY40" i="19"/>
  <c r="AZ40" i="19"/>
  <c r="BA40" i="19"/>
  <c r="BB40" i="19"/>
  <c r="BC40" i="19"/>
  <c r="BD40" i="19"/>
  <c r="BE40" i="19"/>
  <c r="BF40" i="19"/>
  <c r="BH40" i="19"/>
  <c r="BI40" i="19"/>
  <c r="BJ40" i="19"/>
  <c r="BK40" i="19"/>
  <c r="BL40" i="19"/>
  <c r="BM40" i="19"/>
  <c r="BN40" i="19"/>
  <c r="BO40" i="19"/>
  <c r="BP40" i="19"/>
  <c r="BQ40" i="19"/>
  <c r="BR40" i="19"/>
  <c r="BS40" i="19"/>
  <c r="G40" i="19"/>
  <c r="H28" i="19"/>
  <c r="I28" i="19"/>
  <c r="J28" i="19"/>
  <c r="K28" i="19"/>
  <c r="L28" i="19"/>
  <c r="M28" i="19"/>
  <c r="N28" i="19"/>
  <c r="O28" i="19"/>
  <c r="P28" i="19"/>
  <c r="Q28" i="19"/>
  <c r="R28" i="19"/>
  <c r="S28" i="19"/>
  <c r="U28" i="19"/>
  <c r="V28" i="19"/>
  <c r="W28" i="19"/>
  <c r="X28" i="19"/>
  <c r="Y28" i="19"/>
  <c r="Z28" i="19"/>
  <c r="AA28" i="19"/>
  <c r="AB28" i="19"/>
  <c r="AC28" i="19"/>
  <c r="AD28" i="19"/>
  <c r="AE28" i="19"/>
  <c r="AF28" i="19"/>
  <c r="AH28" i="19"/>
  <c r="AI28" i="19"/>
  <c r="AJ28" i="19"/>
  <c r="AK28" i="19"/>
  <c r="AL28" i="19"/>
  <c r="AM28" i="19"/>
  <c r="AN28" i="19"/>
  <c r="AO28" i="19"/>
  <c r="AP28" i="19"/>
  <c r="AQ28" i="19"/>
  <c r="AR28" i="19"/>
  <c r="AS28" i="19"/>
  <c r="AU28" i="19"/>
  <c r="AV28" i="19"/>
  <c r="AW28" i="19"/>
  <c r="AX28" i="19"/>
  <c r="AY28" i="19"/>
  <c r="AZ28" i="19"/>
  <c r="BA28" i="19"/>
  <c r="BB28" i="19"/>
  <c r="BC28" i="19"/>
  <c r="BD28" i="19"/>
  <c r="BE28" i="19"/>
  <c r="BF28" i="19"/>
  <c r="BH28" i="19"/>
  <c r="BI28" i="19"/>
  <c r="BJ28" i="19"/>
  <c r="BK28" i="19"/>
  <c r="BL28" i="19"/>
  <c r="BM28" i="19"/>
  <c r="BN28" i="19"/>
  <c r="BO28" i="19"/>
  <c r="BP28" i="19"/>
  <c r="BQ28" i="19"/>
  <c r="BR28" i="19"/>
  <c r="BS28" i="19"/>
  <c r="G28" i="19"/>
  <c r="AH16" i="19"/>
  <c r="AI16" i="19"/>
  <c r="AJ16" i="19"/>
  <c r="AK16" i="19"/>
  <c r="AL16" i="19"/>
  <c r="AM16" i="19"/>
  <c r="AN16" i="19"/>
  <c r="AO16" i="19"/>
  <c r="AP16" i="19"/>
  <c r="AQ16" i="19"/>
  <c r="AR16" i="19"/>
  <c r="AS16" i="19"/>
  <c r="AU16" i="19"/>
  <c r="AV16" i="19"/>
  <c r="AW16" i="19"/>
  <c r="AX16" i="19"/>
  <c r="AY16" i="19"/>
  <c r="AZ16" i="19"/>
  <c r="BA16" i="19"/>
  <c r="BB16" i="19"/>
  <c r="BC16" i="19"/>
  <c r="BD16" i="19"/>
  <c r="BE16" i="19"/>
  <c r="BF16" i="19"/>
  <c r="BH16" i="19"/>
  <c r="BI16" i="19"/>
  <c r="BJ16" i="19"/>
  <c r="BK16" i="19"/>
  <c r="BL16" i="19"/>
  <c r="BM16" i="19"/>
  <c r="BN16" i="19"/>
  <c r="BO16" i="19"/>
  <c r="BP16" i="19"/>
  <c r="BQ16" i="19"/>
  <c r="BR16" i="19"/>
  <c r="BS16" i="19"/>
  <c r="V16" i="19"/>
  <c r="W16" i="19"/>
  <c r="X16" i="19"/>
  <c r="Y16" i="19"/>
  <c r="Z16" i="19"/>
  <c r="AA16" i="19"/>
  <c r="AB16" i="19"/>
  <c r="AC16" i="19"/>
  <c r="AD16" i="19"/>
  <c r="AE16" i="19"/>
  <c r="AF16" i="19"/>
  <c r="U16" i="19"/>
  <c r="H16" i="19"/>
  <c r="I16" i="19"/>
  <c r="J16" i="19"/>
  <c r="K16" i="19"/>
  <c r="L16" i="19"/>
  <c r="M16" i="19"/>
  <c r="N16" i="19"/>
  <c r="O16" i="19"/>
  <c r="P16" i="19"/>
  <c r="Q16" i="19"/>
  <c r="R16" i="19"/>
  <c r="S16" i="19"/>
  <c r="G16" i="19"/>
  <c r="CV30" i="45"/>
  <c r="CV31" i="45"/>
  <c r="CV32" i="45"/>
  <c r="CV33" i="45"/>
  <c r="CV34" i="45"/>
  <c r="CV35" i="45"/>
  <c r="CV36" i="45"/>
  <c r="CV37" i="45"/>
  <c r="CV38" i="45"/>
  <c r="CV39" i="45"/>
  <c r="CV40" i="45"/>
  <c r="CV41" i="45"/>
  <c r="CV42" i="45"/>
  <c r="CV43" i="45"/>
  <c r="CV44" i="45"/>
  <c r="CV45" i="45"/>
  <c r="CV46" i="45"/>
  <c r="CV47" i="45"/>
  <c r="CV48" i="45"/>
  <c r="CV49" i="45"/>
  <c r="CV50" i="45"/>
  <c r="CV51" i="45"/>
  <c r="CV52" i="45"/>
  <c r="CV53" i="45"/>
  <c r="CV54" i="45"/>
  <c r="CV55" i="45"/>
  <c r="CV56" i="45"/>
  <c r="CV57" i="45"/>
  <c r="CV58" i="45"/>
  <c r="CV59" i="45"/>
  <c r="CV60" i="45"/>
  <c r="CV61" i="45"/>
  <c r="CV62" i="45"/>
  <c r="CV63" i="45"/>
  <c r="CV64" i="45"/>
  <c r="CV65" i="45"/>
  <c r="CV66" i="45"/>
  <c r="CV67" i="45"/>
  <c r="CV68" i="45"/>
  <c r="CV69" i="45"/>
  <c r="CV70" i="45"/>
  <c r="CV71" i="45"/>
  <c r="CV72" i="45"/>
  <c r="CV73" i="45"/>
  <c r="CV74" i="45"/>
  <c r="CV75" i="45"/>
  <c r="CV76" i="45"/>
  <c r="CV77" i="45"/>
  <c r="CV78" i="45"/>
  <c r="CV79" i="45"/>
  <c r="CV80" i="45"/>
  <c r="CV81" i="45"/>
  <c r="CV82" i="45"/>
  <c r="CV83" i="45"/>
  <c r="CV84" i="45"/>
  <c r="CV85" i="45"/>
  <c r="CV86" i="45"/>
  <c r="CV87" i="45"/>
  <c r="CV88" i="45"/>
  <c r="CV89" i="45"/>
  <c r="CV90" i="45"/>
  <c r="CV91" i="45"/>
  <c r="CV92" i="45"/>
  <c r="CV93" i="45"/>
  <c r="CV94" i="45"/>
  <c r="CV95" i="45"/>
  <c r="CV96" i="45"/>
  <c r="CV97" i="45"/>
  <c r="CV98" i="45"/>
  <c r="CV99" i="45"/>
  <c r="CV100" i="45"/>
  <c r="CV101" i="45"/>
  <c r="CV102" i="45"/>
  <c r="CV103" i="45"/>
  <c r="CV104" i="45"/>
  <c r="CV105" i="45"/>
  <c r="CV106" i="45"/>
  <c r="CV107" i="45"/>
  <c r="CV108" i="45"/>
  <c r="CV109" i="45"/>
  <c r="CV110" i="45"/>
  <c r="CV111" i="45"/>
  <c r="CV112" i="45"/>
  <c r="CV113" i="45"/>
  <c r="CV114" i="45"/>
  <c r="CV29" i="45"/>
  <c r="CV10" i="45"/>
  <c r="CV11" i="45"/>
  <c r="CV12" i="45"/>
  <c r="CV13" i="45"/>
  <c r="CV14" i="45"/>
  <c r="CV15" i="45"/>
  <c r="CV16" i="45"/>
  <c r="CV17" i="45"/>
  <c r="CV18" i="45"/>
  <c r="CV19" i="45"/>
  <c r="CV20" i="45"/>
  <c r="CV21" i="45"/>
  <c r="CV22" i="45"/>
  <c r="CV23" i="45"/>
  <c r="CV24" i="45"/>
  <c r="CV25" i="45"/>
  <c r="CV26" i="45"/>
  <c r="CV9" i="45"/>
  <c r="CW30" i="45"/>
  <c r="CW31" i="45"/>
  <c r="CW32" i="45"/>
  <c r="CW35" i="45"/>
  <c r="CW36" i="45"/>
  <c r="CW37" i="45"/>
  <c r="CW38" i="45"/>
  <c r="CW39" i="45"/>
  <c r="CW40" i="45"/>
  <c r="CW41" i="45"/>
  <c r="CW42" i="45"/>
  <c r="CW43" i="45"/>
  <c r="CW44" i="45"/>
  <c r="CW45" i="45"/>
  <c r="CW46" i="45"/>
  <c r="CW47" i="45"/>
  <c r="CW48" i="45"/>
  <c r="CW49" i="45"/>
  <c r="CW50" i="45"/>
  <c r="CW51" i="45"/>
  <c r="CW52" i="45"/>
  <c r="CW53" i="45"/>
  <c r="CW54" i="45"/>
  <c r="CW55" i="45"/>
  <c r="CW56" i="45"/>
  <c r="CW57" i="45"/>
  <c r="CW58" i="45"/>
  <c r="CW59" i="45"/>
  <c r="CW60" i="45"/>
  <c r="CW61" i="45"/>
  <c r="CW62" i="45"/>
  <c r="CW63" i="45"/>
  <c r="CW64" i="45"/>
  <c r="CW65" i="45"/>
  <c r="CW66" i="45"/>
  <c r="CW67" i="45"/>
  <c r="CW68" i="45"/>
  <c r="CW69" i="45"/>
  <c r="CW70" i="45"/>
  <c r="CW71" i="45"/>
  <c r="CW72" i="45"/>
  <c r="CW73" i="45"/>
  <c r="CW74" i="45"/>
  <c r="CW75" i="45"/>
  <c r="CW76" i="45"/>
  <c r="CW77" i="45"/>
  <c r="CW78" i="45"/>
  <c r="CW79" i="45"/>
  <c r="CW80" i="45"/>
  <c r="CW81" i="45"/>
  <c r="CW82" i="45"/>
  <c r="CW83" i="45"/>
  <c r="CW84" i="45"/>
  <c r="CW85" i="45"/>
  <c r="CW86" i="45"/>
  <c r="CW87" i="45"/>
  <c r="CW88" i="45"/>
  <c r="CW89" i="45"/>
  <c r="CW90" i="45"/>
  <c r="CW91" i="45"/>
  <c r="CW92" i="45"/>
  <c r="CW93" i="45"/>
  <c r="CW94" i="45"/>
  <c r="CW95" i="45"/>
  <c r="CW96" i="45"/>
  <c r="CW97" i="45"/>
  <c r="CW98" i="45"/>
  <c r="CW99" i="45"/>
  <c r="CW100" i="45"/>
  <c r="CW101" i="45"/>
  <c r="CW102" i="45"/>
  <c r="CW103" i="45"/>
  <c r="CW104" i="45"/>
  <c r="CW105" i="45"/>
  <c r="CW106" i="45"/>
  <c r="CW107" i="45"/>
  <c r="CW108" i="45"/>
  <c r="CW109" i="45"/>
  <c r="CW110" i="45"/>
  <c r="CW111" i="45"/>
  <c r="CW112" i="45"/>
  <c r="CW113" i="45"/>
  <c r="CW114" i="45"/>
  <c r="CW29" i="45"/>
  <c r="CW14" i="45"/>
  <c r="CW15" i="45"/>
  <c r="CW16" i="45"/>
  <c r="CW17" i="45"/>
  <c r="CW18" i="45"/>
  <c r="CW19" i="45"/>
  <c r="CW21" i="45"/>
  <c r="CW22" i="45"/>
  <c r="CW23" i="45"/>
  <c r="CW24" i="45"/>
  <c r="CW25" i="45"/>
  <c r="CW26" i="45"/>
  <c r="CW11" i="45"/>
  <c r="CW10" i="45"/>
  <c r="CW9" i="45"/>
  <c r="CW12" i="45"/>
  <c r="CR115" i="45" l="1"/>
  <c r="CB116" i="45"/>
  <c r="BC87" i="19"/>
  <c r="BK87" i="19"/>
  <c r="AK87" i="19"/>
  <c r="AR87" i="19"/>
  <c r="P87" i="19"/>
  <c r="AU87" i="19"/>
  <c r="AS87" i="19"/>
  <c r="AQ87" i="19"/>
  <c r="BO87" i="19"/>
  <c r="AF87" i="19"/>
  <c r="X87" i="19"/>
  <c r="O87" i="19"/>
  <c r="BL87" i="19"/>
  <c r="U87" i="19"/>
  <c r="BB87" i="19"/>
  <c r="AI87" i="19"/>
  <c r="BE87" i="19"/>
  <c r="AE87" i="19"/>
  <c r="W87" i="19"/>
  <c r="N87" i="19"/>
  <c r="AC87" i="19"/>
  <c r="BS87" i="19"/>
  <c r="S87" i="19"/>
  <c r="AJ87" i="19"/>
  <c r="BM87" i="19"/>
  <c r="BD87" i="19"/>
  <c r="AV87" i="19"/>
  <c r="AD87" i="19"/>
  <c r="V87" i="19"/>
  <c r="L87" i="19"/>
  <c r="H87" i="19"/>
  <c r="CC120" i="45" a="1"/>
  <c r="CC120" i="45" s="1"/>
  <c r="H22" i="64" s="1"/>
  <c r="BI87" i="19"/>
  <c r="K87" i="19"/>
  <c r="R87" i="19"/>
  <c r="BR87" i="19"/>
  <c r="BJ87" i="19"/>
  <c r="BQ87" i="19"/>
  <c r="BP87" i="19"/>
  <c r="BH87" i="19"/>
  <c r="BN87" i="19"/>
  <c r="BF87" i="19"/>
  <c r="AZ87" i="19"/>
  <c r="AY87" i="19"/>
  <c r="AX87" i="19"/>
  <c r="BA87" i="19"/>
  <c r="AW87" i="19"/>
  <c r="AM87" i="19"/>
  <c r="AL87" i="19"/>
  <c r="AP87" i="19"/>
  <c r="AO87" i="19"/>
  <c r="AH87" i="19"/>
  <c r="AN87" i="19"/>
  <c r="AB87" i="19"/>
  <c r="AA87" i="19"/>
  <c r="Z87" i="19"/>
  <c r="Y87" i="19"/>
  <c r="J87" i="19"/>
  <c r="Q87" i="19"/>
  <c r="I87" i="19"/>
  <c r="M87" i="19"/>
  <c r="K130" i="45"/>
  <c r="I131" i="45"/>
  <c r="J131" i="45"/>
  <c r="H130" i="45"/>
  <c r="I130" i="45"/>
  <c r="G130" i="45"/>
  <c r="J130" i="45"/>
  <c r="G131" i="45"/>
  <c r="CC116" i="45"/>
  <c r="CQ116" i="45"/>
  <c r="CR27" i="45"/>
  <c r="CR116" i="45" l="1"/>
  <c r="CR121" i="45" a="1"/>
  <c r="CR121" i="45" s="1"/>
  <c r="I10" i="64" s="1"/>
  <c r="I8" i="64" s="1"/>
  <c r="I7" i="64" s="1"/>
  <c r="CR120" i="45" a="1"/>
  <c r="CR120" i="45" s="1"/>
  <c r="I22" i="64" s="1"/>
  <c r="G132" i="45"/>
  <c r="I132" i="45"/>
  <c r="J132" i="45"/>
  <c r="BT10" i="19"/>
  <c r="BG10" i="19"/>
  <c r="AT10" i="19"/>
  <c r="AG10" i="19"/>
  <c r="T10" i="19"/>
  <c r="BT9" i="19"/>
  <c r="BG9" i="19"/>
  <c r="AT9" i="19"/>
  <c r="AG9" i="19"/>
  <c r="T9" i="19"/>
  <c r="BT8" i="19"/>
  <c r="BG8" i="19"/>
  <c r="AT8" i="19"/>
  <c r="AG8" i="19"/>
  <c r="T8" i="19"/>
  <c r="BT7" i="19"/>
  <c r="BG7" i="19"/>
  <c r="AT7" i="19"/>
  <c r="AG7" i="19"/>
  <c r="T7" i="19"/>
  <c r="BT6" i="19"/>
  <c r="BG6" i="19"/>
  <c r="AT6" i="19"/>
  <c r="AG6" i="19"/>
  <c r="T6" i="19"/>
  <c r="C6" i="19"/>
  <c r="BT85" i="19"/>
  <c r="BT84" i="19"/>
  <c r="BT83" i="19"/>
  <c r="BT82" i="19"/>
  <c r="BT81" i="19"/>
  <c r="BT80" i="19"/>
  <c r="BT79" i="19"/>
  <c r="BT78" i="19"/>
  <c r="BT77" i="19"/>
  <c r="BT76" i="19"/>
  <c r="BT75" i="19"/>
  <c r="BT74" i="19"/>
  <c r="BT73" i="19"/>
  <c r="BT72" i="19"/>
  <c r="BT71" i="19"/>
  <c r="BT68" i="19"/>
  <c r="BT67" i="19"/>
  <c r="BT66" i="19"/>
  <c r="BT65" i="19"/>
  <c r="BT64" i="19"/>
  <c r="BT58" i="19"/>
  <c r="BT57" i="19"/>
  <c r="BT56" i="19"/>
  <c r="BT55" i="19"/>
  <c r="BT54" i="19"/>
  <c r="BT51" i="19"/>
  <c r="BT50" i="19"/>
  <c r="BT49" i="19"/>
  <c r="BT48" i="19"/>
  <c r="BT47" i="19"/>
  <c r="BT46" i="19"/>
  <c r="BT45" i="19"/>
  <c r="BT44" i="19"/>
  <c r="BT43" i="19"/>
  <c r="BT42" i="19"/>
  <c r="BT39" i="19"/>
  <c r="BT38" i="19"/>
  <c r="BT37" i="19"/>
  <c r="BT36" i="19"/>
  <c r="BT35" i="19"/>
  <c r="BT34" i="19"/>
  <c r="BT33" i="19"/>
  <c r="BT32" i="19"/>
  <c r="BT31" i="19"/>
  <c r="BT30" i="19"/>
  <c r="BT27" i="19"/>
  <c r="BT26" i="19"/>
  <c r="BT25" i="19"/>
  <c r="BT24" i="19"/>
  <c r="BT23" i="19"/>
  <c r="BT22" i="19"/>
  <c r="BT21" i="19"/>
  <c r="BT20" i="19"/>
  <c r="BT19" i="19"/>
  <c r="BT18" i="19"/>
  <c r="BT15" i="19"/>
  <c r="BT14" i="19"/>
  <c r="BT13" i="19"/>
  <c r="BT12" i="19"/>
  <c r="BT11" i="19"/>
  <c r="BG85" i="19"/>
  <c r="BG84" i="19"/>
  <c r="BG83" i="19"/>
  <c r="BG82" i="19"/>
  <c r="BG81" i="19"/>
  <c r="BG80" i="19"/>
  <c r="BG79" i="19"/>
  <c r="BG78" i="19"/>
  <c r="BG77" i="19"/>
  <c r="BG76" i="19"/>
  <c r="BG75" i="19"/>
  <c r="BG74" i="19"/>
  <c r="BG73" i="19"/>
  <c r="BG72" i="19"/>
  <c r="BG71" i="19"/>
  <c r="BG68" i="19"/>
  <c r="BG67" i="19"/>
  <c r="BG66" i="19"/>
  <c r="BG65" i="19"/>
  <c r="BG64" i="19"/>
  <c r="BG58" i="19"/>
  <c r="BG57" i="19"/>
  <c r="BG56" i="19"/>
  <c r="BG55" i="19"/>
  <c r="BG54" i="19"/>
  <c r="BG51" i="19"/>
  <c r="BG50" i="19"/>
  <c r="BG49" i="19"/>
  <c r="BG48" i="19"/>
  <c r="BG47" i="19"/>
  <c r="BG46" i="19"/>
  <c r="BG45" i="19"/>
  <c r="BG44" i="19"/>
  <c r="BG43" i="19"/>
  <c r="BG42" i="19"/>
  <c r="BG39" i="19"/>
  <c r="BG38" i="19"/>
  <c r="BG37" i="19"/>
  <c r="BG36" i="19"/>
  <c r="BG35" i="19"/>
  <c r="BG34" i="19"/>
  <c r="BG33" i="19"/>
  <c r="BG32" i="19"/>
  <c r="BG31" i="19"/>
  <c r="BG30" i="19"/>
  <c r="BG27" i="19"/>
  <c r="BG26" i="19"/>
  <c r="BG25" i="19"/>
  <c r="BG24" i="19"/>
  <c r="BG23" i="19"/>
  <c r="BG22" i="19"/>
  <c r="BG21" i="19"/>
  <c r="BG20" i="19"/>
  <c r="BG19" i="19"/>
  <c r="BG18" i="19"/>
  <c r="BG15" i="19"/>
  <c r="BG14" i="19"/>
  <c r="BG13" i="19"/>
  <c r="BG12" i="19"/>
  <c r="BG11" i="19"/>
  <c r="CL226" i="3"/>
  <c r="CL225" i="3"/>
  <c r="CL224" i="3"/>
  <c r="CL223" i="3"/>
  <c r="CL222" i="3"/>
  <c r="CL221" i="3"/>
  <c r="CL220" i="3"/>
  <c r="CL219" i="3"/>
  <c r="CL218" i="3"/>
  <c r="CL217" i="3"/>
  <c r="CL214" i="3"/>
  <c r="CL213" i="3"/>
  <c r="CL212" i="3"/>
  <c r="CL211" i="3"/>
  <c r="CL210" i="3"/>
  <c r="CL209" i="3"/>
  <c r="CL208" i="3"/>
  <c r="CL205" i="3"/>
  <c r="CL204" i="3"/>
  <c r="CL203" i="3"/>
  <c r="CL202" i="3"/>
  <c r="CL199" i="3"/>
  <c r="CL198" i="3"/>
  <c r="CL193" i="3"/>
  <c r="CL192" i="3"/>
  <c r="CL191" i="3"/>
  <c r="CL190" i="3"/>
  <c r="CL189" i="3"/>
  <c r="CL188" i="3"/>
  <c r="CL186" i="3"/>
  <c r="CL185" i="3"/>
  <c r="CL181" i="3"/>
  <c r="CL180" i="3"/>
  <c r="CL179" i="3"/>
  <c r="CL178" i="3"/>
  <c r="CL177" i="3"/>
  <c r="CL176" i="3"/>
  <c r="CL175" i="3"/>
  <c r="CL174" i="3"/>
  <c r="CL173" i="3"/>
  <c r="CL172" i="3"/>
  <c r="CL171" i="3"/>
  <c r="CL170" i="3"/>
  <c r="CL169" i="3"/>
  <c r="CL168" i="3"/>
  <c r="CL167" i="3"/>
  <c r="CL166" i="3"/>
  <c r="CL164" i="3"/>
  <c r="CL163" i="3"/>
  <c r="CL160" i="3"/>
  <c r="CL159" i="3"/>
  <c r="CL157" i="3"/>
  <c r="CL156" i="3"/>
  <c r="CL154" i="3"/>
  <c r="CL153" i="3"/>
  <c r="CL151" i="3"/>
  <c r="CL150" i="3"/>
  <c r="CL149" i="3"/>
  <c r="CL148" i="3"/>
  <c r="CL147" i="3"/>
  <c r="CL146" i="3"/>
  <c r="CL144" i="3"/>
  <c r="CL143" i="3"/>
  <c r="CL141" i="3"/>
  <c r="CL140" i="3"/>
  <c r="CL139" i="3"/>
  <c r="CL138" i="3"/>
  <c r="CL135" i="3"/>
  <c r="CL134" i="3"/>
  <c r="CL133" i="3"/>
  <c r="CL132" i="3"/>
  <c r="CL131" i="3"/>
  <c r="CL130" i="3"/>
  <c r="CL129" i="3"/>
  <c r="CL128" i="3"/>
  <c r="CL124" i="3"/>
  <c r="CL123" i="3"/>
  <c r="CL121" i="3"/>
  <c r="CL120" i="3"/>
  <c r="CL119" i="3"/>
  <c r="CL118" i="3"/>
  <c r="CL114" i="3"/>
  <c r="CL113" i="3"/>
  <c r="CL110" i="3"/>
  <c r="CL109" i="3"/>
  <c r="CL108" i="3"/>
  <c r="CL107" i="3"/>
  <c r="CL104" i="3"/>
  <c r="CL103" i="3"/>
  <c r="CL100" i="3"/>
  <c r="CL99" i="3"/>
  <c r="CL98" i="3"/>
  <c r="CL97" i="3"/>
  <c r="CL96" i="3"/>
  <c r="CL95" i="3"/>
  <c r="CL94" i="3"/>
  <c r="CL93" i="3"/>
  <c r="CL90" i="3"/>
  <c r="CL89" i="3"/>
  <c r="CL88" i="3"/>
  <c r="CL87" i="3"/>
  <c r="CL85" i="3"/>
  <c r="CL84" i="3"/>
  <c r="CL83" i="3"/>
  <c r="CL82" i="3"/>
  <c r="CL81" i="3"/>
  <c r="CL78" i="3"/>
  <c r="CL77" i="3"/>
  <c r="CL76" i="3"/>
  <c r="CL75" i="3"/>
  <c r="CL74" i="3"/>
  <c r="CL73" i="3"/>
  <c r="CL72" i="3"/>
  <c r="CL71" i="3"/>
  <c r="CL70" i="3"/>
  <c r="CL69" i="3"/>
  <c r="CL68" i="3"/>
  <c r="CL67" i="3"/>
  <c r="CL66" i="3"/>
  <c r="CL65" i="3"/>
  <c r="CL64" i="3"/>
  <c r="CL63" i="3"/>
  <c r="CL62" i="3"/>
  <c r="CL61" i="3"/>
  <c r="CL60" i="3"/>
  <c r="CL59" i="3"/>
  <c r="CL58" i="3"/>
  <c r="CL57" i="3"/>
  <c r="CL56" i="3"/>
  <c r="CL55" i="3"/>
  <c r="CL52" i="3"/>
  <c r="CL51" i="3"/>
  <c r="CL50" i="3"/>
  <c r="CL49" i="3"/>
  <c r="CL48" i="3"/>
  <c r="CL47" i="3"/>
  <c r="CL46" i="3"/>
  <c r="CL45" i="3"/>
  <c r="CL44" i="3"/>
  <c r="CL43" i="3"/>
  <c r="CL42" i="3"/>
  <c r="CL41" i="3"/>
  <c r="CL40" i="3"/>
  <c r="CL39" i="3"/>
  <c r="CL38" i="3"/>
  <c r="CL37" i="3"/>
  <c r="CL36" i="3"/>
  <c r="CL35" i="3"/>
  <c r="CL32" i="3"/>
  <c r="CL31" i="3"/>
  <c r="CL30" i="3"/>
  <c r="CL29" i="3"/>
  <c r="CL28" i="3"/>
  <c r="CL27" i="3"/>
  <c r="CL26" i="3"/>
  <c r="CL25" i="3"/>
  <c r="CL24" i="3"/>
  <c r="CL23" i="3"/>
  <c r="CL22" i="3"/>
  <c r="CL21" i="3"/>
  <c r="CL20" i="3"/>
  <c r="CL19" i="3"/>
  <c r="CL18" i="3"/>
  <c r="CL17" i="3"/>
  <c r="CL16" i="3"/>
  <c r="CL15" i="3"/>
  <c r="CL12" i="3"/>
  <c r="CL11" i="3"/>
  <c r="CL10" i="3"/>
  <c r="CL9" i="3"/>
  <c r="CI227" i="3"/>
  <c r="CJ226" i="3"/>
  <c r="CJ225" i="3"/>
  <c r="CJ224" i="3"/>
  <c r="CJ223" i="3"/>
  <c r="CJ222" i="3"/>
  <c r="CJ221" i="3"/>
  <c r="CJ220" i="3"/>
  <c r="CJ219" i="3"/>
  <c r="CJ218" i="3"/>
  <c r="CJ217" i="3"/>
  <c r="CI215" i="3"/>
  <c r="CJ214" i="3"/>
  <c r="CJ213" i="3"/>
  <c r="CJ212" i="3"/>
  <c r="CJ211" i="3"/>
  <c r="CJ210" i="3"/>
  <c r="CJ209" i="3"/>
  <c r="CJ208" i="3"/>
  <c r="CJ205" i="3"/>
  <c r="CJ204" i="3"/>
  <c r="CJ203" i="3"/>
  <c r="CJ202" i="3"/>
  <c r="CJ199" i="3"/>
  <c r="CJ198" i="3"/>
  <c r="CJ193" i="3"/>
  <c r="CJ192" i="3"/>
  <c r="CJ191" i="3"/>
  <c r="CJ190" i="3"/>
  <c r="CJ189" i="3"/>
  <c r="CJ188" i="3"/>
  <c r="CJ186" i="3"/>
  <c r="CJ185" i="3"/>
  <c r="CJ181" i="3"/>
  <c r="CJ180" i="3"/>
  <c r="CJ179" i="3"/>
  <c r="CJ178" i="3"/>
  <c r="CJ177" i="3"/>
  <c r="CJ176" i="3"/>
  <c r="CJ175" i="3"/>
  <c r="CJ174" i="3"/>
  <c r="CJ173" i="3"/>
  <c r="CJ172" i="3"/>
  <c r="CJ171" i="3"/>
  <c r="CJ170" i="3"/>
  <c r="CJ169" i="3"/>
  <c r="CJ168" i="3"/>
  <c r="CJ167" i="3"/>
  <c r="CJ166" i="3"/>
  <c r="CJ164" i="3"/>
  <c r="CJ163" i="3"/>
  <c r="CJ160" i="3"/>
  <c r="CJ159" i="3"/>
  <c r="CJ157" i="3"/>
  <c r="CJ156" i="3"/>
  <c r="CJ154" i="3"/>
  <c r="CJ153" i="3"/>
  <c r="CJ151" i="3"/>
  <c r="CJ150" i="3"/>
  <c r="CJ149" i="3"/>
  <c r="CJ148" i="3"/>
  <c r="CJ147" i="3"/>
  <c r="CJ146" i="3"/>
  <c r="CJ144" i="3"/>
  <c r="CJ143" i="3"/>
  <c r="CJ141" i="3"/>
  <c r="CJ140" i="3"/>
  <c r="CJ139" i="3"/>
  <c r="CJ138" i="3"/>
  <c r="CJ135" i="3"/>
  <c r="CJ134" i="3"/>
  <c r="CJ133" i="3"/>
  <c r="CJ132" i="3"/>
  <c r="CJ131" i="3"/>
  <c r="CJ130" i="3"/>
  <c r="CJ129" i="3"/>
  <c r="CJ128" i="3"/>
  <c r="CJ124" i="3"/>
  <c r="CJ123" i="3"/>
  <c r="CJ121" i="3"/>
  <c r="CJ120" i="3"/>
  <c r="CJ119" i="3"/>
  <c r="CJ118" i="3"/>
  <c r="CJ114" i="3"/>
  <c r="CJ113" i="3"/>
  <c r="CJ110" i="3"/>
  <c r="CJ109" i="3"/>
  <c r="CJ108" i="3"/>
  <c r="CJ107" i="3"/>
  <c r="CJ104" i="3"/>
  <c r="CJ103" i="3"/>
  <c r="CJ100" i="3"/>
  <c r="CJ99" i="3"/>
  <c r="CJ98" i="3"/>
  <c r="CJ97" i="3"/>
  <c r="CJ96" i="3"/>
  <c r="CJ95" i="3"/>
  <c r="CJ94" i="3"/>
  <c r="CJ93" i="3"/>
  <c r="CJ90" i="3"/>
  <c r="CJ89" i="3"/>
  <c r="CJ88" i="3"/>
  <c r="CJ87" i="3"/>
  <c r="CJ85" i="3"/>
  <c r="CJ84" i="3"/>
  <c r="CJ83" i="3"/>
  <c r="CJ82" i="3"/>
  <c r="CI79" i="3"/>
  <c r="CJ78" i="3"/>
  <c r="CJ77" i="3"/>
  <c r="CJ76" i="3"/>
  <c r="CJ75" i="3"/>
  <c r="CJ74" i="3"/>
  <c r="CJ73" i="3"/>
  <c r="CJ72" i="3"/>
  <c r="CJ71" i="3"/>
  <c r="CJ70" i="3"/>
  <c r="CJ69" i="3"/>
  <c r="CJ68" i="3"/>
  <c r="CJ67" i="3"/>
  <c r="CJ66" i="3"/>
  <c r="CJ65" i="3"/>
  <c r="CJ64" i="3"/>
  <c r="CJ63" i="3"/>
  <c r="CJ62" i="3"/>
  <c r="CJ61" i="3"/>
  <c r="CJ60" i="3"/>
  <c r="CJ59" i="3"/>
  <c r="CJ58" i="3"/>
  <c r="CJ57" i="3"/>
  <c r="CJ56" i="3"/>
  <c r="CJ55" i="3"/>
  <c r="CI53" i="3"/>
  <c r="CJ52" i="3"/>
  <c r="CJ51" i="3"/>
  <c r="CJ50" i="3"/>
  <c r="CJ49" i="3"/>
  <c r="CJ48" i="3"/>
  <c r="CJ47" i="3"/>
  <c r="CJ46" i="3"/>
  <c r="CJ45" i="3"/>
  <c r="CJ44" i="3"/>
  <c r="CJ43" i="3"/>
  <c r="CJ42" i="3"/>
  <c r="CJ41" i="3"/>
  <c r="CJ40" i="3"/>
  <c r="CJ39" i="3"/>
  <c r="CJ38" i="3"/>
  <c r="CJ37" i="3"/>
  <c r="CJ36" i="3"/>
  <c r="CJ35" i="3"/>
  <c r="CI33" i="3"/>
  <c r="CJ32" i="3"/>
  <c r="CJ31" i="3"/>
  <c r="CJ30" i="3"/>
  <c r="CJ29" i="3"/>
  <c r="CJ28" i="3"/>
  <c r="CJ27" i="3"/>
  <c r="CJ26" i="3"/>
  <c r="CJ25" i="3"/>
  <c r="CJ24" i="3"/>
  <c r="CJ23" i="3"/>
  <c r="CJ22" i="3"/>
  <c r="CJ21" i="3"/>
  <c r="CJ20" i="3"/>
  <c r="CJ19" i="3"/>
  <c r="CJ18" i="3"/>
  <c r="CJ17" i="3"/>
  <c r="CJ15" i="3"/>
  <c r="CI13" i="3"/>
  <c r="CJ12" i="3"/>
  <c r="CJ11" i="3"/>
  <c r="CJ10" i="3"/>
  <c r="CJ9" i="3"/>
  <c r="BT28" i="19" l="1"/>
  <c r="BG86" i="19"/>
  <c r="BT86" i="19"/>
  <c r="CJ79" i="3"/>
  <c r="CJ227" i="3"/>
  <c r="BG52" i="19"/>
  <c r="BT40" i="19"/>
  <c r="BG28" i="19"/>
  <c r="BG40" i="19"/>
  <c r="BT52" i="19"/>
  <c r="CJ13" i="3"/>
  <c r="BU7" i="19"/>
  <c r="BU6" i="19"/>
  <c r="BT69" i="19"/>
  <c r="BG69" i="19"/>
  <c r="BT16" i="19"/>
  <c r="BG16" i="19"/>
  <c r="BU8" i="19"/>
  <c r="BU9" i="19"/>
  <c r="BU10" i="19"/>
  <c r="CI228" i="3"/>
  <c r="CJ53" i="3"/>
  <c r="CJ33" i="3"/>
  <c r="CJ215" i="3"/>
  <c r="C7" i="19"/>
  <c r="C8" i="19" s="1"/>
  <c r="C9" i="19" s="1"/>
  <c r="C10" i="19" s="1"/>
  <c r="BT13" i="3"/>
  <c r="BT33" i="3"/>
  <c r="BT53" i="3"/>
  <c r="BT79" i="3"/>
  <c r="BT227" i="3"/>
  <c r="BT215" i="3"/>
  <c r="BU226" i="3"/>
  <c r="BU225" i="3"/>
  <c r="BU224" i="3"/>
  <c r="BU223" i="3"/>
  <c r="BU222" i="3"/>
  <c r="BU221" i="3"/>
  <c r="BU220" i="3"/>
  <c r="BU219" i="3"/>
  <c r="BU218" i="3"/>
  <c r="BU217" i="3"/>
  <c r="BU214" i="3"/>
  <c r="BU213" i="3"/>
  <c r="BU212" i="3"/>
  <c r="BU211" i="3"/>
  <c r="BU210" i="3"/>
  <c r="BU209" i="3"/>
  <c r="BU208" i="3"/>
  <c r="BU205" i="3"/>
  <c r="BU204" i="3"/>
  <c r="BU203" i="3"/>
  <c r="BU202" i="3"/>
  <c r="BU199" i="3"/>
  <c r="BU198" i="3"/>
  <c r="BU193" i="3"/>
  <c r="BU192" i="3"/>
  <c r="BU191" i="3"/>
  <c r="BU190" i="3"/>
  <c r="BU189" i="3"/>
  <c r="BU188" i="3"/>
  <c r="BU186" i="3"/>
  <c r="BU185" i="3"/>
  <c r="BU181" i="3"/>
  <c r="BU180" i="3"/>
  <c r="BU179" i="3"/>
  <c r="BU178" i="3"/>
  <c r="BU177" i="3"/>
  <c r="BU176" i="3"/>
  <c r="BU175" i="3"/>
  <c r="BU174" i="3"/>
  <c r="BU173" i="3"/>
  <c r="BU172" i="3"/>
  <c r="BU171" i="3"/>
  <c r="BU170" i="3"/>
  <c r="BU169" i="3"/>
  <c r="BU168" i="3"/>
  <c r="BU167" i="3"/>
  <c r="BU166" i="3"/>
  <c r="BU164" i="3"/>
  <c r="BU163" i="3"/>
  <c r="BU160" i="3"/>
  <c r="BU159" i="3"/>
  <c r="BU157" i="3"/>
  <c r="BU156" i="3"/>
  <c r="BU154" i="3"/>
  <c r="BU153" i="3"/>
  <c r="BU151" i="3"/>
  <c r="BU150" i="3"/>
  <c r="BU149" i="3"/>
  <c r="BU148" i="3"/>
  <c r="BU147" i="3"/>
  <c r="BU146" i="3"/>
  <c r="BU144" i="3"/>
  <c r="BU143" i="3"/>
  <c r="BU141" i="3"/>
  <c r="BU140" i="3"/>
  <c r="BU139" i="3"/>
  <c r="BU138" i="3"/>
  <c r="BU135" i="3"/>
  <c r="BU134" i="3"/>
  <c r="BU133" i="3"/>
  <c r="BU132" i="3"/>
  <c r="BU131" i="3"/>
  <c r="BU130" i="3"/>
  <c r="BU129" i="3"/>
  <c r="BU128" i="3"/>
  <c r="BU124" i="3"/>
  <c r="BU123" i="3"/>
  <c r="BU121" i="3"/>
  <c r="BU120" i="3"/>
  <c r="BU119" i="3"/>
  <c r="BU118" i="3"/>
  <c r="BU114" i="3"/>
  <c r="BU113" i="3"/>
  <c r="BU110" i="3"/>
  <c r="BU109" i="3"/>
  <c r="BU108" i="3"/>
  <c r="BU107" i="3"/>
  <c r="BU104" i="3"/>
  <c r="BU103" i="3"/>
  <c r="BU100" i="3"/>
  <c r="BU99" i="3"/>
  <c r="BU98" i="3"/>
  <c r="BU97" i="3"/>
  <c r="BU96" i="3"/>
  <c r="BU95" i="3"/>
  <c r="BU94" i="3"/>
  <c r="BU93" i="3"/>
  <c r="BU90" i="3"/>
  <c r="BU89" i="3"/>
  <c r="BU88" i="3"/>
  <c r="BU87" i="3"/>
  <c r="BU85" i="3"/>
  <c r="BU84" i="3"/>
  <c r="BU83" i="3"/>
  <c r="BU82" i="3"/>
  <c r="BU78" i="3"/>
  <c r="BU77" i="3"/>
  <c r="BU76" i="3"/>
  <c r="BU75" i="3"/>
  <c r="BU74" i="3"/>
  <c r="BU73" i="3"/>
  <c r="BU72" i="3"/>
  <c r="BU71" i="3"/>
  <c r="BU70" i="3"/>
  <c r="BU69" i="3"/>
  <c r="BU68" i="3"/>
  <c r="BU67" i="3"/>
  <c r="BU66" i="3"/>
  <c r="BU65" i="3"/>
  <c r="BU64" i="3"/>
  <c r="BU63" i="3"/>
  <c r="BU62" i="3"/>
  <c r="BU61" i="3"/>
  <c r="BU60" i="3"/>
  <c r="BU59" i="3"/>
  <c r="BU58" i="3"/>
  <c r="BU57" i="3"/>
  <c r="BU56" i="3"/>
  <c r="BU55" i="3"/>
  <c r="BU52" i="3"/>
  <c r="BU51" i="3"/>
  <c r="BU50" i="3"/>
  <c r="BU49" i="3"/>
  <c r="BU48" i="3"/>
  <c r="BU47" i="3"/>
  <c r="BU46" i="3"/>
  <c r="BU45" i="3"/>
  <c r="BU44" i="3"/>
  <c r="BU43" i="3"/>
  <c r="BU42" i="3"/>
  <c r="BU41" i="3"/>
  <c r="BU40" i="3"/>
  <c r="BU39" i="3"/>
  <c r="BU38" i="3"/>
  <c r="BU37" i="3"/>
  <c r="BU36" i="3"/>
  <c r="BU35" i="3"/>
  <c r="BU32" i="3"/>
  <c r="BU31" i="3"/>
  <c r="BU30" i="3"/>
  <c r="BU29" i="3"/>
  <c r="BU28" i="3"/>
  <c r="BU27" i="3"/>
  <c r="BU26" i="3"/>
  <c r="BU25" i="3"/>
  <c r="BU24" i="3"/>
  <c r="BU23" i="3"/>
  <c r="BU22" i="3"/>
  <c r="BU21" i="3"/>
  <c r="BU20" i="3"/>
  <c r="BU19" i="3"/>
  <c r="BU18" i="3"/>
  <c r="BU17" i="3"/>
  <c r="BU15" i="3"/>
  <c r="BU12" i="3"/>
  <c r="BU11" i="3"/>
  <c r="BU10" i="3"/>
  <c r="BU9" i="3"/>
  <c r="BT87" i="19" l="1"/>
  <c r="BG87" i="19"/>
  <c r="CJ228" i="3"/>
  <c r="BU215" i="3"/>
  <c r="BU227" i="3"/>
  <c r="BU53" i="3"/>
  <c r="BU79" i="3"/>
  <c r="BU33" i="3"/>
  <c r="BU13" i="3"/>
  <c r="BT228" i="3"/>
  <c r="BU228" i="3" l="1"/>
  <c r="BF9" i="3"/>
  <c r="BF11" i="3"/>
  <c r="BF10" i="3"/>
  <c r="BF12" i="3"/>
  <c r="BF35" i="3"/>
  <c r="BF51" i="3"/>
  <c r="BF50" i="3"/>
  <c r="BF49" i="3"/>
  <c r="BF48" i="3"/>
  <c r="BF47" i="3"/>
  <c r="BF46" i="3"/>
  <c r="BF45" i="3"/>
  <c r="BF44" i="3"/>
  <c r="BF43" i="3"/>
  <c r="BF42" i="3"/>
  <c r="BF41" i="3"/>
  <c r="BF40" i="3"/>
  <c r="BF39" i="3"/>
  <c r="BF38" i="3"/>
  <c r="BF37" i="3"/>
  <c r="BF36" i="3"/>
  <c r="BF52" i="3"/>
  <c r="BF55" i="3"/>
  <c r="BF77" i="3"/>
  <c r="BF76" i="3"/>
  <c r="BF75" i="3"/>
  <c r="BF74" i="3"/>
  <c r="BF73" i="3"/>
  <c r="BF72" i="3"/>
  <c r="BF71" i="3"/>
  <c r="BF70" i="3"/>
  <c r="BF69" i="3"/>
  <c r="BF68" i="3"/>
  <c r="BF67" i="3"/>
  <c r="BF66" i="3"/>
  <c r="BF65" i="3"/>
  <c r="BF64" i="3"/>
  <c r="BF63" i="3"/>
  <c r="BF62" i="3"/>
  <c r="BF61" i="3"/>
  <c r="BF60" i="3"/>
  <c r="BF59" i="3"/>
  <c r="BF58" i="3"/>
  <c r="BF57" i="3"/>
  <c r="BF56" i="3"/>
  <c r="BF78" i="3"/>
  <c r="BF213" i="3"/>
  <c r="BF212" i="3"/>
  <c r="BF211" i="3"/>
  <c r="BF210" i="3"/>
  <c r="BF209" i="3"/>
  <c r="BF208" i="3"/>
  <c r="BF205" i="3"/>
  <c r="BF204" i="3"/>
  <c r="BF203" i="3"/>
  <c r="BF202" i="3"/>
  <c r="BF199" i="3"/>
  <c r="BF198" i="3"/>
  <c r="BF193" i="3"/>
  <c r="BF192" i="3"/>
  <c r="BF191" i="3"/>
  <c r="BF190" i="3"/>
  <c r="BF189" i="3"/>
  <c r="BF188" i="3"/>
  <c r="BF186" i="3"/>
  <c r="BF185" i="3"/>
  <c r="BF181" i="3"/>
  <c r="BF180" i="3"/>
  <c r="BF179" i="3"/>
  <c r="BF178" i="3"/>
  <c r="BF177" i="3"/>
  <c r="BF176" i="3"/>
  <c r="BF175" i="3"/>
  <c r="BF174" i="3"/>
  <c r="BF173" i="3"/>
  <c r="BF172" i="3"/>
  <c r="BF171" i="3"/>
  <c r="BF170" i="3"/>
  <c r="BF169" i="3"/>
  <c r="BF168" i="3"/>
  <c r="BF167" i="3"/>
  <c r="BF166" i="3"/>
  <c r="BF164" i="3"/>
  <c r="BF163" i="3"/>
  <c r="BF160" i="3"/>
  <c r="BF159" i="3"/>
  <c r="BF157" i="3"/>
  <c r="BF156" i="3"/>
  <c r="BF154" i="3"/>
  <c r="BF153" i="3"/>
  <c r="BF151" i="3"/>
  <c r="BF150" i="3"/>
  <c r="BF149" i="3"/>
  <c r="BF148" i="3"/>
  <c r="BF147" i="3"/>
  <c r="BF146" i="3"/>
  <c r="BF144" i="3"/>
  <c r="BF143" i="3"/>
  <c r="BF141" i="3"/>
  <c r="BF140" i="3"/>
  <c r="BF139" i="3"/>
  <c r="BF138" i="3"/>
  <c r="BF135" i="3"/>
  <c r="BF134" i="3"/>
  <c r="BF133" i="3"/>
  <c r="BF132" i="3"/>
  <c r="BF131" i="3"/>
  <c r="BF130" i="3"/>
  <c r="BF129" i="3"/>
  <c r="BF128" i="3"/>
  <c r="BF124" i="3"/>
  <c r="BF123" i="3"/>
  <c r="BF121" i="3"/>
  <c r="BF120" i="3"/>
  <c r="BF119" i="3"/>
  <c r="BF118" i="3"/>
  <c r="BF114" i="3"/>
  <c r="BF113" i="3"/>
  <c r="BF110" i="3"/>
  <c r="BF109" i="3"/>
  <c r="BF108" i="3"/>
  <c r="BF107" i="3"/>
  <c r="BF104" i="3"/>
  <c r="BF103" i="3"/>
  <c r="BF100" i="3"/>
  <c r="BF99" i="3"/>
  <c r="BF98" i="3"/>
  <c r="BF97" i="3"/>
  <c r="BF96" i="3"/>
  <c r="BF95" i="3"/>
  <c r="BF94" i="3"/>
  <c r="BF93" i="3"/>
  <c r="BF90" i="3"/>
  <c r="BF89" i="3"/>
  <c r="BF88" i="3"/>
  <c r="BF87" i="3"/>
  <c r="BF85" i="3"/>
  <c r="BF84" i="3"/>
  <c r="BF83" i="3"/>
  <c r="BF82" i="3"/>
  <c r="BF214" i="3"/>
  <c r="BF226" i="3"/>
  <c r="BF225" i="3"/>
  <c r="BF224" i="3"/>
  <c r="BF223" i="3"/>
  <c r="BF222" i="3"/>
  <c r="BF221" i="3"/>
  <c r="BF220" i="3"/>
  <c r="BF219" i="3"/>
  <c r="BF218" i="3"/>
  <c r="BF217" i="3"/>
  <c r="AQ226" i="3"/>
  <c r="AQ225" i="3"/>
  <c r="AQ224" i="3"/>
  <c r="AQ223" i="3"/>
  <c r="AQ222" i="3"/>
  <c r="AQ221" i="3"/>
  <c r="AQ220" i="3"/>
  <c r="AQ219" i="3"/>
  <c r="AQ218" i="3"/>
  <c r="AQ217" i="3"/>
  <c r="AQ78" i="3"/>
  <c r="AQ77" i="3"/>
  <c r="AQ76" i="3"/>
  <c r="AQ75" i="3"/>
  <c r="AQ74" i="3"/>
  <c r="AQ73" i="3"/>
  <c r="AQ72" i="3"/>
  <c r="AQ71" i="3"/>
  <c r="AQ70" i="3"/>
  <c r="AQ69" i="3"/>
  <c r="AQ68" i="3"/>
  <c r="AQ67" i="3"/>
  <c r="AQ66" i="3"/>
  <c r="AQ65" i="3"/>
  <c r="AQ64" i="3"/>
  <c r="AQ63" i="3"/>
  <c r="AQ62" i="3"/>
  <c r="AQ61" i="3"/>
  <c r="AQ60" i="3"/>
  <c r="AQ59" i="3"/>
  <c r="AQ58" i="3"/>
  <c r="AQ57" i="3"/>
  <c r="AQ56" i="3"/>
  <c r="AQ55" i="3"/>
  <c r="AQ52" i="3"/>
  <c r="AQ51" i="3"/>
  <c r="AQ50" i="3"/>
  <c r="AQ49" i="3"/>
  <c r="AQ48" i="3"/>
  <c r="AQ47" i="3"/>
  <c r="AQ46" i="3"/>
  <c r="AQ45" i="3"/>
  <c r="AQ44" i="3"/>
  <c r="AQ43" i="3"/>
  <c r="AQ42" i="3"/>
  <c r="AQ41" i="3"/>
  <c r="AQ40" i="3"/>
  <c r="AQ39" i="3"/>
  <c r="AQ38" i="3"/>
  <c r="AQ37" i="3"/>
  <c r="AQ36" i="3"/>
  <c r="AQ35" i="3"/>
  <c r="AQ32" i="3"/>
  <c r="AQ31" i="3"/>
  <c r="AQ30" i="3"/>
  <c r="AQ29" i="3"/>
  <c r="AQ28" i="3"/>
  <c r="AQ27" i="3"/>
  <c r="AQ26" i="3"/>
  <c r="AQ25" i="3"/>
  <c r="AQ24" i="3"/>
  <c r="AQ23" i="3"/>
  <c r="AQ22" i="3"/>
  <c r="AQ21" i="3"/>
  <c r="AQ20" i="3"/>
  <c r="AQ19" i="3"/>
  <c r="AQ18" i="3"/>
  <c r="AQ17" i="3"/>
  <c r="AQ15" i="3"/>
  <c r="AQ12" i="3"/>
  <c r="AQ11" i="3"/>
  <c r="AQ10" i="3"/>
  <c r="AQ9" i="3"/>
  <c r="AB226" i="3"/>
  <c r="AB225" i="3"/>
  <c r="AB224" i="3"/>
  <c r="AB223" i="3"/>
  <c r="AB222" i="3"/>
  <c r="AB221" i="3"/>
  <c r="AB220" i="3"/>
  <c r="AB219" i="3"/>
  <c r="AB218" i="3"/>
  <c r="AB217" i="3"/>
  <c r="AB214" i="3"/>
  <c r="AB213" i="3"/>
  <c r="AB212" i="3"/>
  <c r="AB211" i="3"/>
  <c r="AB210" i="3"/>
  <c r="AB209" i="3"/>
  <c r="AB208" i="3"/>
  <c r="AB205" i="3"/>
  <c r="AB204" i="3"/>
  <c r="AB203" i="3"/>
  <c r="AB202" i="3"/>
  <c r="AB199" i="3"/>
  <c r="AB198" i="3"/>
  <c r="AB193" i="3"/>
  <c r="AB192" i="3"/>
  <c r="AB191" i="3"/>
  <c r="AB190" i="3"/>
  <c r="AB189" i="3"/>
  <c r="AB188" i="3"/>
  <c r="AB186" i="3"/>
  <c r="AB185" i="3"/>
  <c r="AB181" i="3"/>
  <c r="AB180" i="3"/>
  <c r="AB179" i="3"/>
  <c r="AB178" i="3"/>
  <c r="AB177" i="3"/>
  <c r="AB176" i="3"/>
  <c r="AB175" i="3"/>
  <c r="AB174" i="3"/>
  <c r="AB173" i="3"/>
  <c r="AB172" i="3"/>
  <c r="AB171" i="3"/>
  <c r="AB170" i="3"/>
  <c r="AB169" i="3"/>
  <c r="AB168" i="3"/>
  <c r="AB167" i="3"/>
  <c r="AB166" i="3"/>
  <c r="AB164" i="3"/>
  <c r="AB163" i="3"/>
  <c r="AB160" i="3"/>
  <c r="AB159" i="3"/>
  <c r="AB157" i="3"/>
  <c r="AB156" i="3"/>
  <c r="AB154" i="3"/>
  <c r="AB153" i="3"/>
  <c r="AB151" i="3"/>
  <c r="AB150" i="3"/>
  <c r="AB149" i="3"/>
  <c r="AB148" i="3"/>
  <c r="AB147" i="3"/>
  <c r="AB146" i="3"/>
  <c r="AB144" i="3"/>
  <c r="AB143" i="3"/>
  <c r="AB141" i="3"/>
  <c r="AB140" i="3"/>
  <c r="AB139" i="3"/>
  <c r="AB138" i="3"/>
  <c r="AB135" i="3"/>
  <c r="AB134" i="3"/>
  <c r="AB133" i="3"/>
  <c r="AB132" i="3"/>
  <c r="AB131" i="3"/>
  <c r="AB130" i="3"/>
  <c r="AB129" i="3"/>
  <c r="AB128" i="3"/>
  <c r="AB124" i="3"/>
  <c r="AB123" i="3"/>
  <c r="AB121" i="3"/>
  <c r="AB120" i="3"/>
  <c r="AB119" i="3"/>
  <c r="AB118" i="3"/>
  <c r="AB114" i="3"/>
  <c r="AB113" i="3"/>
  <c r="AB110" i="3"/>
  <c r="AB109" i="3"/>
  <c r="AB108" i="3"/>
  <c r="AB107" i="3"/>
  <c r="AB104" i="3"/>
  <c r="AB103" i="3"/>
  <c r="AB100" i="3"/>
  <c r="AB99" i="3"/>
  <c r="AB98" i="3"/>
  <c r="AB97" i="3"/>
  <c r="AB96" i="3"/>
  <c r="AB95" i="3"/>
  <c r="AB94" i="3"/>
  <c r="AB93" i="3"/>
  <c r="AB90" i="3"/>
  <c r="AB89" i="3"/>
  <c r="AB88" i="3"/>
  <c r="AB87" i="3"/>
  <c r="AB85" i="3"/>
  <c r="AB84" i="3"/>
  <c r="AB83" i="3"/>
  <c r="AB82" i="3"/>
  <c r="AB81" i="3"/>
  <c r="AB78" i="3"/>
  <c r="AB77" i="3"/>
  <c r="AB76" i="3"/>
  <c r="AB75" i="3"/>
  <c r="AB74" i="3"/>
  <c r="AB73" i="3"/>
  <c r="AB72" i="3"/>
  <c r="AB71" i="3"/>
  <c r="AB70" i="3"/>
  <c r="AB69" i="3"/>
  <c r="AB68" i="3"/>
  <c r="AB67" i="3"/>
  <c r="AB66" i="3"/>
  <c r="AB65" i="3"/>
  <c r="AB64" i="3"/>
  <c r="AB63" i="3"/>
  <c r="AB62" i="3"/>
  <c r="AB61" i="3"/>
  <c r="AB60" i="3"/>
  <c r="AB59" i="3"/>
  <c r="AB58" i="3"/>
  <c r="AB57" i="3"/>
  <c r="AB56" i="3"/>
  <c r="AB55" i="3"/>
  <c r="AB52" i="3"/>
  <c r="AB51" i="3"/>
  <c r="AB50" i="3"/>
  <c r="AB49" i="3"/>
  <c r="AB48" i="3"/>
  <c r="AB47" i="3"/>
  <c r="AB46" i="3"/>
  <c r="AB45" i="3"/>
  <c r="AB44" i="3"/>
  <c r="AB43" i="3"/>
  <c r="AB42" i="3"/>
  <c r="AB41" i="3"/>
  <c r="AB40" i="3"/>
  <c r="AB39" i="3"/>
  <c r="AB38" i="3"/>
  <c r="AB37" i="3"/>
  <c r="AB36" i="3"/>
  <c r="AB35" i="3"/>
  <c r="AB32" i="3"/>
  <c r="AB31" i="3"/>
  <c r="AB30" i="3"/>
  <c r="AB29" i="3"/>
  <c r="AB28" i="3"/>
  <c r="AB27" i="3"/>
  <c r="AB26" i="3"/>
  <c r="AB25" i="3"/>
  <c r="AB24" i="3"/>
  <c r="AB23" i="3"/>
  <c r="AB22" i="3"/>
  <c r="AB21" i="3"/>
  <c r="AB20" i="3"/>
  <c r="AB19" i="3"/>
  <c r="AB18" i="3"/>
  <c r="AB17" i="3"/>
  <c r="AB16" i="3"/>
  <c r="AB15" i="3"/>
  <c r="AB12" i="3"/>
  <c r="AB11" i="3"/>
  <c r="AB10" i="3"/>
  <c r="AB9" i="3"/>
  <c r="U85" i="45"/>
  <c r="AI114" i="45"/>
  <c r="AI113" i="45"/>
  <c r="AI112" i="45"/>
  <c r="AI111" i="45"/>
  <c r="AI110" i="45"/>
  <c r="AI109" i="45"/>
  <c r="AJ109" i="45" s="1"/>
  <c r="AI108" i="45"/>
  <c r="AI107" i="45"/>
  <c r="AI106" i="45"/>
  <c r="AI105" i="45"/>
  <c r="AI104" i="45"/>
  <c r="AI103" i="45"/>
  <c r="AI102" i="45"/>
  <c r="AI101" i="45"/>
  <c r="AI100" i="45"/>
  <c r="AI99" i="45"/>
  <c r="AI98" i="45"/>
  <c r="AI97" i="45"/>
  <c r="AI96" i="45"/>
  <c r="AI95" i="45"/>
  <c r="AI94" i="45"/>
  <c r="AI93" i="45"/>
  <c r="AJ93" i="45" s="1"/>
  <c r="AI92" i="45"/>
  <c r="AI91" i="45"/>
  <c r="AI90" i="45"/>
  <c r="AI89" i="45"/>
  <c r="AI88" i="45"/>
  <c r="AI87" i="45"/>
  <c r="AI86" i="45"/>
  <c r="AI85" i="45"/>
  <c r="AI84" i="45"/>
  <c r="AI83" i="45"/>
  <c r="AI82" i="45"/>
  <c r="AI81" i="45"/>
  <c r="AI80" i="45"/>
  <c r="AI79" i="45"/>
  <c r="AI78" i="45"/>
  <c r="AI77" i="45"/>
  <c r="AJ77" i="45" s="1"/>
  <c r="AI76" i="45"/>
  <c r="AI75" i="45"/>
  <c r="AI74" i="45"/>
  <c r="AI73" i="45"/>
  <c r="AI72" i="45"/>
  <c r="AI71" i="45"/>
  <c r="AI70" i="45"/>
  <c r="AI69" i="45"/>
  <c r="AI68" i="45"/>
  <c r="AI67" i="45"/>
  <c r="AI66" i="45"/>
  <c r="AI65" i="45"/>
  <c r="AI64" i="45"/>
  <c r="AI63" i="45"/>
  <c r="AI62" i="45"/>
  <c r="AI61" i="45"/>
  <c r="AJ61" i="45" s="1"/>
  <c r="AI60" i="45"/>
  <c r="AI59" i="45"/>
  <c r="AI58" i="45"/>
  <c r="AI57" i="45"/>
  <c r="AI56" i="45"/>
  <c r="AI55" i="45"/>
  <c r="AI54" i="45"/>
  <c r="AI53" i="45"/>
  <c r="AI52" i="45"/>
  <c r="AI51" i="45"/>
  <c r="AI50" i="45"/>
  <c r="AI49" i="45"/>
  <c r="AI48" i="45"/>
  <c r="AI47" i="45"/>
  <c r="AI46" i="45"/>
  <c r="AI45" i="45"/>
  <c r="AJ45" i="45" s="1"/>
  <c r="AI44" i="45"/>
  <c r="AI43" i="45"/>
  <c r="AI42" i="45"/>
  <c r="AI41" i="45"/>
  <c r="AI40" i="45"/>
  <c r="AI39" i="45"/>
  <c r="AJ39" i="45" s="1"/>
  <c r="AI38" i="45"/>
  <c r="AI37" i="45"/>
  <c r="AI36" i="45"/>
  <c r="AI35" i="45"/>
  <c r="AI34" i="45"/>
  <c r="AI33" i="45"/>
  <c r="AJ33" i="45" s="1"/>
  <c r="AI32" i="45"/>
  <c r="AI31" i="45"/>
  <c r="AI30" i="45"/>
  <c r="AI29" i="45"/>
  <c r="AI26" i="45"/>
  <c r="AI25" i="45"/>
  <c r="AI24" i="45"/>
  <c r="AI23" i="45"/>
  <c r="AJ23" i="45" s="1"/>
  <c r="AI22" i="45"/>
  <c r="AI21" i="45"/>
  <c r="AI20" i="45"/>
  <c r="AI19" i="45"/>
  <c r="AI18" i="45"/>
  <c r="AI17" i="45"/>
  <c r="AI16" i="45"/>
  <c r="AI15" i="45"/>
  <c r="AJ15" i="45" s="1"/>
  <c r="AI14" i="45"/>
  <c r="AI13" i="45"/>
  <c r="AI12" i="45"/>
  <c r="AI11" i="45"/>
  <c r="AI10" i="45"/>
  <c r="AI9" i="45"/>
  <c r="AX114" i="45"/>
  <c r="AX113" i="45"/>
  <c r="AY113" i="45" s="1"/>
  <c r="F23" i="64" s="1"/>
  <c r="AX112" i="45"/>
  <c r="AY112" i="45" s="1"/>
  <c r="AX111" i="45"/>
  <c r="AY111" i="45" s="1"/>
  <c r="AX110" i="45"/>
  <c r="AY110" i="45" s="1"/>
  <c r="F11" i="64" s="1"/>
  <c r="AX109" i="45"/>
  <c r="AY109" i="45" s="1"/>
  <c r="AX108" i="45"/>
  <c r="AY108" i="45" s="1"/>
  <c r="AX107" i="45"/>
  <c r="AY107" i="45" s="1"/>
  <c r="AX106" i="45"/>
  <c r="AY106" i="45" s="1"/>
  <c r="AX105" i="45"/>
  <c r="AY105" i="45" s="1"/>
  <c r="AX104" i="45"/>
  <c r="AY104" i="45" s="1"/>
  <c r="AX103" i="45"/>
  <c r="AY103" i="45" s="1"/>
  <c r="AX102" i="45"/>
  <c r="AY102" i="45" s="1"/>
  <c r="AX101" i="45"/>
  <c r="AY101" i="45" s="1"/>
  <c r="AX100" i="45"/>
  <c r="AY100" i="45" s="1"/>
  <c r="AX99" i="45"/>
  <c r="AY99" i="45" s="1"/>
  <c r="AX98" i="45"/>
  <c r="AY98" i="45" s="1"/>
  <c r="AX97" i="45"/>
  <c r="AY97" i="45" s="1"/>
  <c r="AX96" i="45"/>
  <c r="AY96" i="45" s="1"/>
  <c r="AX95" i="45"/>
  <c r="AX94" i="45"/>
  <c r="AY94" i="45" s="1"/>
  <c r="AX93" i="45"/>
  <c r="AX92" i="45"/>
  <c r="AY92" i="45" s="1"/>
  <c r="AX91" i="45"/>
  <c r="AY91" i="45" s="1"/>
  <c r="AX90" i="45"/>
  <c r="AY90" i="45" s="1"/>
  <c r="AX89" i="45"/>
  <c r="AY89" i="45" s="1"/>
  <c r="AX88" i="45"/>
  <c r="AY88" i="45" s="1"/>
  <c r="AX87" i="45"/>
  <c r="AY87" i="45" s="1"/>
  <c r="AX86" i="45"/>
  <c r="AY86" i="45" s="1"/>
  <c r="AX85" i="45"/>
  <c r="AX84" i="45"/>
  <c r="AY84" i="45" s="1"/>
  <c r="AX83" i="45"/>
  <c r="AY83" i="45" s="1"/>
  <c r="AX82" i="45"/>
  <c r="AY82" i="45" s="1"/>
  <c r="AX81" i="45"/>
  <c r="AY81" i="45" s="1"/>
  <c r="AX80" i="45"/>
  <c r="AY80" i="45" s="1"/>
  <c r="AX79" i="45"/>
  <c r="AX78" i="45"/>
  <c r="AY78" i="45" s="1"/>
  <c r="AX77" i="45"/>
  <c r="AX76" i="45"/>
  <c r="AY76" i="45" s="1"/>
  <c r="AX75" i="45"/>
  <c r="AY75" i="45" s="1"/>
  <c r="AX74" i="45"/>
  <c r="AY74" i="45" s="1"/>
  <c r="AX73" i="45"/>
  <c r="AY73" i="45" s="1"/>
  <c r="AX72" i="45"/>
  <c r="AY72" i="45" s="1"/>
  <c r="AX71" i="45"/>
  <c r="AX70" i="45"/>
  <c r="AX69" i="45"/>
  <c r="AX68" i="45"/>
  <c r="AY68" i="45" s="1"/>
  <c r="AX67" i="45"/>
  <c r="AY67" i="45" s="1"/>
  <c r="AX66" i="45"/>
  <c r="AY66" i="45" s="1"/>
  <c r="AX65" i="45"/>
  <c r="AY65" i="45" s="1"/>
  <c r="AX64" i="45"/>
  <c r="AY64" i="45" s="1"/>
  <c r="AX63" i="45"/>
  <c r="AY63" i="45" s="1"/>
  <c r="AX62" i="45"/>
  <c r="AY62" i="45" s="1"/>
  <c r="AX61" i="45"/>
  <c r="AX60" i="45"/>
  <c r="AY60" i="45" s="1"/>
  <c r="AX59" i="45"/>
  <c r="AY59" i="45" s="1"/>
  <c r="AX58" i="45"/>
  <c r="AY58" i="45" s="1"/>
  <c r="AX57" i="45"/>
  <c r="AY57" i="45" s="1"/>
  <c r="AX56" i="45"/>
  <c r="AY56" i="45" s="1"/>
  <c r="AX55" i="45"/>
  <c r="AY55" i="45" s="1"/>
  <c r="AX54" i="45"/>
  <c r="AY54" i="45" s="1"/>
  <c r="AX53" i="45"/>
  <c r="AX52" i="45"/>
  <c r="AY52" i="45" s="1"/>
  <c r="AX51" i="45"/>
  <c r="AY51" i="45" s="1"/>
  <c r="AX50" i="45"/>
  <c r="AY50" i="45" s="1"/>
  <c r="AX49" i="45"/>
  <c r="AY49" i="45" s="1"/>
  <c r="AX48" i="45"/>
  <c r="AY48" i="45" s="1"/>
  <c r="AX47" i="45"/>
  <c r="AY47" i="45" s="1"/>
  <c r="AX46" i="45"/>
  <c r="AY46" i="45" s="1"/>
  <c r="AX45" i="45"/>
  <c r="AX44" i="45"/>
  <c r="AY44" i="45" s="1"/>
  <c r="AX43" i="45"/>
  <c r="AY43" i="45" s="1"/>
  <c r="AX42" i="45"/>
  <c r="AY42" i="45" s="1"/>
  <c r="AX41" i="45"/>
  <c r="AY41" i="45" s="1"/>
  <c r="AX40" i="45"/>
  <c r="AY40" i="45" s="1"/>
  <c r="AX39" i="45"/>
  <c r="AX38" i="45"/>
  <c r="AY38" i="45" s="1"/>
  <c r="AX37" i="45"/>
  <c r="AY37" i="45" s="1"/>
  <c r="AX36" i="45"/>
  <c r="AY36" i="45" s="1"/>
  <c r="AX35" i="45"/>
  <c r="AX34" i="45"/>
  <c r="AY34" i="45" s="1"/>
  <c r="AX33" i="45"/>
  <c r="AX32" i="45"/>
  <c r="AY32" i="45" s="1"/>
  <c r="AX31" i="45"/>
  <c r="AY31" i="45" s="1"/>
  <c r="AX30" i="45"/>
  <c r="AX29" i="45"/>
  <c r="AY29" i="45" s="1"/>
  <c r="AX26" i="45"/>
  <c r="AY26" i="45" s="1"/>
  <c r="AX25" i="45"/>
  <c r="AX24" i="45"/>
  <c r="AY24" i="45" s="1"/>
  <c r="AX23" i="45"/>
  <c r="AX22" i="45"/>
  <c r="AY22" i="45" s="1"/>
  <c r="AX21" i="45"/>
  <c r="AY21" i="45" s="1"/>
  <c r="AX20" i="45"/>
  <c r="AY20" i="45" s="1"/>
  <c r="AX19" i="45"/>
  <c r="AY19" i="45" s="1"/>
  <c r="AX18" i="45"/>
  <c r="AY18" i="45" s="1"/>
  <c r="AX17" i="45"/>
  <c r="AY17" i="45" s="1"/>
  <c r="AX16" i="45"/>
  <c r="AY16" i="45" s="1"/>
  <c r="AX15" i="45"/>
  <c r="AY15" i="45" s="1"/>
  <c r="AX14" i="45"/>
  <c r="AY14" i="45" s="1"/>
  <c r="AX13" i="45"/>
  <c r="AY13" i="45" s="1"/>
  <c r="AX12" i="45"/>
  <c r="AY12" i="45" s="1"/>
  <c r="AX11" i="45"/>
  <c r="AY11" i="45" s="1"/>
  <c r="AX10" i="45"/>
  <c r="AY10" i="45" s="1"/>
  <c r="AX9" i="45"/>
  <c r="AY9" i="45" s="1"/>
  <c r="BM114" i="45"/>
  <c r="BM113" i="45"/>
  <c r="BM112" i="45"/>
  <c r="BM111" i="45"/>
  <c r="BM110" i="45"/>
  <c r="BM109" i="45"/>
  <c r="BM108" i="45"/>
  <c r="BM107" i="45"/>
  <c r="BM106" i="45"/>
  <c r="BM105" i="45"/>
  <c r="BM104" i="45"/>
  <c r="BM103" i="45"/>
  <c r="BM102" i="45"/>
  <c r="BM101" i="45"/>
  <c r="BM100" i="45"/>
  <c r="BM99" i="45"/>
  <c r="BM98" i="45"/>
  <c r="BM97" i="45"/>
  <c r="BM96" i="45"/>
  <c r="BM95" i="45"/>
  <c r="BM94" i="45"/>
  <c r="BM93" i="45"/>
  <c r="BM92" i="45"/>
  <c r="BM91" i="45"/>
  <c r="BM90" i="45"/>
  <c r="BM89" i="45"/>
  <c r="BM88" i="45"/>
  <c r="BM87" i="45"/>
  <c r="BM86" i="45"/>
  <c r="BM85" i="45"/>
  <c r="BM84" i="45"/>
  <c r="BM83" i="45"/>
  <c r="BM82" i="45"/>
  <c r="BM81" i="45"/>
  <c r="BM80" i="45"/>
  <c r="BM79" i="45"/>
  <c r="BM78" i="45"/>
  <c r="BM77" i="45"/>
  <c r="BM76" i="45"/>
  <c r="BM75" i="45"/>
  <c r="BM74" i="45"/>
  <c r="BM73" i="45"/>
  <c r="BM72" i="45"/>
  <c r="BM71" i="45"/>
  <c r="BM70" i="45"/>
  <c r="BM69" i="45"/>
  <c r="BM68" i="45"/>
  <c r="BM67" i="45"/>
  <c r="BM66" i="45"/>
  <c r="BM65" i="45"/>
  <c r="BM64" i="45"/>
  <c r="BM63" i="45"/>
  <c r="BM62" i="45"/>
  <c r="BM61" i="45"/>
  <c r="BM60" i="45"/>
  <c r="BM59" i="45"/>
  <c r="BM58" i="45"/>
  <c r="BM57" i="45"/>
  <c r="BM56" i="45"/>
  <c r="BM55" i="45"/>
  <c r="BM54" i="45"/>
  <c r="BM53" i="45"/>
  <c r="BM52" i="45"/>
  <c r="BM51" i="45"/>
  <c r="BM50" i="45"/>
  <c r="BM49" i="45"/>
  <c r="BM48" i="45"/>
  <c r="BM47" i="45"/>
  <c r="BM46" i="45"/>
  <c r="BM45" i="45"/>
  <c r="BM44" i="45"/>
  <c r="BM43" i="45"/>
  <c r="BM42" i="45"/>
  <c r="BM41" i="45"/>
  <c r="BM40" i="45"/>
  <c r="BM39" i="45"/>
  <c r="BM38" i="45"/>
  <c r="BM37" i="45"/>
  <c r="BM36" i="45"/>
  <c r="BM35" i="45"/>
  <c r="BM34" i="45"/>
  <c r="BM33" i="45"/>
  <c r="BM32" i="45"/>
  <c r="BM31" i="45"/>
  <c r="BM30" i="45"/>
  <c r="BM29" i="45"/>
  <c r="BM26" i="45"/>
  <c r="BM25" i="45"/>
  <c r="BM24" i="45"/>
  <c r="BM23" i="45"/>
  <c r="BM22" i="45"/>
  <c r="BM21" i="45"/>
  <c r="BM20" i="45"/>
  <c r="BM19" i="45"/>
  <c r="BM18" i="45"/>
  <c r="BM17" i="45"/>
  <c r="BM16" i="45"/>
  <c r="BM15" i="45"/>
  <c r="BM14" i="45"/>
  <c r="BM13" i="45"/>
  <c r="BM12" i="45"/>
  <c r="BM11" i="45"/>
  <c r="BM10" i="45"/>
  <c r="BM9" i="45"/>
  <c r="AA227" i="3"/>
  <c r="K217" i="3"/>
  <c r="T75" i="19"/>
  <c r="AG75" i="19"/>
  <c r="AT75" i="19"/>
  <c r="C71" i="19"/>
  <c r="C72" i="19" s="1"/>
  <c r="C73" i="19" s="1"/>
  <c r="C74" i="19" s="1"/>
  <c r="C75" i="19" s="1"/>
  <c r="T74" i="19"/>
  <c r="AG74" i="19"/>
  <c r="AT74" i="19"/>
  <c r="T73" i="19"/>
  <c r="AG73" i="19"/>
  <c r="AT73" i="19"/>
  <c r="T72" i="19"/>
  <c r="AG72" i="19"/>
  <c r="AT72" i="19"/>
  <c r="T71" i="19"/>
  <c r="AG71" i="19"/>
  <c r="AT71" i="19"/>
  <c r="AG78" i="19"/>
  <c r="T55" i="19"/>
  <c r="AG55" i="19"/>
  <c r="AT55" i="19"/>
  <c r="T56" i="19"/>
  <c r="AG56" i="19"/>
  <c r="AT56" i="19"/>
  <c r="T57" i="19"/>
  <c r="AG57" i="19"/>
  <c r="AT57" i="19"/>
  <c r="T58" i="19"/>
  <c r="AG58" i="19"/>
  <c r="AT58" i="19"/>
  <c r="T64" i="19"/>
  <c r="AG64" i="19"/>
  <c r="AT64" i="19"/>
  <c r="T65" i="19"/>
  <c r="AG65" i="19"/>
  <c r="AT65" i="19"/>
  <c r="T66" i="19"/>
  <c r="AG66" i="19"/>
  <c r="AT66" i="19"/>
  <c r="T67" i="19"/>
  <c r="AG67" i="19"/>
  <c r="AT67" i="19"/>
  <c r="T68" i="19"/>
  <c r="AG68" i="19"/>
  <c r="AT68" i="19"/>
  <c r="T43" i="19"/>
  <c r="AG43" i="19"/>
  <c r="AT43" i="19"/>
  <c r="T44" i="19"/>
  <c r="AG44" i="19"/>
  <c r="T45" i="19"/>
  <c r="AG45" i="19"/>
  <c r="AT45" i="19"/>
  <c r="T46" i="19"/>
  <c r="AG46" i="19"/>
  <c r="AT46" i="19"/>
  <c r="T48" i="19"/>
  <c r="AG48" i="19"/>
  <c r="AT48" i="19"/>
  <c r="T49" i="19"/>
  <c r="AG49" i="19"/>
  <c r="AT49" i="19"/>
  <c r="T50" i="19"/>
  <c r="AG50" i="19"/>
  <c r="AT50" i="19"/>
  <c r="T51" i="19"/>
  <c r="AG51" i="19"/>
  <c r="AT51" i="19"/>
  <c r="AT31" i="19"/>
  <c r="AT32" i="19"/>
  <c r="AT33" i="19"/>
  <c r="AT34" i="19"/>
  <c r="AT36" i="19"/>
  <c r="AT37" i="19"/>
  <c r="AT38" i="19"/>
  <c r="AT39" i="19"/>
  <c r="AG31" i="19"/>
  <c r="AG32" i="19"/>
  <c r="AG33" i="19"/>
  <c r="AG34" i="19"/>
  <c r="AG36" i="19"/>
  <c r="AG37" i="19"/>
  <c r="AG38" i="19"/>
  <c r="AG39" i="19"/>
  <c r="T31" i="19"/>
  <c r="T32" i="19"/>
  <c r="BU32" i="19" s="1"/>
  <c r="T33" i="19"/>
  <c r="BU33" i="19" s="1"/>
  <c r="T34" i="19"/>
  <c r="BU34" i="19" s="1"/>
  <c r="T36" i="19"/>
  <c r="BU36" i="19" s="1"/>
  <c r="T37" i="19"/>
  <c r="BU37" i="19" s="1"/>
  <c r="T38" i="19"/>
  <c r="T39" i="19"/>
  <c r="BU39" i="19" s="1"/>
  <c r="T18" i="19"/>
  <c r="AG18" i="19"/>
  <c r="AT18" i="19"/>
  <c r="T19" i="19"/>
  <c r="AG19" i="19"/>
  <c r="AT19" i="19"/>
  <c r="T20" i="19"/>
  <c r="AG20" i="19"/>
  <c r="AT20" i="19"/>
  <c r="T21" i="19"/>
  <c r="AG21" i="19"/>
  <c r="AT21" i="19"/>
  <c r="T22" i="19"/>
  <c r="AG22" i="19"/>
  <c r="AT22" i="19"/>
  <c r="T23" i="19"/>
  <c r="AG23" i="19"/>
  <c r="AT23" i="19"/>
  <c r="T24" i="19"/>
  <c r="AG24" i="19"/>
  <c r="AT24" i="19"/>
  <c r="T25" i="19"/>
  <c r="AG25" i="19"/>
  <c r="AT25" i="19"/>
  <c r="T26" i="19"/>
  <c r="AG26" i="19"/>
  <c r="AT26" i="19"/>
  <c r="T27" i="19"/>
  <c r="AG27" i="19"/>
  <c r="AT27" i="19"/>
  <c r="T11" i="19"/>
  <c r="AG11" i="19"/>
  <c r="AT11" i="19"/>
  <c r="T12" i="19"/>
  <c r="AG12" i="19"/>
  <c r="AT12" i="19"/>
  <c r="T13" i="19"/>
  <c r="AG13" i="19"/>
  <c r="AT13" i="19"/>
  <c r="T14" i="19"/>
  <c r="AG14" i="19"/>
  <c r="AT14" i="19"/>
  <c r="T15" i="19"/>
  <c r="AG15" i="19"/>
  <c r="AT15" i="19"/>
  <c r="K218" i="3"/>
  <c r="K219" i="3"/>
  <c r="K220" i="3"/>
  <c r="CK220" i="3" s="1"/>
  <c r="K221" i="3"/>
  <c r="N221" i="3" s="1"/>
  <c r="K222" i="3"/>
  <c r="K223" i="3"/>
  <c r="CK223" i="3" s="1"/>
  <c r="K224" i="3"/>
  <c r="N224" i="3" s="1"/>
  <c r="K225" i="3"/>
  <c r="N225" i="3" s="1"/>
  <c r="K226" i="3"/>
  <c r="K82" i="3"/>
  <c r="CK82" i="3" s="1"/>
  <c r="K83" i="3"/>
  <c r="CK83" i="3" s="1"/>
  <c r="K84" i="3"/>
  <c r="N84" i="3" s="1"/>
  <c r="K85" i="3"/>
  <c r="K87" i="3"/>
  <c r="N87" i="3" s="1"/>
  <c r="K88" i="3"/>
  <c r="K89" i="3"/>
  <c r="N89" i="3" s="1"/>
  <c r="K90" i="3"/>
  <c r="K93" i="3"/>
  <c r="CK93" i="3" s="1"/>
  <c r="K94" i="3"/>
  <c r="CK94" i="3" s="1"/>
  <c r="K95" i="3"/>
  <c r="N95" i="3" s="1"/>
  <c r="K96" i="3"/>
  <c r="K97" i="3"/>
  <c r="N97" i="3" s="1"/>
  <c r="K98" i="3"/>
  <c r="CK98" i="3" s="1"/>
  <c r="K99" i="3"/>
  <c r="N99" i="3" s="1"/>
  <c r="K100" i="3"/>
  <c r="K103" i="3"/>
  <c r="CK103" i="3" s="1"/>
  <c r="K104" i="3"/>
  <c r="CK104" i="3" s="1"/>
  <c r="K107" i="3"/>
  <c r="N107" i="3" s="1"/>
  <c r="K108" i="3"/>
  <c r="K109" i="3"/>
  <c r="K110" i="3"/>
  <c r="K113" i="3"/>
  <c r="N113" i="3" s="1"/>
  <c r="K114" i="3"/>
  <c r="K118" i="3"/>
  <c r="K119" i="3"/>
  <c r="CK119" i="3" s="1"/>
  <c r="K120" i="3"/>
  <c r="N120" i="3" s="1"/>
  <c r="K121" i="3"/>
  <c r="K123" i="3"/>
  <c r="CK123" i="3" s="1"/>
  <c r="K124" i="3"/>
  <c r="CK124" i="3" s="1"/>
  <c r="K128" i="3"/>
  <c r="N128" i="3" s="1"/>
  <c r="K129" i="3"/>
  <c r="K130" i="3"/>
  <c r="K131" i="3"/>
  <c r="CK131" i="3" s="1"/>
  <c r="K132" i="3"/>
  <c r="N132" i="3" s="1"/>
  <c r="K133" i="3"/>
  <c r="K134" i="3"/>
  <c r="CK134" i="3" s="1"/>
  <c r="K135" i="3"/>
  <c r="K138" i="3"/>
  <c r="N138" i="3" s="1"/>
  <c r="K139" i="3"/>
  <c r="K140" i="3"/>
  <c r="K141" i="3"/>
  <c r="CK141" i="3" s="1"/>
  <c r="K143" i="3"/>
  <c r="N143" i="3" s="1"/>
  <c r="K144" i="3"/>
  <c r="K146" i="3"/>
  <c r="CK146" i="3" s="1"/>
  <c r="K147" i="3"/>
  <c r="CK147" i="3" s="1"/>
  <c r="K148" i="3"/>
  <c r="N148" i="3" s="1"/>
  <c r="K149" i="3"/>
  <c r="K150" i="3"/>
  <c r="N150" i="3" s="1"/>
  <c r="K151" i="3"/>
  <c r="CK151" i="3" s="1"/>
  <c r="K153" i="3"/>
  <c r="N153" i="3" s="1"/>
  <c r="K154" i="3"/>
  <c r="K156" i="3"/>
  <c r="CK156" i="3" s="1"/>
  <c r="K157" i="3"/>
  <c r="K159" i="3"/>
  <c r="N159" i="3" s="1"/>
  <c r="K160" i="3"/>
  <c r="K163" i="3"/>
  <c r="CK163" i="3" s="1"/>
  <c r="K164" i="3"/>
  <c r="CK164" i="3" s="1"/>
  <c r="K166" i="3"/>
  <c r="N166" i="3" s="1"/>
  <c r="K167" i="3"/>
  <c r="K168" i="3"/>
  <c r="CK168" i="3" s="1"/>
  <c r="K169" i="3"/>
  <c r="CK169" i="3" s="1"/>
  <c r="K170" i="3"/>
  <c r="N170" i="3" s="1"/>
  <c r="K171" i="3"/>
  <c r="K172" i="3"/>
  <c r="CK172" i="3" s="1"/>
  <c r="K173" i="3"/>
  <c r="CK173" i="3" s="1"/>
  <c r="K174" i="3"/>
  <c r="N174" i="3" s="1"/>
  <c r="K175" i="3"/>
  <c r="K176" i="3"/>
  <c r="CK176" i="3" s="1"/>
  <c r="K177" i="3"/>
  <c r="K178" i="3"/>
  <c r="N178" i="3" s="1"/>
  <c r="K179" i="3"/>
  <c r="K180" i="3"/>
  <c r="CK180" i="3" s="1"/>
  <c r="K181" i="3"/>
  <c r="CK181" i="3" s="1"/>
  <c r="K185" i="3"/>
  <c r="N185" i="3" s="1"/>
  <c r="K186" i="3"/>
  <c r="K188" i="3"/>
  <c r="K189" i="3"/>
  <c r="CK189" i="3" s="1"/>
  <c r="K190" i="3"/>
  <c r="N190" i="3" s="1"/>
  <c r="K191" i="3"/>
  <c r="K192" i="3"/>
  <c r="CK192" i="3" s="1"/>
  <c r="K193" i="3"/>
  <c r="CK193" i="3" s="1"/>
  <c r="K198" i="3"/>
  <c r="N198" i="3" s="1"/>
  <c r="K199" i="3"/>
  <c r="K202" i="3"/>
  <c r="K203" i="3"/>
  <c r="K204" i="3"/>
  <c r="N204" i="3" s="1"/>
  <c r="K205" i="3"/>
  <c r="K208" i="3"/>
  <c r="CK208" i="3" s="1"/>
  <c r="K209" i="3"/>
  <c r="CK209" i="3" s="1"/>
  <c r="K210" i="3"/>
  <c r="N210" i="3" s="1"/>
  <c r="K211" i="3"/>
  <c r="K212" i="3"/>
  <c r="CK212" i="3" s="1"/>
  <c r="K213" i="3"/>
  <c r="CK213" i="3" s="1"/>
  <c r="K214" i="3"/>
  <c r="N214" i="3" s="1"/>
  <c r="K56" i="3"/>
  <c r="N56" i="3" s="1"/>
  <c r="K57" i="3"/>
  <c r="CK57" i="3" s="1"/>
  <c r="K58" i="3"/>
  <c r="CK58" i="3" s="1"/>
  <c r="K59" i="3"/>
  <c r="K60" i="3"/>
  <c r="N60" i="3" s="1"/>
  <c r="K61" i="3"/>
  <c r="CK61" i="3" s="1"/>
  <c r="K62" i="3"/>
  <c r="K63" i="3"/>
  <c r="K64" i="3"/>
  <c r="K65" i="3"/>
  <c r="CK65" i="3" s="1"/>
  <c r="K66" i="3"/>
  <c r="CK66" i="3" s="1"/>
  <c r="K67" i="3"/>
  <c r="K68" i="3"/>
  <c r="N68" i="3" s="1"/>
  <c r="K69" i="3"/>
  <c r="CK69" i="3" s="1"/>
  <c r="K70" i="3"/>
  <c r="CK70" i="3" s="1"/>
  <c r="K71" i="3"/>
  <c r="K72" i="3"/>
  <c r="N72" i="3" s="1"/>
  <c r="K73" i="3"/>
  <c r="CK73" i="3" s="1"/>
  <c r="K74" i="3"/>
  <c r="K75" i="3"/>
  <c r="K76" i="3"/>
  <c r="N76" i="3" s="1"/>
  <c r="K77" i="3"/>
  <c r="K78" i="3"/>
  <c r="CK78" i="3" s="1"/>
  <c r="K36" i="3"/>
  <c r="N36" i="3" s="1"/>
  <c r="K37" i="3"/>
  <c r="K38" i="3"/>
  <c r="CK38" i="3" s="1"/>
  <c r="K39" i="3"/>
  <c r="K40" i="3"/>
  <c r="N40" i="3" s="1"/>
  <c r="K41" i="3"/>
  <c r="K42" i="3"/>
  <c r="CK42" i="3" s="1"/>
  <c r="K43" i="3"/>
  <c r="CK43" i="3" s="1"/>
  <c r="K44" i="3"/>
  <c r="N44" i="3" s="1"/>
  <c r="K45" i="3"/>
  <c r="K46" i="3"/>
  <c r="K47" i="3"/>
  <c r="CK47" i="3" s="1"/>
  <c r="K48" i="3"/>
  <c r="N48" i="3" s="1"/>
  <c r="K49" i="3"/>
  <c r="K50" i="3"/>
  <c r="CK50" i="3" s="1"/>
  <c r="K51" i="3"/>
  <c r="CK51" i="3" s="1"/>
  <c r="K52" i="3"/>
  <c r="N52" i="3" s="1"/>
  <c r="K16" i="3"/>
  <c r="K17" i="3"/>
  <c r="CK17" i="3" s="1"/>
  <c r="K18" i="3"/>
  <c r="K19" i="3"/>
  <c r="K20" i="3"/>
  <c r="K21" i="3"/>
  <c r="K22" i="3"/>
  <c r="K23" i="3"/>
  <c r="K24" i="3"/>
  <c r="K25" i="3"/>
  <c r="K26" i="3"/>
  <c r="K27" i="3"/>
  <c r="K28" i="3"/>
  <c r="K29" i="3"/>
  <c r="AR29" i="3" s="1"/>
  <c r="K30" i="3"/>
  <c r="K31" i="3"/>
  <c r="K32" i="3"/>
  <c r="K10" i="3"/>
  <c r="K11" i="3"/>
  <c r="K12" i="3"/>
  <c r="M33" i="3"/>
  <c r="M53" i="3"/>
  <c r="L53" i="3"/>
  <c r="L79" i="3"/>
  <c r="M79" i="3"/>
  <c r="M227" i="3"/>
  <c r="K9" i="3"/>
  <c r="K15" i="3"/>
  <c r="K35" i="3"/>
  <c r="CK35" i="3" s="1"/>
  <c r="K55" i="3"/>
  <c r="BD13" i="3"/>
  <c r="BD33" i="3"/>
  <c r="BD53" i="3"/>
  <c r="BD79" i="3"/>
  <c r="BD215" i="3"/>
  <c r="K14" i="3"/>
  <c r="K53" i="3"/>
  <c r="K54" i="3"/>
  <c r="K79" i="3"/>
  <c r="K80" i="3"/>
  <c r="K215" i="3"/>
  <c r="K216" i="3"/>
  <c r="BC13" i="3"/>
  <c r="BC33" i="3"/>
  <c r="BC53" i="3"/>
  <c r="BC79" i="3"/>
  <c r="BC215" i="3"/>
  <c r="BB13" i="3"/>
  <c r="BB33" i="3"/>
  <c r="BB53" i="3"/>
  <c r="BB79" i="3"/>
  <c r="BB215" i="3"/>
  <c r="BA13" i="3"/>
  <c r="BA33" i="3"/>
  <c r="BA53" i="3"/>
  <c r="BA79" i="3"/>
  <c r="BA215" i="3"/>
  <c r="AZ13" i="3"/>
  <c r="AZ33" i="3"/>
  <c r="AZ53" i="3"/>
  <c r="AZ79" i="3"/>
  <c r="AZ215" i="3"/>
  <c r="AY13" i="3"/>
  <c r="AY33" i="3"/>
  <c r="AY53" i="3"/>
  <c r="AY79" i="3"/>
  <c r="AY215" i="3"/>
  <c r="AX13" i="3"/>
  <c r="AX33" i="3"/>
  <c r="AX53" i="3"/>
  <c r="AX79" i="3"/>
  <c r="AX215" i="3"/>
  <c r="AW13" i="3"/>
  <c r="AW33" i="3"/>
  <c r="AW53" i="3"/>
  <c r="AW79" i="3"/>
  <c r="AW215" i="3"/>
  <c r="AV13" i="3"/>
  <c r="AV33" i="3"/>
  <c r="AV53" i="3"/>
  <c r="AV79" i="3"/>
  <c r="AV215" i="3"/>
  <c r="AU13" i="3"/>
  <c r="AU33" i="3"/>
  <c r="AU53" i="3"/>
  <c r="AU79" i="3"/>
  <c r="AU215" i="3"/>
  <c r="AT13" i="3"/>
  <c r="AT33" i="3"/>
  <c r="AT53" i="3"/>
  <c r="AT79" i="3"/>
  <c r="AT215" i="3"/>
  <c r="AS13" i="3"/>
  <c r="AS33" i="3"/>
  <c r="AS53" i="3"/>
  <c r="AS79" i="3"/>
  <c r="AS215" i="3"/>
  <c r="AO13" i="3"/>
  <c r="AO33" i="3"/>
  <c r="AO53" i="3"/>
  <c r="AO79" i="3"/>
  <c r="AO215" i="3"/>
  <c r="AN13" i="3"/>
  <c r="AN33" i="3"/>
  <c r="AN53" i="3"/>
  <c r="AN79" i="3"/>
  <c r="AN215" i="3"/>
  <c r="AM13" i="3"/>
  <c r="AM33" i="3"/>
  <c r="AM53" i="3"/>
  <c r="AM79" i="3"/>
  <c r="AM215" i="3"/>
  <c r="AL13" i="3"/>
  <c r="AL33" i="3"/>
  <c r="AL53" i="3"/>
  <c r="AL79" i="3"/>
  <c r="AL215" i="3"/>
  <c r="AK13" i="3"/>
  <c r="AK33" i="3"/>
  <c r="AK53" i="3"/>
  <c r="AK79" i="3"/>
  <c r="AK215" i="3"/>
  <c r="AJ13" i="3"/>
  <c r="AJ33" i="3"/>
  <c r="AJ53" i="3"/>
  <c r="AJ79" i="3"/>
  <c r="AJ215" i="3"/>
  <c r="AI13" i="3"/>
  <c r="AI33" i="3"/>
  <c r="AI53" i="3"/>
  <c r="AI79" i="3"/>
  <c r="AI215" i="3"/>
  <c r="AH13" i="3"/>
  <c r="AH33" i="3"/>
  <c r="AH53" i="3"/>
  <c r="AH79" i="3"/>
  <c r="AH215" i="3"/>
  <c r="AG13" i="3"/>
  <c r="AG33" i="3"/>
  <c r="AG53" i="3"/>
  <c r="AG79" i="3"/>
  <c r="AG215" i="3"/>
  <c r="AF13" i="3"/>
  <c r="AF33" i="3"/>
  <c r="AF53" i="3"/>
  <c r="AF79" i="3"/>
  <c r="AF215" i="3"/>
  <c r="AE13" i="3"/>
  <c r="AE33" i="3"/>
  <c r="AE53" i="3"/>
  <c r="AE79" i="3"/>
  <c r="AE215" i="3"/>
  <c r="AD13" i="3"/>
  <c r="AD33" i="3"/>
  <c r="AD53" i="3"/>
  <c r="AD79" i="3"/>
  <c r="AD215" i="3"/>
  <c r="L13" i="3"/>
  <c r="L33" i="3"/>
  <c r="L215" i="3"/>
  <c r="P13" i="3"/>
  <c r="P33" i="3"/>
  <c r="P53" i="3"/>
  <c r="P79" i="3"/>
  <c r="P215" i="3"/>
  <c r="Q13" i="3"/>
  <c r="Q33" i="3"/>
  <c r="Q53" i="3"/>
  <c r="Q79" i="3"/>
  <c r="Q215" i="3"/>
  <c r="R13" i="3"/>
  <c r="R33" i="3"/>
  <c r="R53" i="3"/>
  <c r="R79" i="3"/>
  <c r="R215" i="3"/>
  <c r="S13" i="3"/>
  <c r="S33" i="3"/>
  <c r="S53" i="3"/>
  <c r="S79" i="3"/>
  <c r="S215" i="3"/>
  <c r="T13" i="3"/>
  <c r="T33" i="3"/>
  <c r="T53" i="3"/>
  <c r="T79" i="3"/>
  <c r="T215" i="3"/>
  <c r="U13" i="3"/>
  <c r="U33" i="3"/>
  <c r="U53" i="3"/>
  <c r="U79" i="3"/>
  <c r="U215" i="3"/>
  <c r="V13" i="3"/>
  <c r="V33" i="3"/>
  <c r="V53" i="3"/>
  <c r="V79" i="3"/>
  <c r="V215" i="3"/>
  <c r="W13" i="3"/>
  <c r="W33" i="3"/>
  <c r="W53" i="3"/>
  <c r="W79" i="3"/>
  <c r="W215" i="3"/>
  <c r="X13" i="3"/>
  <c r="X33" i="3"/>
  <c r="X53" i="3"/>
  <c r="X79" i="3"/>
  <c r="X215" i="3"/>
  <c r="Y13" i="3"/>
  <c r="Y33" i="3"/>
  <c r="Y53" i="3"/>
  <c r="Y79" i="3"/>
  <c r="Y215" i="3"/>
  <c r="Z13" i="3"/>
  <c r="Z33" i="3"/>
  <c r="Z53" i="3"/>
  <c r="Z79" i="3"/>
  <c r="Z215" i="3"/>
  <c r="O13" i="3"/>
  <c r="O33" i="3"/>
  <c r="O53" i="3"/>
  <c r="O79" i="3"/>
  <c r="O215" i="3"/>
  <c r="C30" i="19"/>
  <c r="C31" i="19" s="1"/>
  <c r="C32" i="19" s="1"/>
  <c r="C33" i="19" s="1"/>
  <c r="C34" i="19" s="1"/>
  <c r="T30" i="19"/>
  <c r="AG30" i="19"/>
  <c r="AT30" i="19"/>
  <c r="AT44" i="19"/>
  <c r="U114" i="45"/>
  <c r="U113" i="45"/>
  <c r="D23" i="64" s="1"/>
  <c r="U112" i="45"/>
  <c r="U111" i="45"/>
  <c r="U110" i="45"/>
  <c r="D11" i="64" s="1"/>
  <c r="U109" i="45"/>
  <c r="U108" i="45"/>
  <c r="U107" i="45"/>
  <c r="U106" i="45"/>
  <c r="U105" i="45"/>
  <c r="U104" i="45"/>
  <c r="U103" i="45"/>
  <c r="U102" i="45"/>
  <c r="U101" i="45"/>
  <c r="U100" i="45"/>
  <c r="U99" i="45"/>
  <c r="U98" i="45"/>
  <c r="U97" i="45"/>
  <c r="U96" i="45"/>
  <c r="U95" i="45"/>
  <c r="U94" i="45"/>
  <c r="U93" i="45"/>
  <c r="U92" i="45"/>
  <c r="U91" i="45"/>
  <c r="U90" i="45"/>
  <c r="U89" i="45"/>
  <c r="U88" i="45"/>
  <c r="U87" i="45"/>
  <c r="U86" i="45"/>
  <c r="U84" i="45"/>
  <c r="U83" i="45"/>
  <c r="U82" i="45"/>
  <c r="U81" i="45"/>
  <c r="U80" i="45"/>
  <c r="U79" i="45"/>
  <c r="U78" i="45"/>
  <c r="U77" i="45"/>
  <c r="U76" i="45"/>
  <c r="U75" i="45"/>
  <c r="U74" i="45"/>
  <c r="U73" i="45"/>
  <c r="U72" i="45"/>
  <c r="U71" i="45"/>
  <c r="U70" i="45"/>
  <c r="U69" i="45"/>
  <c r="U68" i="45"/>
  <c r="U67" i="45"/>
  <c r="U66" i="45"/>
  <c r="U65" i="45"/>
  <c r="U64" i="45"/>
  <c r="U63" i="45"/>
  <c r="U62" i="45"/>
  <c r="U61" i="45"/>
  <c r="U60" i="45"/>
  <c r="U59" i="45"/>
  <c r="U58" i="45"/>
  <c r="U57" i="45"/>
  <c r="U56" i="45"/>
  <c r="U55" i="45"/>
  <c r="U54" i="45"/>
  <c r="U53" i="45"/>
  <c r="U52" i="45"/>
  <c r="U51" i="45"/>
  <c r="U50" i="45"/>
  <c r="U49" i="45"/>
  <c r="U48" i="45"/>
  <c r="U47" i="45"/>
  <c r="U46" i="45"/>
  <c r="U45" i="45"/>
  <c r="U44" i="45"/>
  <c r="U43" i="45"/>
  <c r="U42" i="45"/>
  <c r="U41" i="45"/>
  <c r="U40" i="45"/>
  <c r="U39" i="45"/>
  <c r="U38" i="45"/>
  <c r="U37" i="45"/>
  <c r="U36" i="45"/>
  <c r="U35" i="45"/>
  <c r="U34" i="45"/>
  <c r="U33" i="45"/>
  <c r="U32" i="45"/>
  <c r="U31" i="45"/>
  <c r="U30" i="45"/>
  <c r="U29" i="45"/>
  <c r="U26" i="45"/>
  <c r="U25" i="45"/>
  <c r="U24" i="45"/>
  <c r="U23" i="45"/>
  <c r="U22" i="45"/>
  <c r="U21" i="45"/>
  <c r="U20" i="45"/>
  <c r="U19" i="45"/>
  <c r="U18" i="45"/>
  <c r="U17" i="45"/>
  <c r="U16" i="45"/>
  <c r="U15" i="45"/>
  <c r="U14" i="45"/>
  <c r="U13" i="45"/>
  <c r="U11" i="45"/>
  <c r="U10" i="45"/>
  <c r="U9" i="45"/>
  <c r="U12" i="45"/>
  <c r="BL27" i="45"/>
  <c r="BL115" i="45"/>
  <c r="BK27" i="45"/>
  <c r="BK115" i="45"/>
  <c r="BJ27" i="45"/>
  <c r="BJ115" i="45"/>
  <c r="BI27" i="45"/>
  <c r="BI115" i="45"/>
  <c r="BH27" i="45"/>
  <c r="BH115" i="45"/>
  <c r="BG27" i="45"/>
  <c r="BG115" i="45"/>
  <c r="BF27" i="45"/>
  <c r="BF115" i="45"/>
  <c r="BE27" i="45"/>
  <c r="BE115" i="45"/>
  <c r="BD27" i="45"/>
  <c r="BD115" i="45"/>
  <c r="BC27" i="45"/>
  <c r="BC115" i="45"/>
  <c r="BB27" i="45"/>
  <c r="BB115" i="45"/>
  <c r="BA27" i="45"/>
  <c r="BA115" i="45"/>
  <c r="AZ27" i="45"/>
  <c r="AZ115" i="45"/>
  <c r="T27" i="45"/>
  <c r="S27" i="45"/>
  <c r="T80" i="19"/>
  <c r="AG80" i="19"/>
  <c r="AT80" i="19"/>
  <c r="T79" i="19"/>
  <c r="AG79" i="19"/>
  <c r="AT79" i="19"/>
  <c r="T78" i="19"/>
  <c r="AT78" i="19"/>
  <c r="T77" i="19"/>
  <c r="AG77" i="19"/>
  <c r="AT77" i="19"/>
  <c r="T76" i="19"/>
  <c r="AG76" i="19"/>
  <c r="AT76" i="19"/>
  <c r="T54" i="19"/>
  <c r="AG54" i="19"/>
  <c r="AT54" i="19"/>
  <c r="T47" i="19"/>
  <c r="AG47" i="19"/>
  <c r="AT47" i="19"/>
  <c r="T42" i="19"/>
  <c r="AG42" i="19"/>
  <c r="AT42" i="19"/>
  <c r="T35" i="19"/>
  <c r="AG35" i="19"/>
  <c r="AT35" i="19"/>
  <c r="G52" i="19"/>
  <c r="G69" i="19"/>
  <c r="AT81" i="19"/>
  <c r="AT82" i="19"/>
  <c r="AT83" i="19"/>
  <c r="AT84" i="19"/>
  <c r="AT85" i="19"/>
  <c r="CL227" i="3"/>
  <c r="BE13" i="3"/>
  <c r="BE33" i="3"/>
  <c r="BE53" i="3"/>
  <c r="BE79" i="3"/>
  <c r="BE215" i="3"/>
  <c r="BE227" i="3"/>
  <c r="BD227" i="3"/>
  <c r="BC227" i="3"/>
  <c r="BB227" i="3"/>
  <c r="BA227" i="3"/>
  <c r="AZ227" i="3"/>
  <c r="AY227" i="3"/>
  <c r="AX227" i="3"/>
  <c r="AW227" i="3"/>
  <c r="AV227" i="3"/>
  <c r="AU227" i="3"/>
  <c r="AT227" i="3"/>
  <c r="AS227" i="3"/>
  <c r="M13" i="3"/>
  <c r="M215" i="3"/>
  <c r="L227" i="3"/>
  <c r="C18" i="19"/>
  <c r="C19" i="19" s="1"/>
  <c r="C20" i="19" s="1"/>
  <c r="C21" i="19" s="1"/>
  <c r="C22" i="19" s="1"/>
  <c r="C11" i="19"/>
  <c r="T81" i="19"/>
  <c r="AG81" i="19"/>
  <c r="T82" i="19"/>
  <c r="AG82" i="19"/>
  <c r="T83" i="19"/>
  <c r="AG83" i="19"/>
  <c r="T84" i="19"/>
  <c r="AG84" i="19"/>
  <c r="T85" i="19"/>
  <c r="AG85" i="19"/>
  <c r="C23" i="19"/>
  <c r="C24" i="19" s="1"/>
  <c r="C25" i="19" s="1"/>
  <c r="C26" i="19" s="1"/>
  <c r="C27" i="19" s="1"/>
  <c r="C35" i="19"/>
  <c r="C36" i="19" s="1"/>
  <c r="C37" i="19" s="1"/>
  <c r="C38" i="19" s="1"/>
  <c r="C39" i="19" s="1"/>
  <c r="C42" i="19"/>
  <c r="C43" i="19" s="1"/>
  <c r="C44" i="19" s="1"/>
  <c r="C45" i="19" s="1"/>
  <c r="C46" i="19" s="1"/>
  <c r="C47" i="19"/>
  <c r="C48" i="19" s="1"/>
  <c r="C49" i="19" s="1"/>
  <c r="C50" i="19" s="1"/>
  <c r="C51" i="19" s="1"/>
  <c r="C54" i="19"/>
  <c r="C64" i="19"/>
  <c r="C65" i="19" s="1"/>
  <c r="C66" i="19" s="1"/>
  <c r="C67" i="19" s="1"/>
  <c r="C68" i="19" s="1"/>
  <c r="C76" i="19"/>
  <c r="C77" i="19" s="1"/>
  <c r="C78" i="19" s="1"/>
  <c r="C79" i="19" s="1"/>
  <c r="C80" i="19" s="1"/>
  <c r="C81" i="19"/>
  <c r="C82" i="19" s="1"/>
  <c r="C83" i="19" s="1"/>
  <c r="C84" i="19" s="1"/>
  <c r="C85" i="19" s="1"/>
  <c r="AK27" i="45"/>
  <c r="AK115" i="45"/>
  <c r="V115" i="45"/>
  <c r="V27" i="45"/>
  <c r="O227" i="3"/>
  <c r="A53" i="19"/>
  <c r="A5" i="19"/>
  <c r="A17" i="19"/>
  <c r="A29" i="19"/>
  <c r="A41" i="19"/>
  <c r="A70" i="19"/>
  <c r="D36" i="30"/>
  <c r="A122" i="45"/>
  <c r="A121" i="45"/>
  <c r="AW115" i="45"/>
  <c r="AV115" i="45"/>
  <c r="AU115" i="45"/>
  <c r="AT115" i="45"/>
  <c r="AS115" i="45"/>
  <c r="AR115" i="45"/>
  <c r="AQ115" i="45"/>
  <c r="AP115" i="45"/>
  <c r="AO115" i="45"/>
  <c r="AN115" i="45"/>
  <c r="AM115" i="45"/>
  <c r="AL115" i="45"/>
  <c r="AH115" i="45"/>
  <c r="AG115" i="45"/>
  <c r="AF115" i="45"/>
  <c r="AE115" i="45"/>
  <c r="AD115" i="45"/>
  <c r="AC115" i="45"/>
  <c r="AB115" i="45"/>
  <c r="AA115" i="45"/>
  <c r="Z115" i="45"/>
  <c r="Y115" i="45"/>
  <c r="X115" i="45"/>
  <c r="W115" i="45"/>
  <c r="Q115" i="45"/>
  <c r="Q28" i="45"/>
  <c r="AW27" i="45"/>
  <c r="AV27" i="45"/>
  <c r="AU27" i="45"/>
  <c r="AT27" i="45"/>
  <c r="AS27" i="45"/>
  <c r="AR27" i="45"/>
  <c r="AQ27" i="45"/>
  <c r="AP27" i="45"/>
  <c r="AO27" i="45"/>
  <c r="AN27" i="45"/>
  <c r="AM27" i="45"/>
  <c r="AL27" i="45"/>
  <c r="AH27" i="45"/>
  <c r="AG27" i="45"/>
  <c r="AF27" i="45"/>
  <c r="AE27" i="45"/>
  <c r="AD27" i="45"/>
  <c r="AC27" i="45"/>
  <c r="AB27" i="45"/>
  <c r="AA27" i="45"/>
  <c r="Z27" i="45"/>
  <c r="Y27" i="45"/>
  <c r="X27" i="45"/>
  <c r="W27" i="45"/>
  <c r="Q27" i="45"/>
  <c r="Q227" i="3"/>
  <c r="R227" i="3"/>
  <c r="S227" i="3"/>
  <c r="T227" i="3"/>
  <c r="U227" i="3"/>
  <c r="V227" i="3"/>
  <c r="W227" i="3"/>
  <c r="X227" i="3"/>
  <c r="Y227" i="3"/>
  <c r="Z227" i="3"/>
  <c r="AD227" i="3"/>
  <c r="AE227" i="3"/>
  <c r="AF227" i="3"/>
  <c r="AG227" i="3"/>
  <c r="AH227" i="3"/>
  <c r="AI227" i="3"/>
  <c r="AJ227" i="3"/>
  <c r="AK227" i="3"/>
  <c r="AL227" i="3"/>
  <c r="AM227" i="3"/>
  <c r="AN227" i="3"/>
  <c r="AO227" i="3"/>
  <c r="AP227" i="3"/>
  <c r="P227" i="3"/>
  <c r="I4" i="39"/>
  <c r="AP13" i="3"/>
  <c r="AA13" i="3"/>
  <c r="C766" i="39"/>
  <c r="C275" i="39"/>
  <c r="A240" i="3"/>
  <c r="A239" i="3"/>
  <c r="A238" i="3"/>
  <c r="A237" i="3"/>
  <c r="K227" i="3"/>
  <c r="AA215" i="3"/>
  <c r="AP215" i="3"/>
  <c r="AA79" i="3"/>
  <c r="AP79" i="3"/>
  <c r="AA53" i="3"/>
  <c r="AP53" i="3"/>
  <c r="AP33" i="3"/>
  <c r="AA33" i="3"/>
  <c r="A236" i="3"/>
  <c r="A235" i="3"/>
  <c r="BN9" i="45" l="1"/>
  <c r="CT9" i="45"/>
  <c r="BN13" i="45"/>
  <c r="CT13" i="45"/>
  <c r="BN17" i="45"/>
  <c r="CT17" i="45"/>
  <c r="BN21" i="45"/>
  <c r="CT21" i="45"/>
  <c r="BN25" i="45"/>
  <c r="CT25" i="45"/>
  <c r="BN31" i="45"/>
  <c r="CT31" i="45"/>
  <c r="BN35" i="45"/>
  <c r="CT35" i="45"/>
  <c r="BN39" i="45"/>
  <c r="CT39" i="45"/>
  <c r="BN43" i="45"/>
  <c r="CT43" i="45"/>
  <c r="BN47" i="45"/>
  <c r="CT47" i="45"/>
  <c r="BN51" i="45"/>
  <c r="CT51" i="45"/>
  <c r="BN55" i="45"/>
  <c r="CT55" i="45"/>
  <c r="BN59" i="45"/>
  <c r="CT59" i="45"/>
  <c r="BN63" i="45"/>
  <c r="CT63" i="45"/>
  <c r="BN67" i="45"/>
  <c r="CT67" i="45"/>
  <c r="BN71" i="45"/>
  <c r="CT71" i="45"/>
  <c r="BN75" i="45"/>
  <c r="CT75" i="45"/>
  <c r="BN79" i="45"/>
  <c r="CT79" i="45"/>
  <c r="BN83" i="45"/>
  <c r="CT83" i="45"/>
  <c r="BN87" i="45"/>
  <c r="CT87" i="45"/>
  <c r="BN91" i="45"/>
  <c r="CT91" i="45"/>
  <c r="BN95" i="45"/>
  <c r="CT95" i="45"/>
  <c r="BN99" i="45"/>
  <c r="CT99" i="45"/>
  <c r="BN103" i="45"/>
  <c r="CT103" i="45"/>
  <c r="BN107" i="45"/>
  <c r="CT107" i="45"/>
  <c r="BN111" i="45"/>
  <c r="CT111" i="45"/>
  <c r="BU84" i="19"/>
  <c r="BU42" i="19"/>
  <c r="BN10" i="45"/>
  <c r="CT10" i="45"/>
  <c r="BN14" i="45"/>
  <c r="CT14" i="45"/>
  <c r="BN18" i="45"/>
  <c r="CT18" i="45"/>
  <c r="BN22" i="45"/>
  <c r="CT22" i="45"/>
  <c r="BN26" i="45"/>
  <c r="CT26" i="45"/>
  <c r="BN32" i="45"/>
  <c r="CT32" i="45"/>
  <c r="BN36" i="45"/>
  <c r="CT36" i="45"/>
  <c r="BN40" i="45"/>
  <c r="CT40" i="45"/>
  <c r="BN44" i="45"/>
  <c r="CT44" i="45"/>
  <c r="BN48" i="45"/>
  <c r="CT48" i="45"/>
  <c r="BN52" i="45"/>
  <c r="CT52" i="45"/>
  <c r="BN56" i="45"/>
  <c r="CT56" i="45"/>
  <c r="BN60" i="45"/>
  <c r="CT60" i="45"/>
  <c r="BN64" i="45"/>
  <c r="CT64" i="45"/>
  <c r="BN68" i="45"/>
  <c r="CT68" i="45"/>
  <c r="BN72" i="45"/>
  <c r="CT72" i="45"/>
  <c r="BN76" i="45"/>
  <c r="CT76" i="45"/>
  <c r="BN80" i="45"/>
  <c r="CT80" i="45"/>
  <c r="BN84" i="45"/>
  <c r="CT84" i="45"/>
  <c r="BN88" i="45"/>
  <c r="CT88" i="45"/>
  <c r="BN92" i="45"/>
  <c r="CT92" i="45"/>
  <c r="BN96" i="45"/>
  <c r="CT96" i="45"/>
  <c r="BN100" i="45"/>
  <c r="CT100" i="45"/>
  <c r="BN104" i="45"/>
  <c r="CT104" i="45"/>
  <c r="BN108" i="45"/>
  <c r="CT108" i="45"/>
  <c r="BN112" i="45"/>
  <c r="CT112" i="45"/>
  <c r="CM55" i="3"/>
  <c r="BU26" i="19"/>
  <c r="BN11" i="45"/>
  <c r="CT11" i="45"/>
  <c r="BN15" i="45"/>
  <c r="CX15" i="45" s="1"/>
  <c r="CT15" i="45"/>
  <c r="BN19" i="45"/>
  <c r="CT19" i="45"/>
  <c r="BN23" i="45"/>
  <c r="CT23" i="45"/>
  <c r="BN29" i="45"/>
  <c r="CT29" i="45"/>
  <c r="BN33" i="45"/>
  <c r="CT33" i="45"/>
  <c r="BN37" i="45"/>
  <c r="CT37" i="45"/>
  <c r="BN41" i="45"/>
  <c r="CT41" i="45"/>
  <c r="BN45" i="45"/>
  <c r="CT45" i="45"/>
  <c r="BN49" i="45"/>
  <c r="CT49" i="45"/>
  <c r="BN53" i="45"/>
  <c r="CT53" i="45"/>
  <c r="BN57" i="45"/>
  <c r="CT57" i="45"/>
  <c r="BN61" i="45"/>
  <c r="CT61" i="45"/>
  <c r="BN65" i="45"/>
  <c r="CT65" i="45"/>
  <c r="BN69" i="45"/>
  <c r="CT69" i="45"/>
  <c r="BN73" i="45"/>
  <c r="CT73" i="45"/>
  <c r="BN77" i="45"/>
  <c r="CT77" i="45"/>
  <c r="BN81" i="45"/>
  <c r="CT81" i="45"/>
  <c r="BN85" i="45"/>
  <c r="CT85" i="45"/>
  <c r="BN89" i="45"/>
  <c r="CT89" i="45"/>
  <c r="BN93" i="45"/>
  <c r="CT93" i="45"/>
  <c r="BN97" i="45"/>
  <c r="CT97" i="45"/>
  <c r="BN101" i="45"/>
  <c r="CT101" i="45"/>
  <c r="BN105" i="45"/>
  <c r="CT105" i="45"/>
  <c r="BN109" i="45"/>
  <c r="CU109" i="45" s="1"/>
  <c r="CT109" i="45"/>
  <c r="BN113" i="45"/>
  <c r="G23" i="64" s="1"/>
  <c r="CT113" i="45"/>
  <c r="BU85" i="19"/>
  <c r="BU81" i="19"/>
  <c r="BN12" i="45"/>
  <c r="CT12" i="45"/>
  <c r="BN16" i="45"/>
  <c r="CT16" i="45"/>
  <c r="BN20" i="45"/>
  <c r="CT20" i="45"/>
  <c r="BN24" i="45"/>
  <c r="CT24" i="45"/>
  <c r="BN30" i="45"/>
  <c r="CT30" i="45"/>
  <c r="BN34" i="45"/>
  <c r="CT34" i="45"/>
  <c r="BN38" i="45"/>
  <c r="CT38" i="45"/>
  <c r="BN42" i="45"/>
  <c r="CT42" i="45"/>
  <c r="BN46" i="45"/>
  <c r="CT46" i="45"/>
  <c r="BN50" i="45"/>
  <c r="CT50" i="45"/>
  <c r="BN54" i="45"/>
  <c r="CT54" i="45"/>
  <c r="BN58" i="45"/>
  <c r="CT58" i="45"/>
  <c r="BN62" i="45"/>
  <c r="CT62" i="45"/>
  <c r="BN66" i="45"/>
  <c r="CT66" i="45"/>
  <c r="BN70" i="45"/>
  <c r="CT70" i="45"/>
  <c r="BN74" i="45"/>
  <c r="CT74" i="45"/>
  <c r="BN78" i="45"/>
  <c r="CT78" i="45"/>
  <c r="BN82" i="45"/>
  <c r="CT82" i="45"/>
  <c r="BN86" i="45"/>
  <c r="CT86" i="45"/>
  <c r="BN90" i="45"/>
  <c r="CT90" i="45"/>
  <c r="BN94" i="45"/>
  <c r="CT94" i="45"/>
  <c r="BN98" i="45"/>
  <c r="CT98" i="45"/>
  <c r="BN102" i="45"/>
  <c r="CT102" i="45"/>
  <c r="BN106" i="45"/>
  <c r="CT106" i="45"/>
  <c r="BN110" i="45"/>
  <c r="G11" i="64" s="1"/>
  <c r="CT110" i="45"/>
  <c r="BN114" i="45"/>
  <c r="CT114" i="45"/>
  <c r="CM21" i="3"/>
  <c r="CM29" i="3"/>
  <c r="BU38" i="19"/>
  <c r="BU80" i="19"/>
  <c r="BU73" i="19"/>
  <c r="AG86" i="19"/>
  <c r="BU82" i="19"/>
  <c r="BU78" i="19"/>
  <c r="BU24" i="19"/>
  <c r="BU50" i="19"/>
  <c r="T86" i="19"/>
  <c r="BU71" i="19"/>
  <c r="BU75" i="19"/>
  <c r="BU44" i="19"/>
  <c r="BU74" i="19"/>
  <c r="BU35" i="19"/>
  <c r="AG40" i="19"/>
  <c r="AT40" i="19"/>
  <c r="BU47" i="19"/>
  <c r="BU83" i="19"/>
  <c r="BU77" i="19"/>
  <c r="AT86" i="19"/>
  <c r="BU76" i="19"/>
  <c r="BU79" i="19"/>
  <c r="BU72" i="19"/>
  <c r="AR11" i="3"/>
  <c r="CM47" i="3"/>
  <c r="CM39" i="3"/>
  <c r="CM22" i="3"/>
  <c r="CM30" i="3"/>
  <c r="CM40" i="3"/>
  <c r="CM48" i="3"/>
  <c r="AR27" i="3"/>
  <c r="AR19" i="3"/>
  <c r="CM52" i="3"/>
  <c r="CM57" i="3"/>
  <c r="CM65" i="3"/>
  <c r="CM73" i="3"/>
  <c r="CM219" i="3"/>
  <c r="AQ13" i="3"/>
  <c r="CM12" i="3"/>
  <c r="CM220" i="3"/>
  <c r="CM217" i="3"/>
  <c r="CM15" i="3"/>
  <c r="AR12" i="3"/>
  <c r="CM32" i="3"/>
  <c r="CM42" i="3"/>
  <c r="CM50" i="3"/>
  <c r="CM87" i="3"/>
  <c r="CM97" i="3"/>
  <c r="CM109" i="3"/>
  <c r="CM123" i="3"/>
  <c r="CM134" i="3"/>
  <c r="CM146" i="3"/>
  <c r="CM156" i="3"/>
  <c r="CM168" i="3"/>
  <c r="CM176" i="3"/>
  <c r="CM188" i="3"/>
  <c r="CM202" i="3"/>
  <c r="CM212" i="3"/>
  <c r="CM9" i="3"/>
  <c r="AR28" i="3"/>
  <c r="AR20" i="3"/>
  <c r="CM35" i="3"/>
  <c r="AT28" i="19"/>
  <c r="AG52" i="19"/>
  <c r="BU21" i="19"/>
  <c r="AG28" i="19"/>
  <c r="BU43" i="19"/>
  <c r="BU49" i="19"/>
  <c r="BU45" i="19"/>
  <c r="BU25" i="19"/>
  <c r="BU51" i="19"/>
  <c r="BU31" i="19"/>
  <c r="BU23" i="19"/>
  <c r="BU22" i="19"/>
  <c r="BU48" i="19"/>
  <c r="BU20" i="19"/>
  <c r="BU27" i="19"/>
  <c r="BU19" i="19"/>
  <c r="AT52" i="19"/>
  <c r="T52" i="19"/>
  <c r="BU46" i="19"/>
  <c r="T40" i="19"/>
  <c r="BU30" i="19"/>
  <c r="T28" i="19"/>
  <c r="BU18" i="19"/>
  <c r="AQ53" i="3"/>
  <c r="BF79" i="3"/>
  <c r="BF53" i="3"/>
  <c r="CM94" i="3"/>
  <c r="CM131" i="3"/>
  <c r="CM164" i="3"/>
  <c r="CM193" i="3"/>
  <c r="CM58" i="3"/>
  <c r="CM95" i="3"/>
  <c r="CM143" i="3"/>
  <c r="CM174" i="3"/>
  <c r="CM198" i="3"/>
  <c r="CM41" i="3"/>
  <c r="CM49" i="3"/>
  <c r="CM59" i="3"/>
  <c r="CM67" i="3"/>
  <c r="CM75" i="3"/>
  <c r="CM85" i="3"/>
  <c r="CM96" i="3"/>
  <c r="CM108" i="3"/>
  <c r="CM121" i="3"/>
  <c r="CM133" i="3"/>
  <c r="CM144" i="3"/>
  <c r="CM154" i="3"/>
  <c r="CM167" i="3"/>
  <c r="CM186" i="3"/>
  <c r="CM199" i="3"/>
  <c r="CM211" i="3"/>
  <c r="CM104" i="3"/>
  <c r="CM151" i="3"/>
  <c r="CM181" i="3"/>
  <c r="CM66" i="3"/>
  <c r="CM84" i="3"/>
  <c r="CM120" i="3"/>
  <c r="CM153" i="3"/>
  <c r="CM185" i="3"/>
  <c r="AR31" i="3"/>
  <c r="AR23" i="3"/>
  <c r="CM60" i="3"/>
  <c r="CM68" i="3"/>
  <c r="CM76" i="3"/>
  <c r="CM83" i="3"/>
  <c r="CM119" i="3"/>
  <c r="CM141" i="3"/>
  <c r="CM173" i="3"/>
  <c r="CM209" i="3"/>
  <c r="CM74" i="3"/>
  <c r="CM107" i="3"/>
  <c r="CM132" i="3"/>
  <c r="CM166" i="3"/>
  <c r="CM210" i="3"/>
  <c r="CM175" i="3"/>
  <c r="O234" i="3" a="1"/>
  <c r="O234" i="3" s="1"/>
  <c r="P238" i="3" s="1"/>
  <c r="CK18" i="3"/>
  <c r="AR18" i="3"/>
  <c r="CK25" i="3"/>
  <c r="AR25" i="3"/>
  <c r="CK9" i="3"/>
  <c r="AR9" i="3"/>
  <c r="CK26" i="3"/>
  <c r="AR26" i="3"/>
  <c r="CK10" i="3"/>
  <c r="AR10" i="3"/>
  <c r="N20" i="3"/>
  <c r="N32" i="3"/>
  <c r="AR32" i="3"/>
  <c r="N24" i="3"/>
  <c r="AR24" i="3"/>
  <c r="CK30" i="3"/>
  <c r="AR30" i="3"/>
  <c r="CK22" i="3"/>
  <c r="AR22" i="3"/>
  <c r="L234" i="3" a="1"/>
  <c r="L234" i="3" s="1"/>
  <c r="CK15" i="3"/>
  <c r="AR15" i="3"/>
  <c r="CK21" i="3"/>
  <c r="AR21" i="3"/>
  <c r="AR16" i="3"/>
  <c r="N16" i="3"/>
  <c r="C55" i="19"/>
  <c r="C56" i="19" s="1"/>
  <c r="C57" i="19" s="1"/>
  <c r="C58" i="19" s="1"/>
  <c r="BU57" i="19"/>
  <c r="BU13" i="19"/>
  <c r="CU15" i="45"/>
  <c r="AJ70" i="45"/>
  <c r="AJ102" i="45"/>
  <c r="AJ41" i="45"/>
  <c r="AJ95" i="45"/>
  <c r="AJ110" i="45"/>
  <c r="E11" i="64" s="1"/>
  <c r="AJ35" i="45"/>
  <c r="AJ47" i="45"/>
  <c r="AJ71" i="45"/>
  <c r="AJ87" i="45"/>
  <c r="AJ111" i="45"/>
  <c r="AJ10" i="45"/>
  <c r="AJ36" i="45"/>
  <c r="AJ42" i="45"/>
  <c r="AJ48" i="45"/>
  <c r="AJ56" i="45"/>
  <c r="AJ64" i="45"/>
  <c r="AJ72" i="45"/>
  <c r="AJ80" i="45"/>
  <c r="AJ88" i="45"/>
  <c r="AJ96" i="45"/>
  <c r="AJ104" i="45"/>
  <c r="AJ112" i="45"/>
  <c r="AJ19" i="45"/>
  <c r="AJ43" i="45"/>
  <c r="AJ57" i="45"/>
  <c r="AJ65" i="45"/>
  <c r="AJ73" i="45"/>
  <c r="AJ81" i="45"/>
  <c r="AJ89" i="45"/>
  <c r="AJ105" i="45"/>
  <c r="AJ12" i="45"/>
  <c r="AJ30" i="45"/>
  <c r="AJ50" i="45"/>
  <c r="AJ58" i="45"/>
  <c r="AJ66" i="45"/>
  <c r="AJ82" i="45"/>
  <c r="AJ90" i="45"/>
  <c r="AJ98" i="45"/>
  <c r="AJ106" i="45"/>
  <c r="AJ114" i="45"/>
  <c r="AJ54" i="45"/>
  <c r="AJ17" i="45"/>
  <c r="AJ63" i="45"/>
  <c r="AJ13" i="45"/>
  <c r="AJ21" i="45"/>
  <c r="AJ31" i="45"/>
  <c r="AJ51" i="45"/>
  <c r="AJ59" i="45"/>
  <c r="AJ67" i="45"/>
  <c r="AJ83" i="45"/>
  <c r="AJ91" i="45"/>
  <c r="AJ99" i="45"/>
  <c r="AJ107" i="45"/>
  <c r="AJ62" i="45"/>
  <c r="AJ25" i="45"/>
  <c r="AJ55" i="45"/>
  <c r="AJ79" i="45"/>
  <c r="AJ103" i="45"/>
  <c r="AJ9" i="45"/>
  <c r="AJ14" i="45"/>
  <c r="AJ22" i="45"/>
  <c r="AJ32" i="45"/>
  <c r="AJ38" i="45"/>
  <c r="AJ100" i="45"/>
  <c r="AJ108" i="45"/>
  <c r="AJ75" i="45"/>
  <c r="AJ53" i="45"/>
  <c r="AJ69" i="45"/>
  <c r="AJ85" i="45"/>
  <c r="AJ101" i="45"/>
  <c r="AQ33" i="3"/>
  <c r="AR17" i="3"/>
  <c r="AT69" i="19"/>
  <c r="BU55" i="19"/>
  <c r="BU68" i="19"/>
  <c r="BU67" i="19"/>
  <c r="BU66" i="19"/>
  <c r="BU65" i="19"/>
  <c r="BU64" i="19"/>
  <c r="AG69" i="19"/>
  <c r="BU58" i="19"/>
  <c r="T69" i="19"/>
  <c r="BU54" i="19"/>
  <c r="AT16" i="19"/>
  <c r="BU15" i="19"/>
  <c r="BU14" i="19"/>
  <c r="AG16" i="19"/>
  <c r="BU12" i="19"/>
  <c r="C12" i="19"/>
  <c r="C13" i="19" s="1"/>
  <c r="C14" i="19" s="1"/>
  <c r="C15" i="19" s="1"/>
  <c r="BU11" i="19"/>
  <c r="T16" i="19"/>
  <c r="CM81" i="3"/>
  <c r="O235" i="3" a="1"/>
  <c r="O235" i="3" s="1"/>
  <c r="P239" i="3" s="1"/>
  <c r="P228" i="3"/>
  <c r="AA235" i="3" a="1"/>
  <c r="AA235" i="3" s="1"/>
  <c r="AA239" i="3" s="1"/>
  <c r="AA234" i="3" a="1"/>
  <c r="AA234" i="3" s="1"/>
  <c r="AA238" i="3" s="1"/>
  <c r="CM31" i="3"/>
  <c r="CM222" i="3"/>
  <c r="CM43" i="3"/>
  <c r="CM69" i="3"/>
  <c r="CM110" i="3"/>
  <c r="CM147" i="3"/>
  <c r="CM177" i="3"/>
  <c r="CM213" i="3"/>
  <c r="CM10" i="3"/>
  <c r="CM18" i="3"/>
  <c r="CM26" i="3"/>
  <c r="CM36" i="3"/>
  <c r="CM44" i="3"/>
  <c r="CM62" i="3"/>
  <c r="CM70" i="3"/>
  <c r="CM78" i="3"/>
  <c r="CM89" i="3"/>
  <c r="CM99" i="3"/>
  <c r="CM113" i="3"/>
  <c r="CM128" i="3"/>
  <c r="CM138" i="3"/>
  <c r="CM148" i="3"/>
  <c r="CM159" i="3"/>
  <c r="CM170" i="3"/>
  <c r="CM178" i="3"/>
  <c r="CM190" i="3"/>
  <c r="CM204" i="3"/>
  <c r="CM214" i="3"/>
  <c r="CM224" i="3"/>
  <c r="CM23" i="3"/>
  <c r="CM221" i="3"/>
  <c r="CM16" i="3"/>
  <c r="CM24" i="3"/>
  <c r="CM25" i="3"/>
  <c r="CM61" i="3"/>
  <c r="CM98" i="3"/>
  <c r="CM135" i="3"/>
  <c r="CM169" i="3"/>
  <c r="CM203" i="3"/>
  <c r="AQ79" i="3"/>
  <c r="BF13" i="3"/>
  <c r="CM11" i="3"/>
  <c r="CM19" i="3"/>
  <c r="CM27" i="3"/>
  <c r="CM37" i="3"/>
  <c r="CM45" i="3"/>
  <c r="CM63" i="3"/>
  <c r="CM71" i="3"/>
  <c r="CM90" i="3"/>
  <c r="CM100" i="3"/>
  <c r="CM114" i="3"/>
  <c r="CM129" i="3"/>
  <c r="CM139" i="3"/>
  <c r="CM149" i="3"/>
  <c r="CM160" i="3"/>
  <c r="CM171" i="3"/>
  <c r="CM179" i="3"/>
  <c r="CM191" i="3"/>
  <c r="CM205" i="3"/>
  <c r="CM225" i="3"/>
  <c r="CM17" i="3"/>
  <c r="CM51" i="3"/>
  <c r="CM77" i="3"/>
  <c r="CM88" i="3"/>
  <c r="CM124" i="3"/>
  <c r="CM157" i="3"/>
  <c r="CM189" i="3"/>
  <c r="CM223" i="3"/>
  <c r="AQ215" i="3"/>
  <c r="AQ227" i="3"/>
  <c r="CM20" i="3"/>
  <c r="CM28" i="3"/>
  <c r="CM38" i="3"/>
  <c r="CM46" i="3"/>
  <c r="CM56" i="3"/>
  <c r="CM64" i="3"/>
  <c r="CM72" i="3"/>
  <c r="CM82" i="3"/>
  <c r="CM93" i="3"/>
  <c r="CM103" i="3"/>
  <c r="CM118" i="3"/>
  <c r="CM130" i="3"/>
  <c r="CM140" i="3"/>
  <c r="CM150" i="3"/>
  <c r="CM163" i="3"/>
  <c r="CM172" i="3"/>
  <c r="CM180" i="3"/>
  <c r="CM192" i="3"/>
  <c r="CM208" i="3"/>
  <c r="CM218" i="3"/>
  <c r="CM226" i="3"/>
  <c r="AY79" i="45"/>
  <c r="AE116" i="45"/>
  <c r="V116" i="45"/>
  <c r="BH116" i="45"/>
  <c r="AY35" i="45"/>
  <c r="AY70" i="45"/>
  <c r="BD116" i="45"/>
  <c r="BL116" i="45"/>
  <c r="AJ20" i="45"/>
  <c r="AJ74" i="45"/>
  <c r="AZ116" i="45"/>
  <c r="AD116" i="45"/>
  <c r="AO116" i="45"/>
  <c r="AW116" i="45"/>
  <c r="AJ26" i="45"/>
  <c r="AJ18" i="45"/>
  <c r="AQ116" i="45"/>
  <c r="AY25" i="45"/>
  <c r="AJ44" i="45"/>
  <c r="AY71" i="45"/>
  <c r="AY95" i="45"/>
  <c r="CS115" i="45"/>
  <c r="AJ37" i="45"/>
  <c r="AG116" i="45"/>
  <c r="AB116" i="45"/>
  <c r="AM116" i="45"/>
  <c r="AU116" i="45"/>
  <c r="AV116" i="45"/>
  <c r="BA116" i="45"/>
  <c r="AS116" i="45"/>
  <c r="BB116" i="45"/>
  <c r="AY53" i="45"/>
  <c r="AY39" i="45"/>
  <c r="CU39" i="45" s="1"/>
  <c r="AY61" i="45"/>
  <c r="CU61" i="45" s="1"/>
  <c r="AY85" i="45"/>
  <c r="AY33" i="45"/>
  <c r="CU33" i="45" s="1"/>
  <c r="AA116" i="45"/>
  <c r="AL116" i="45"/>
  <c r="AT116" i="45"/>
  <c r="AK116" i="45"/>
  <c r="AJ49" i="45"/>
  <c r="AJ11" i="45"/>
  <c r="AI115" i="45"/>
  <c r="AJ97" i="45"/>
  <c r="AJ113" i="45"/>
  <c r="E23" i="64" s="1"/>
  <c r="J23" i="64" s="1"/>
  <c r="D35" i="30" s="1"/>
  <c r="AX27" i="45"/>
  <c r="AJ29" i="45"/>
  <c r="BC116" i="45"/>
  <c r="BG116" i="45"/>
  <c r="BK116" i="45"/>
  <c r="AY23" i="45"/>
  <c r="AY77" i="45"/>
  <c r="AY93" i="45"/>
  <c r="CS27" i="45"/>
  <c r="AY45" i="45"/>
  <c r="AY69" i="45"/>
  <c r="AY30" i="45"/>
  <c r="AX115" i="45"/>
  <c r="AY114" i="45"/>
  <c r="AJ16" i="45"/>
  <c r="AJ24" i="45"/>
  <c r="AJ34" i="45"/>
  <c r="AJ40" i="45"/>
  <c r="AJ46" i="45"/>
  <c r="AJ78" i="45"/>
  <c r="AJ86" i="45"/>
  <c r="AN116" i="45"/>
  <c r="BM115" i="45"/>
  <c r="AJ94" i="45"/>
  <c r="BM27" i="45"/>
  <c r="X116" i="45"/>
  <c r="AF116" i="45"/>
  <c r="AP116" i="45"/>
  <c r="S116" i="45"/>
  <c r="BE116" i="45"/>
  <c r="BI116" i="45"/>
  <c r="AJ52" i="45"/>
  <c r="AJ60" i="45"/>
  <c r="AJ68" i="45"/>
  <c r="AJ76" i="45"/>
  <c r="AJ84" i="45"/>
  <c r="AJ92" i="45"/>
  <c r="Z116" i="45"/>
  <c r="AH116" i="45"/>
  <c r="AR116" i="45"/>
  <c r="T116" i="45"/>
  <c r="BF116" i="45"/>
  <c r="BJ116" i="45"/>
  <c r="AI27" i="45"/>
  <c r="AC116" i="45"/>
  <c r="Y116" i="45"/>
  <c r="W116" i="45"/>
  <c r="U27" i="45"/>
  <c r="U120" i="45" s="1" a="1"/>
  <c r="U120" i="45" s="1"/>
  <c r="D22" i="64" s="1"/>
  <c r="BU56" i="19"/>
  <c r="CK11" i="3"/>
  <c r="CH235" i="3" a="1"/>
  <c r="CH235" i="3" s="1"/>
  <c r="CN239" i="3" s="1"/>
  <c r="BZ235" i="3" a="1"/>
  <c r="BZ235" i="3" s="1"/>
  <c r="CA239" i="3" s="1"/>
  <c r="CE234" i="3" a="1"/>
  <c r="CE234" i="3" s="1"/>
  <c r="CF238" i="3" s="1"/>
  <c r="BW234" i="3" a="1"/>
  <c r="BW234" i="3" s="1"/>
  <c r="BX238" i="3" s="1"/>
  <c r="BJ235" i="3" a="1"/>
  <c r="BJ235" i="3" s="1"/>
  <c r="BK239" i="3" s="1"/>
  <c r="BP234" i="3" a="1"/>
  <c r="BP234" i="3" s="1"/>
  <c r="BQ238" i="3" s="1"/>
  <c r="CG235" i="3" a="1"/>
  <c r="CG235" i="3" s="1"/>
  <c r="CH239" i="3" s="1"/>
  <c r="BY235" i="3" a="1"/>
  <c r="BY235" i="3" s="1"/>
  <c r="BZ239" i="3" s="1"/>
  <c r="CD234" i="3" a="1"/>
  <c r="CD234" i="3" s="1"/>
  <c r="CE238" i="3" s="1"/>
  <c r="BT235" i="3" a="1"/>
  <c r="BT235" i="3" s="1"/>
  <c r="BT239" i="3" s="1"/>
  <c r="BO235" i="3" a="1"/>
  <c r="BO235" i="3" s="1"/>
  <c r="BP239" i="3" s="1"/>
  <c r="BO234" i="3" a="1"/>
  <c r="BO234" i="3" s="1"/>
  <c r="BP238" i="3" s="1"/>
  <c r="BE235" i="3" a="1"/>
  <c r="BE235" i="3" s="1"/>
  <c r="BE239" i="3" s="1"/>
  <c r="CB234" i="3" a="1"/>
  <c r="CB234" i="3" s="1"/>
  <c r="CC238" i="3" s="1"/>
  <c r="BM234" i="3" a="1"/>
  <c r="BM234" i="3" s="1"/>
  <c r="BN238" i="3" s="1"/>
  <c r="CI234" i="3" a="1"/>
  <c r="CI234" i="3" s="1"/>
  <c r="CI238" i="3" s="1"/>
  <c r="BM235" i="3" a="1"/>
  <c r="BM235" i="3" s="1"/>
  <c r="BN239" i="3" s="1"/>
  <c r="AP234" i="3" a="1"/>
  <c r="AP234" i="3" s="1"/>
  <c r="AP238" i="3" s="1"/>
  <c r="CH234" i="3" a="1"/>
  <c r="CH234" i="3" s="1"/>
  <c r="CN238" i="3" s="1"/>
  <c r="BS234" i="3" a="1"/>
  <c r="BS234" i="3" s="1"/>
  <c r="BW238" i="3" s="1"/>
  <c r="M234" i="3" a="1"/>
  <c r="M234" i="3" s="1"/>
  <c r="BY234" i="3" a="1"/>
  <c r="BY234" i="3" s="1"/>
  <c r="BZ238" i="3" s="1"/>
  <c r="BJ234" i="3" a="1"/>
  <c r="BJ234" i="3" s="1"/>
  <c r="BK238" i="3" s="1"/>
  <c r="CA235" i="3" a="1"/>
  <c r="CA235" i="3" s="1"/>
  <c r="CB239" i="3" s="1"/>
  <c r="BP235" i="3" a="1"/>
  <c r="BP235" i="3" s="1"/>
  <c r="BQ239" i="3" s="1"/>
  <c r="BI234" i="3" a="1"/>
  <c r="BI234" i="3" s="1"/>
  <c r="BJ238" i="3" s="1"/>
  <c r="CF235" i="3" a="1"/>
  <c r="CF235" i="3" s="1"/>
  <c r="CG239" i="3" s="1"/>
  <c r="BX235" i="3" a="1"/>
  <c r="BX235" i="3" s="1"/>
  <c r="BY239" i="3" s="1"/>
  <c r="CC234" i="3" a="1"/>
  <c r="CC234" i="3" s="1"/>
  <c r="CD238" i="3" s="1"/>
  <c r="BN235" i="3" a="1"/>
  <c r="BN235" i="3" s="1"/>
  <c r="BO239" i="3" s="1"/>
  <c r="BI235" i="3" a="1"/>
  <c r="BI235" i="3" s="1"/>
  <c r="BJ239" i="3" s="1"/>
  <c r="BN234" i="3" a="1"/>
  <c r="BN234" i="3" s="1"/>
  <c r="BO238" i="3" s="1"/>
  <c r="BE234" i="3" a="1"/>
  <c r="BE234" i="3" s="1"/>
  <c r="BE238" i="3" s="1"/>
  <c r="BW235" i="3" a="1"/>
  <c r="BW235" i="3" s="1"/>
  <c r="BX239" i="3" s="1"/>
  <c r="BH235" i="3" a="1"/>
  <c r="BH235" i="3" s="1"/>
  <c r="BI239" i="3" s="1"/>
  <c r="CD235" i="3" a="1"/>
  <c r="CD235" i="3" s="1"/>
  <c r="CE239" i="3" s="1"/>
  <c r="BR235" i="3" a="1"/>
  <c r="BR235" i="3" s="1"/>
  <c r="BS239" i="3" s="1"/>
  <c r="BL234" i="3" a="1"/>
  <c r="BL234" i="3" s="1"/>
  <c r="BM238" i="3" s="1"/>
  <c r="CC235" i="3" a="1"/>
  <c r="CC235" i="3" s="1"/>
  <c r="CD239" i="3" s="1"/>
  <c r="BL235" i="3" a="1"/>
  <c r="BL235" i="3" s="1"/>
  <c r="BM239" i="3" s="1"/>
  <c r="CG234" i="3" a="1"/>
  <c r="CG234" i="3" s="1"/>
  <c r="CH238" i="3" s="1"/>
  <c r="BR234" i="3" a="1"/>
  <c r="BR234" i="3" s="1"/>
  <c r="BS238" i="3" s="1"/>
  <c r="CI235" i="3" a="1"/>
  <c r="CI235" i="3" s="1"/>
  <c r="CI239" i="3" s="1"/>
  <c r="BX234" i="3" a="1"/>
  <c r="BX234" i="3" s="1"/>
  <c r="BY238" i="3" s="1"/>
  <c r="BQ234" i="3" a="1"/>
  <c r="BQ234" i="3" s="1"/>
  <c r="BR238" i="3" s="1"/>
  <c r="CE235" i="3" a="1"/>
  <c r="CE235" i="3" s="1"/>
  <c r="CF239" i="3" s="1"/>
  <c r="BS235" i="3" a="1"/>
  <c r="BS235" i="3" s="1"/>
  <c r="BW239" i="3" s="1"/>
  <c r="AP235" i="3" a="1"/>
  <c r="AP235" i="3" s="1"/>
  <c r="AP239" i="3" s="1"/>
  <c r="CA234" i="3" a="1"/>
  <c r="CA234" i="3" s="1"/>
  <c r="CB238" i="3" s="1"/>
  <c r="BT234" i="3" a="1"/>
  <c r="BT234" i="3" s="1"/>
  <c r="BT238" i="3" s="1"/>
  <c r="M235" i="3" a="1"/>
  <c r="M235" i="3" s="1"/>
  <c r="BZ234" i="3" a="1"/>
  <c r="BZ234" i="3" s="1"/>
  <c r="CA238" i="3" s="1"/>
  <c r="BK234" i="3" a="1"/>
  <c r="BK234" i="3" s="1"/>
  <c r="BL238" i="3" s="1"/>
  <c r="CB235" i="3" a="1"/>
  <c r="CB235" i="3" s="1"/>
  <c r="CC239" i="3" s="1"/>
  <c r="BQ235" i="3" a="1"/>
  <c r="BQ235" i="3" s="1"/>
  <c r="BR239" i="3" s="1"/>
  <c r="CF234" i="3" a="1"/>
  <c r="CF234" i="3" s="1"/>
  <c r="CG238" i="3" s="1"/>
  <c r="BK235" i="3" a="1"/>
  <c r="BK235" i="3" s="1"/>
  <c r="BL239" i="3" s="1"/>
  <c r="BH234" i="3" a="1"/>
  <c r="BH234" i="3" s="1"/>
  <c r="BI238" i="3" s="1"/>
  <c r="U115" i="45"/>
  <c r="G87" i="19"/>
  <c r="BV39" i="3"/>
  <c r="CK39" i="3"/>
  <c r="BV74" i="3"/>
  <c r="CK74" i="3"/>
  <c r="BV62" i="3"/>
  <c r="CK62" i="3"/>
  <c r="BV203" i="3"/>
  <c r="CK203" i="3"/>
  <c r="BV177" i="3"/>
  <c r="CK177" i="3"/>
  <c r="BV157" i="3"/>
  <c r="CK157" i="3"/>
  <c r="BV135" i="3"/>
  <c r="CK135" i="3"/>
  <c r="BV110" i="3"/>
  <c r="CK110" i="3"/>
  <c r="BV88" i="3"/>
  <c r="CK88" i="3"/>
  <c r="BV224" i="3"/>
  <c r="CK224" i="3"/>
  <c r="BV46" i="3"/>
  <c r="CK46" i="3"/>
  <c r="AU228" i="3"/>
  <c r="BV202" i="3"/>
  <c r="CK202" i="3"/>
  <c r="BV140" i="3"/>
  <c r="CK140" i="3"/>
  <c r="BV97" i="3"/>
  <c r="CK97" i="3"/>
  <c r="BV87" i="3"/>
  <c r="CK87" i="3"/>
  <c r="BV217" i="3"/>
  <c r="CK217" i="3"/>
  <c r="BV81" i="3"/>
  <c r="CK81" i="3"/>
  <c r="BV9" i="3"/>
  <c r="BV32" i="3"/>
  <c r="CK32" i="3"/>
  <c r="BV28" i="3"/>
  <c r="CK28" i="3"/>
  <c r="BV24" i="3"/>
  <c r="CK24" i="3"/>
  <c r="BV20" i="3"/>
  <c r="CK20" i="3"/>
  <c r="BV16" i="3"/>
  <c r="CK16" i="3"/>
  <c r="BV49" i="3"/>
  <c r="CK49" i="3"/>
  <c r="BV45" i="3"/>
  <c r="CK45" i="3"/>
  <c r="BV41" i="3"/>
  <c r="CK41" i="3"/>
  <c r="BV37" i="3"/>
  <c r="CK37" i="3"/>
  <c r="BV76" i="3"/>
  <c r="CK76" i="3"/>
  <c r="BV72" i="3"/>
  <c r="CK72" i="3"/>
  <c r="BV68" i="3"/>
  <c r="CK68" i="3"/>
  <c r="BV64" i="3"/>
  <c r="CK64" i="3"/>
  <c r="BV60" i="3"/>
  <c r="CK60" i="3"/>
  <c r="BV56" i="3"/>
  <c r="CK56" i="3"/>
  <c r="BV211" i="3"/>
  <c r="CK211" i="3"/>
  <c r="BV205" i="3"/>
  <c r="CK205" i="3"/>
  <c r="BV199" i="3"/>
  <c r="CK199" i="3"/>
  <c r="BV191" i="3"/>
  <c r="CK191" i="3"/>
  <c r="BV186" i="3"/>
  <c r="CK186" i="3"/>
  <c r="BV179" i="3"/>
  <c r="CK179" i="3"/>
  <c r="BV175" i="3"/>
  <c r="CK175" i="3"/>
  <c r="BV171" i="3"/>
  <c r="CK171" i="3"/>
  <c r="BV167" i="3"/>
  <c r="CK167" i="3"/>
  <c r="BV160" i="3"/>
  <c r="CK160" i="3"/>
  <c r="BV154" i="3"/>
  <c r="CK154" i="3"/>
  <c r="BV149" i="3"/>
  <c r="CK149" i="3"/>
  <c r="BV144" i="3"/>
  <c r="CK144" i="3"/>
  <c r="BV139" i="3"/>
  <c r="CK139" i="3"/>
  <c r="BV133" i="3"/>
  <c r="CK133" i="3"/>
  <c r="BV129" i="3"/>
  <c r="CK129" i="3"/>
  <c r="BV121" i="3"/>
  <c r="CK121" i="3"/>
  <c r="BV114" i="3"/>
  <c r="CK114" i="3"/>
  <c r="BV108" i="3"/>
  <c r="CK108" i="3"/>
  <c r="BV100" i="3"/>
  <c r="CK100" i="3"/>
  <c r="BV96" i="3"/>
  <c r="CK96" i="3"/>
  <c r="BV90" i="3"/>
  <c r="CK90" i="3"/>
  <c r="BV85" i="3"/>
  <c r="CK85" i="3"/>
  <c r="BV226" i="3"/>
  <c r="CK226" i="3"/>
  <c r="BV222" i="3"/>
  <c r="CK222" i="3"/>
  <c r="BV218" i="3"/>
  <c r="CK218" i="3"/>
  <c r="BV12" i="3"/>
  <c r="CK12" i="3"/>
  <c r="BV29" i="3"/>
  <c r="CK29" i="3"/>
  <c r="BV77" i="3"/>
  <c r="CK77" i="3"/>
  <c r="BV188" i="3"/>
  <c r="CK188" i="3"/>
  <c r="BV150" i="3"/>
  <c r="CK150" i="3"/>
  <c r="BV130" i="3"/>
  <c r="CK130" i="3"/>
  <c r="BV118" i="3"/>
  <c r="CK118" i="3"/>
  <c r="BV109" i="3"/>
  <c r="CK109" i="3"/>
  <c r="BV219" i="3"/>
  <c r="CK219" i="3"/>
  <c r="BV55" i="3"/>
  <c r="CK55" i="3"/>
  <c r="BV31" i="3"/>
  <c r="CK31" i="3"/>
  <c r="BV27" i="3"/>
  <c r="CK27" i="3"/>
  <c r="BV23" i="3"/>
  <c r="CK23" i="3"/>
  <c r="BV19" i="3"/>
  <c r="CK19" i="3"/>
  <c r="BV52" i="3"/>
  <c r="CK52" i="3"/>
  <c r="BV48" i="3"/>
  <c r="CK48" i="3"/>
  <c r="BV44" i="3"/>
  <c r="CK44" i="3"/>
  <c r="BV40" i="3"/>
  <c r="CK40" i="3"/>
  <c r="BV36" i="3"/>
  <c r="CK36" i="3"/>
  <c r="BV75" i="3"/>
  <c r="CK75" i="3"/>
  <c r="BV71" i="3"/>
  <c r="CK71" i="3"/>
  <c r="BV67" i="3"/>
  <c r="CK67" i="3"/>
  <c r="BV63" i="3"/>
  <c r="CK63" i="3"/>
  <c r="BV59" i="3"/>
  <c r="CK59" i="3"/>
  <c r="BV214" i="3"/>
  <c r="CK214" i="3"/>
  <c r="BV210" i="3"/>
  <c r="CK210" i="3"/>
  <c r="BV204" i="3"/>
  <c r="CK204" i="3"/>
  <c r="BV198" i="3"/>
  <c r="CK198" i="3"/>
  <c r="BV190" i="3"/>
  <c r="CK190" i="3"/>
  <c r="BV185" i="3"/>
  <c r="CK185" i="3"/>
  <c r="BV178" i="3"/>
  <c r="CK178" i="3"/>
  <c r="BV174" i="3"/>
  <c r="CK174" i="3"/>
  <c r="BV170" i="3"/>
  <c r="CK170" i="3"/>
  <c r="BV166" i="3"/>
  <c r="CK166" i="3"/>
  <c r="BV159" i="3"/>
  <c r="CK159" i="3"/>
  <c r="BV153" i="3"/>
  <c r="CK153" i="3"/>
  <c r="BV148" i="3"/>
  <c r="CK148" i="3"/>
  <c r="BV143" i="3"/>
  <c r="CK143" i="3"/>
  <c r="BV138" i="3"/>
  <c r="CK138" i="3"/>
  <c r="BV132" i="3"/>
  <c r="CK132" i="3"/>
  <c r="BV128" i="3"/>
  <c r="CK128" i="3"/>
  <c r="BV120" i="3"/>
  <c r="CK120" i="3"/>
  <c r="BV113" i="3"/>
  <c r="CK113" i="3"/>
  <c r="BV107" i="3"/>
  <c r="CK107" i="3"/>
  <c r="BV99" i="3"/>
  <c r="CK99" i="3"/>
  <c r="BV95" i="3"/>
  <c r="CK95" i="3"/>
  <c r="BV89" i="3"/>
  <c r="CK89" i="3"/>
  <c r="BV84" i="3"/>
  <c r="CK84" i="3"/>
  <c r="BV225" i="3"/>
  <c r="CK225" i="3"/>
  <c r="BV221" i="3"/>
  <c r="CK221" i="3"/>
  <c r="AB79" i="3"/>
  <c r="N74" i="3"/>
  <c r="N140" i="3"/>
  <c r="AB215" i="3"/>
  <c r="BA228" i="3"/>
  <c r="N46" i="3"/>
  <c r="N110" i="3"/>
  <c r="N130" i="3"/>
  <c r="N202" i="3"/>
  <c r="N35" i="3"/>
  <c r="BV35" i="3"/>
  <c r="N30" i="3"/>
  <c r="BV30" i="3"/>
  <c r="N22" i="3"/>
  <c r="BV22" i="3"/>
  <c r="N51" i="3"/>
  <c r="BV51" i="3"/>
  <c r="N47" i="3"/>
  <c r="BV47" i="3"/>
  <c r="N43" i="3"/>
  <c r="BV43" i="3"/>
  <c r="N78" i="3"/>
  <c r="BV78" i="3"/>
  <c r="N70" i="3"/>
  <c r="BV70" i="3"/>
  <c r="N66" i="3"/>
  <c r="BV66" i="3"/>
  <c r="N58" i="3"/>
  <c r="BV58" i="3"/>
  <c r="N209" i="3"/>
  <c r="BV209" i="3"/>
  <c r="N193" i="3"/>
  <c r="BV193" i="3"/>
  <c r="N189" i="3"/>
  <c r="BV189" i="3"/>
  <c r="N181" i="3"/>
  <c r="BV181" i="3"/>
  <c r="N173" i="3"/>
  <c r="BV173" i="3"/>
  <c r="N169" i="3"/>
  <c r="BV169" i="3"/>
  <c r="N164" i="3"/>
  <c r="BV164" i="3"/>
  <c r="N151" i="3"/>
  <c r="BV151" i="3"/>
  <c r="N147" i="3"/>
  <c r="BV147" i="3"/>
  <c r="N141" i="3"/>
  <c r="BV141" i="3"/>
  <c r="N131" i="3"/>
  <c r="BV131" i="3"/>
  <c r="N124" i="3"/>
  <c r="BV124" i="3"/>
  <c r="N119" i="3"/>
  <c r="BV119" i="3"/>
  <c r="N104" i="3"/>
  <c r="BV104" i="3"/>
  <c r="N98" i="3"/>
  <c r="BV98" i="3"/>
  <c r="N94" i="3"/>
  <c r="BV94" i="3"/>
  <c r="N83" i="3"/>
  <c r="BV83" i="3"/>
  <c r="N220" i="3"/>
  <c r="BV220" i="3"/>
  <c r="N39" i="3"/>
  <c r="N62" i="3"/>
  <c r="N88" i="3"/>
  <c r="N15" i="3"/>
  <c r="BV15" i="3"/>
  <c r="N21" i="3"/>
  <c r="BV21" i="3"/>
  <c r="N17" i="3"/>
  <c r="BV17" i="3"/>
  <c r="N50" i="3"/>
  <c r="BV50" i="3"/>
  <c r="N69" i="3"/>
  <c r="BV69" i="3"/>
  <c r="N61" i="3"/>
  <c r="BV61" i="3"/>
  <c r="N212" i="3"/>
  <c r="BV212" i="3"/>
  <c r="N208" i="3"/>
  <c r="BV208" i="3"/>
  <c r="N176" i="3"/>
  <c r="BV176" i="3"/>
  <c r="N168" i="3"/>
  <c r="BV168" i="3"/>
  <c r="N163" i="3"/>
  <c r="BV163" i="3"/>
  <c r="N156" i="3"/>
  <c r="BV156" i="3"/>
  <c r="N134" i="3"/>
  <c r="BV134" i="3"/>
  <c r="N123" i="3"/>
  <c r="BV123" i="3"/>
  <c r="N103" i="3"/>
  <c r="BV103" i="3"/>
  <c r="N93" i="3"/>
  <c r="BV93" i="3"/>
  <c r="N223" i="3"/>
  <c r="BV223" i="3"/>
  <c r="AP228" i="3"/>
  <c r="N12" i="3"/>
  <c r="N29" i="3"/>
  <c r="N77" i="3"/>
  <c r="N118" i="3"/>
  <c r="N157" i="3"/>
  <c r="N188" i="3"/>
  <c r="N203" i="3"/>
  <c r="N219" i="3"/>
  <c r="N11" i="3"/>
  <c r="BV11" i="3"/>
  <c r="N26" i="3"/>
  <c r="BV26" i="3"/>
  <c r="N18" i="3"/>
  <c r="BV18" i="3"/>
  <c r="N213" i="3"/>
  <c r="BV213" i="3"/>
  <c r="Y235" i="3" a="1"/>
  <c r="Y235" i="3" s="1"/>
  <c r="Z239" i="3" s="1"/>
  <c r="N10" i="3"/>
  <c r="BV10" i="3"/>
  <c r="N25" i="3"/>
  <c r="BV25" i="3"/>
  <c r="N42" i="3"/>
  <c r="BV42" i="3"/>
  <c r="N38" i="3"/>
  <c r="BV38" i="3"/>
  <c r="N73" i="3"/>
  <c r="BV73" i="3"/>
  <c r="N65" i="3"/>
  <c r="BV65" i="3"/>
  <c r="N57" i="3"/>
  <c r="BV57" i="3"/>
  <c r="N192" i="3"/>
  <c r="BV192" i="3"/>
  <c r="N180" i="3"/>
  <c r="BV180" i="3"/>
  <c r="N172" i="3"/>
  <c r="BV172" i="3"/>
  <c r="N146" i="3"/>
  <c r="BV146" i="3"/>
  <c r="N82" i="3"/>
  <c r="BV82" i="3"/>
  <c r="N109" i="3"/>
  <c r="N135" i="3"/>
  <c r="N177" i="3"/>
  <c r="BE228" i="3"/>
  <c r="X228" i="3"/>
  <c r="U234" i="3" a="1"/>
  <c r="U234" i="3" s="1"/>
  <c r="V238" i="3" s="1"/>
  <c r="AE228" i="3"/>
  <c r="AH228" i="3"/>
  <c r="AL234" i="3" a="1"/>
  <c r="AL234" i="3" s="1"/>
  <c r="AM238" i="3" s="1"/>
  <c r="AM228" i="3"/>
  <c r="AN234" i="3" a="1"/>
  <c r="AN234" i="3" s="1"/>
  <c r="AO238" i="3" s="1"/>
  <c r="AS228" i="3"/>
  <c r="AW228" i="3"/>
  <c r="BC228" i="3"/>
  <c r="Y228" i="3"/>
  <c r="AI228" i="3"/>
  <c r="T228" i="3"/>
  <c r="O228" i="3"/>
  <c r="L235" i="3" a="1"/>
  <c r="L235" i="3" s="1"/>
  <c r="U228" i="3"/>
  <c r="Q235" i="3" a="1"/>
  <c r="Q235" i="3" s="1"/>
  <c r="R239" i="3" s="1"/>
  <c r="Q228" i="3"/>
  <c r="L228" i="3"/>
  <c r="BD228" i="3"/>
  <c r="R235" i="3" a="1"/>
  <c r="R235" i="3" s="1"/>
  <c r="S239" i="3" s="1"/>
  <c r="AF234" i="3" a="1"/>
  <c r="AF234" i="3" s="1"/>
  <c r="AG238" i="3" s="1"/>
  <c r="AY228" i="3"/>
  <c r="X234" i="3" a="1"/>
  <c r="X234" i="3" s="1"/>
  <c r="Y238" i="3" s="1"/>
  <c r="AM235" i="3" a="1"/>
  <c r="AM235" i="3" s="1"/>
  <c r="AN239" i="3" s="1"/>
  <c r="AL228" i="3"/>
  <c r="AV228" i="3"/>
  <c r="AZ228" i="3"/>
  <c r="Z235" i="3" a="1"/>
  <c r="Z235" i="3" s="1"/>
  <c r="AD239" i="3" s="1"/>
  <c r="V234" i="3" a="1"/>
  <c r="V234" i="3" s="1"/>
  <c r="W238" i="3" s="1"/>
  <c r="AB13" i="3"/>
  <c r="AB33" i="3"/>
  <c r="AA228" i="3"/>
  <c r="M228" i="3"/>
  <c r="BF33" i="3"/>
  <c r="AM234" i="3" a="1"/>
  <c r="AM234" i="3" s="1"/>
  <c r="AN238" i="3" s="1"/>
  <c r="AT234" i="3" a="1"/>
  <c r="AT234" i="3" s="1"/>
  <c r="AU238" i="3" s="1"/>
  <c r="AX228" i="3"/>
  <c r="AX235" i="3" a="1"/>
  <c r="AX235" i="3" s="1"/>
  <c r="AY239" i="3" s="1"/>
  <c r="BC234" i="3" a="1"/>
  <c r="BC234" i="3" s="1"/>
  <c r="BD238" i="3" s="1"/>
  <c r="BC235" i="3" a="1"/>
  <c r="BC235" i="3" s="1"/>
  <c r="BD239" i="3" s="1"/>
  <c r="AC217" i="3"/>
  <c r="AR217" i="3"/>
  <c r="BG217" i="3"/>
  <c r="N217" i="3"/>
  <c r="S235" i="3" a="1"/>
  <c r="S235" i="3" s="1"/>
  <c r="T239" i="3" s="1"/>
  <c r="BD234" i="3" a="1"/>
  <c r="BD234" i="3" s="1"/>
  <c r="BH238" i="3" s="1"/>
  <c r="AZ234" i="3" a="1"/>
  <c r="AZ234" i="3" s="1"/>
  <c r="BA238" i="3" s="1"/>
  <c r="AV234" i="3" a="1"/>
  <c r="AV234" i="3" s="1"/>
  <c r="AW238" i="3" s="1"/>
  <c r="AO234" i="3" a="1"/>
  <c r="AO234" i="3" s="1"/>
  <c r="AS238" i="3" s="1"/>
  <c r="AG234" i="3" a="1"/>
  <c r="AG234" i="3" s="1"/>
  <c r="AH238" i="3" s="1"/>
  <c r="BF215" i="3"/>
  <c r="CL13" i="3"/>
  <c r="CL33" i="3"/>
  <c r="CL53" i="3"/>
  <c r="V235" i="3" a="1"/>
  <c r="V235" i="3" s="1"/>
  <c r="W239" i="3" s="1"/>
  <c r="Z234" i="3" a="1"/>
  <c r="Z234" i="3" s="1"/>
  <c r="AD238" i="3" s="1"/>
  <c r="Y234" i="3" a="1"/>
  <c r="Y234" i="3" s="1"/>
  <c r="Z238" i="3" s="1"/>
  <c r="V228" i="3"/>
  <c r="T234" i="3" a="1"/>
  <c r="T234" i="3" s="1"/>
  <c r="U238" i="3" s="1"/>
  <c r="R234" i="3" a="1"/>
  <c r="R234" i="3" s="1"/>
  <c r="S238" i="3" s="1"/>
  <c r="Q234" i="3" a="1"/>
  <c r="Q234" i="3" s="1"/>
  <c r="R238" i="3" s="1"/>
  <c r="AE235" i="3" a="1"/>
  <c r="AE235" i="3" s="1"/>
  <c r="AF239" i="3" s="1"/>
  <c r="AJ235" i="3" a="1"/>
  <c r="AJ235" i="3" s="1"/>
  <c r="AK239" i="3" s="1"/>
  <c r="AJ234" i="3" a="1"/>
  <c r="AJ234" i="3" s="1"/>
  <c r="AK238" i="3" s="1"/>
  <c r="AJ228" i="3"/>
  <c r="AX234" i="3" a="1"/>
  <c r="AX234" i="3" s="1"/>
  <c r="AY238" i="3" s="1"/>
  <c r="BB228" i="3"/>
  <c r="BB235" i="3" a="1"/>
  <c r="BB235" i="3" s="1"/>
  <c r="BC239" i="3" s="1"/>
  <c r="AT228" i="3"/>
  <c r="AT235" i="3" a="1"/>
  <c r="AT235" i="3" s="1"/>
  <c r="AU239" i="3" s="1"/>
  <c r="AY234" i="3" a="1"/>
  <c r="AY234" i="3" s="1"/>
  <c r="AZ238" i="3" s="1"/>
  <c r="AY235" i="3" a="1"/>
  <c r="AY235" i="3" s="1"/>
  <c r="AZ239" i="3" s="1"/>
  <c r="AB53" i="3"/>
  <c r="AB227" i="3"/>
  <c r="U235" i="3" a="1"/>
  <c r="U235" i="3" s="1"/>
  <c r="V239" i="3" s="1"/>
  <c r="AF235" i="3" a="1"/>
  <c r="AF235" i="3" s="1"/>
  <c r="AG239" i="3" s="1"/>
  <c r="AF228" i="3"/>
  <c r="BF227" i="3"/>
  <c r="CL79" i="3"/>
  <c r="CL215" i="3"/>
  <c r="X235" i="3" a="1"/>
  <c r="X235" i="3" s="1"/>
  <c r="Y239" i="3" s="1"/>
  <c r="W235" i="3" a="1"/>
  <c r="W235" i="3" s="1"/>
  <c r="X239" i="3" s="1"/>
  <c r="T235" i="3" a="1"/>
  <c r="T235" i="3" s="1"/>
  <c r="U239" i="3" s="1"/>
  <c r="P234" i="3" a="1"/>
  <c r="P234" i="3" s="1"/>
  <c r="Q238" i="3" s="1"/>
  <c r="P235" i="3" a="1"/>
  <c r="P235" i="3" s="1"/>
  <c r="Q239" i="3" s="1"/>
  <c r="AI234" i="3" a="1"/>
  <c r="AI234" i="3" s="1"/>
  <c r="AJ238" i="3" s="1"/>
  <c r="AD234" i="3" a="1"/>
  <c r="AD234" i="3" s="1"/>
  <c r="AE238" i="3" s="1"/>
  <c r="AE234" i="3" a="1"/>
  <c r="AE234" i="3" s="1"/>
  <c r="AF238" i="3" s="1"/>
  <c r="AI235" i="3" a="1"/>
  <c r="AI235" i="3" s="1"/>
  <c r="AJ239" i="3" s="1"/>
  <c r="AN235" i="3" a="1"/>
  <c r="AN235" i="3" s="1"/>
  <c r="AO239" i="3" s="1"/>
  <c r="AN228" i="3"/>
  <c r="AU234" i="3" a="1"/>
  <c r="AU234" i="3" s="1"/>
  <c r="AV238" i="3" s="1"/>
  <c r="AU235" i="3" a="1"/>
  <c r="AU235" i="3" s="1"/>
  <c r="AV239" i="3" s="1"/>
  <c r="BB234" i="3" a="1"/>
  <c r="BB234" i="3" s="1"/>
  <c r="BC238" i="3" s="1"/>
  <c r="S234" i="3" a="1"/>
  <c r="S234" i="3" s="1"/>
  <c r="T238" i="3" s="1"/>
  <c r="AH235" i="3" a="1"/>
  <c r="AH235" i="3" s="1"/>
  <c r="AI239" i="3" s="1"/>
  <c r="AK235" i="3" a="1"/>
  <c r="AK235" i="3" s="1"/>
  <c r="AL239" i="3" s="1"/>
  <c r="AS234" i="3" a="1"/>
  <c r="AS234" i="3" s="1"/>
  <c r="AT238" i="3" s="1"/>
  <c r="AV235" i="3" a="1"/>
  <c r="AV235" i="3" s="1"/>
  <c r="AW239" i="3" s="1"/>
  <c r="AW234" i="3" a="1"/>
  <c r="AW234" i="3" s="1"/>
  <c r="AX238" i="3" s="1"/>
  <c r="AZ235" i="3" a="1"/>
  <c r="AZ235" i="3" s="1"/>
  <c r="BA239" i="3" s="1"/>
  <c r="BA234" i="3" a="1"/>
  <c r="BA234" i="3" s="1"/>
  <c r="BB238" i="3" s="1"/>
  <c r="AC81" i="3"/>
  <c r="AR81" i="3"/>
  <c r="BG81" i="3"/>
  <c r="AC9" i="3"/>
  <c r="BG9" i="3"/>
  <c r="AC32" i="3"/>
  <c r="BG32" i="3"/>
  <c r="AC28" i="3"/>
  <c r="BG28" i="3"/>
  <c r="AC24" i="3"/>
  <c r="BG24" i="3"/>
  <c r="AC20" i="3"/>
  <c r="BG20" i="3"/>
  <c r="AC16" i="3"/>
  <c r="BG16" i="3"/>
  <c r="AC49" i="3"/>
  <c r="AR49" i="3"/>
  <c r="BG49" i="3"/>
  <c r="N49" i="3"/>
  <c r="AC45" i="3"/>
  <c r="AR45" i="3"/>
  <c r="BG45" i="3"/>
  <c r="N45" i="3"/>
  <c r="AC41" i="3"/>
  <c r="AR41" i="3"/>
  <c r="BG41" i="3"/>
  <c r="N41" i="3"/>
  <c r="AC37" i="3"/>
  <c r="AR37" i="3"/>
  <c r="BG37" i="3"/>
  <c r="N37" i="3"/>
  <c r="AC76" i="3"/>
  <c r="AR76" i="3"/>
  <c r="BG76" i="3"/>
  <c r="AC72" i="3"/>
  <c r="AR72" i="3"/>
  <c r="BG72" i="3"/>
  <c r="AC68" i="3"/>
  <c r="AR68" i="3"/>
  <c r="BG68" i="3"/>
  <c r="AC64" i="3"/>
  <c r="AR64" i="3"/>
  <c r="BG64" i="3"/>
  <c r="AC60" i="3"/>
  <c r="AR60" i="3"/>
  <c r="BG60" i="3"/>
  <c r="AC56" i="3"/>
  <c r="AR56" i="3"/>
  <c r="BG56" i="3"/>
  <c r="AC211" i="3"/>
  <c r="AR211" i="3"/>
  <c r="BG211" i="3"/>
  <c r="N211" i="3"/>
  <c r="AC205" i="3"/>
  <c r="AR205" i="3"/>
  <c r="BG205" i="3"/>
  <c r="N205" i="3"/>
  <c r="AC199" i="3"/>
  <c r="AR199" i="3"/>
  <c r="BG199" i="3"/>
  <c r="N199" i="3"/>
  <c r="AC191" i="3"/>
  <c r="AR191" i="3"/>
  <c r="BG191" i="3"/>
  <c r="N191" i="3"/>
  <c r="AC186" i="3"/>
  <c r="AR186" i="3"/>
  <c r="BG186" i="3"/>
  <c r="N186" i="3"/>
  <c r="AC179" i="3"/>
  <c r="AR179" i="3"/>
  <c r="BG179" i="3"/>
  <c r="N179" i="3"/>
  <c r="AC175" i="3"/>
  <c r="AR175" i="3"/>
  <c r="BG175" i="3"/>
  <c r="N175" i="3"/>
  <c r="AC171" i="3"/>
  <c r="AR171" i="3"/>
  <c r="BG171" i="3"/>
  <c r="N171" i="3"/>
  <c r="AC167" i="3"/>
  <c r="AR167" i="3"/>
  <c r="BG167" i="3"/>
  <c r="N167" i="3"/>
  <c r="AC160" i="3"/>
  <c r="AR160" i="3"/>
  <c r="BG160" i="3"/>
  <c r="N160" i="3"/>
  <c r="AC154" i="3"/>
  <c r="AR154" i="3"/>
  <c r="BG154" i="3"/>
  <c r="N154" i="3"/>
  <c r="AC149" i="3"/>
  <c r="AR149" i="3"/>
  <c r="BG149" i="3"/>
  <c r="N149" i="3"/>
  <c r="AC144" i="3"/>
  <c r="AR144" i="3"/>
  <c r="BG144" i="3"/>
  <c r="N144" i="3"/>
  <c r="AC139" i="3"/>
  <c r="AR139" i="3"/>
  <c r="BG139" i="3"/>
  <c r="N139" i="3"/>
  <c r="AC133" i="3"/>
  <c r="AR133" i="3"/>
  <c r="BG133" i="3"/>
  <c r="N133" i="3"/>
  <c r="AC129" i="3"/>
  <c r="AR129" i="3"/>
  <c r="BG129" i="3"/>
  <c r="N129" i="3"/>
  <c r="AC121" i="3"/>
  <c r="AR121" i="3"/>
  <c r="BG121" i="3"/>
  <c r="N121" i="3"/>
  <c r="AC114" i="3"/>
  <c r="AR114" i="3"/>
  <c r="BG114" i="3"/>
  <c r="N114" i="3"/>
  <c r="AC108" i="3"/>
  <c r="AR108" i="3"/>
  <c r="BG108" i="3"/>
  <c r="N108" i="3"/>
  <c r="AC100" i="3"/>
  <c r="AR100" i="3"/>
  <c r="BG100" i="3"/>
  <c r="N100" i="3"/>
  <c r="AC96" i="3"/>
  <c r="AR96" i="3"/>
  <c r="BG96" i="3"/>
  <c r="N96" i="3"/>
  <c r="AC90" i="3"/>
  <c r="AR90" i="3"/>
  <c r="BG90" i="3"/>
  <c r="N90" i="3"/>
  <c r="AC85" i="3"/>
  <c r="AR85" i="3"/>
  <c r="BG85" i="3"/>
  <c r="N85" i="3"/>
  <c r="AC226" i="3"/>
  <c r="AR226" i="3"/>
  <c r="BG226" i="3"/>
  <c r="N226" i="3"/>
  <c r="AC222" i="3"/>
  <c r="AR222" i="3"/>
  <c r="BG222" i="3"/>
  <c r="N222" i="3"/>
  <c r="AC218" i="3"/>
  <c r="AR218" i="3"/>
  <c r="BG218" i="3"/>
  <c r="N218" i="3"/>
  <c r="R228" i="3"/>
  <c r="Z228" i="3"/>
  <c r="N9" i="3"/>
  <c r="N28" i="3"/>
  <c r="N64" i="3"/>
  <c r="BD235" i="3" a="1"/>
  <c r="BD235" i="3" s="1"/>
  <c r="BH239" i="3" s="1"/>
  <c r="AC55" i="3"/>
  <c r="AR55" i="3"/>
  <c r="BG55" i="3"/>
  <c r="N55" i="3"/>
  <c r="AC31" i="3"/>
  <c r="BG31" i="3"/>
  <c r="N31" i="3"/>
  <c r="AC27" i="3"/>
  <c r="BG27" i="3"/>
  <c r="N27" i="3"/>
  <c r="AC23" i="3"/>
  <c r="BG23" i="3"/>
  <c r="N23" i="3"/>
  <c r="AC19" i="3"/>
  <c r="BG19" i="3"/>
  <c r="N19" i="3"/>
  <c r="AC52" i="3"/>
  <c r="BG52" i="3"/>
  <c r="AR52" i="3"/>
  <c r="AR48" i="3"/>
  <c r="BG48" i="3"/>
  <c r="AC48" i="3"/>
  <c r="AC44" i="3"/>
  <c r="BG44" i="3"/>
  <c r="AR44" i="3"/>
  <c r="AR40" i="3"/>
  <c r="BG40" i="3"/>
  <c r="AC40" i="3"/>
  <c r="AC36" i="3"/>
  <c r="BG36" i="3"/>
  <c r="AR36" i="3"/>
  <c r="AC75" i="3"/>
  <c r="AR75" i="3"/>
  <c r="BG75" i="3"/>
  <c r="N75" i="3"/>
  <c r="AC71" i="3"/>
  <c r="AR71" i="3"/>
  <c r="BG71" i="3"/>
  <c r="N71" i="3"/>
  <c r="AC67" i="3"/>
  <c r="AR67" i="3"/>
  <c r="BG67" i="3"/>
  <c r="N67" i="3"/>
  <c r="AC63" i="3"/>
  <c r="AR63" i="3"/>
  <c r="BG63" i="3"/>
  <c r="N63" i="3"/>
  <c r="AC59" i="3"/>
  <c r="AR59" i="3"/>
  <c r="BG59" i="3"/>
  <c r="N59" i="3"/>
  <c r="AC214" i="3"/>
  <c r="BG214" i="3"/>
  <c r="AR214" i="3"/>
  <c r="AR210" i="3"/>
  <c r="BG210" i="3"/>
  <c r="AC210" i="3"/>
  <c r="AC204" i="3"/>
  <c r="BG204" i="3"/>
  <c r="AR204" i="3"/>
  <c r="AR198" i="3"/>
  <c r="BG198" i="3"/>
  <c r="AC198" i="3"/>
  <c r="AC190" i="3"/>
  <c r="BG190" i="3"/>
  <c r="AR190" i="3"/>
  <c r="AR185" i="3"/>
  <c r="BG185" i="3"/>
  <c r="AC185" i="3"/>
  <c r="AC178" i="3"/>
  <c r="BG178" i="3"/>
  <c r="AR178" i="3"/>
  <c r="AR174" i="3"/>
  <c r="BG174" i="3"/>
  <c r="AC174" i="3"/>
  <c r="AC170" i="3"/>
  <c r="BG170" i="3"/>
  <c r="AR170" i="3"/>
  <c r="AR166" i="3"/>
  <c r="BG166" i="3"/>
  <c r="AC166" i="3"/>
  <c r="AC159" i="3"/>
  <c r="BG159" i="3"/>
  <c r="AR159" i="3"/>
  <c r="AR153" i="3"/>
  <c r="BG153" i="3"/>
  <c r="AC153" i="3"/>
  <c r="AC148" i="3"/>
  <c r="BG148" i="3"/>
  <c r="AR148" i="3"/>
  <c r="AR143" i="3"/>
  <c r="BG143" i="3"/>
  <c r="AC143" i="3"/>
  <c r="AC138" i="3"/>
  <c r="BG138" i="3"/>
  <c r="AR138" i="3"/>
  <c r="AR132" i="3"/>
  <c r="BG132" i="3"/>
  <c r="AC132" i="3"/>
  <c r="AC128" i="3"/>
  <c r="BG128" i="3"/>
  <c r="AR128" i="3"/>
  <c r="AR120" i="3"/>
  <c r="BG120" i="3"/>
  <c r="AC120" i="3"/>
  <c r="AC113" i="3"/>
  <c r="BG113" i="3"/>
  <c r="AR113" i="3"/>
  <c r="AR107" i="3"/>
  <c r="BG107" i="3"/>
  <c r="AC107" i="3"/>
  <c r="AC99" i="3"/>
  <c r="BG99" i="3"/>
  <c r="AR99" i="3"/>
  <c r="AR95" i="3"/>
  <c r="BG95" i="3"/>
  <c r="AC95" i="3"/>
  <c r="AC89" i="3"/>
  <c r="BG89" i="3"/>
  <c r="AR89" i="3"/>
  <c r="AR84" i="3"/>
  <c r="BG84" i="3"/>
  <c r="AC84" i="3"/>
  <c r="AC225" i="3"/>
  <c r="AR225" i="3"/>
  <c r="BG225" i="3"/>
  <c r="AC221" i="3"/>
  <c r="AR221" i="3"/>
  <c r="BG221" i="3"/>
  <c r="AD235" i="3" a="1"/>
  <c r="AD235" i="3" s="1"/>
  <c r="AE239" i="3" s="1"/>
  <c r="AG235" i="3" a="1"/>
  <c r="AG235" i="3" s="1"/>
  <c r="AH239" i="3" s="1"/>
  <c r="AL235" i="3" a="1"/>
  <c r="AL235" i="3" s="1"/>
  <c r="AM239" i="3" s="1"/>
  <c r="AO235" i="3" a="1"/>
  <c r="AO235" i="3" s="1"/>
  <c r="AS239" i="3" s="1"/>
  <c r="S228" i="3"/>
  <c r="W228" i="3"/>
  <c r="AG228" i="3"/>
  <c r="AK228" i="3"/>
  <c r="AO228" i="3"/>
  <c r="AD228" i="3"/>
  <c r="W234" i="3" a="1"/>
  <c r="W234" i="3" s="1"/>
  <c r="X238" i="3" s="1"/>
  <c r="AH234" i="3" a="1"/>
  <c r="AH234" i="3" s="1"/>
  <c r="AI238" i="3" s="1"/>
  <c r="AK234" i="3" a="1"/>
  <c r="AK234" i="3" s="1"/>
  <c r="AL238" i="3" s="1"/>
  <c r="AS235" i="3" a="1"/>
  <c r="AS235" i="3" s="1"/>
  <c r="AT239" i="3" s="1"/>
  <c r="AW235" i="3" a="1"/>
  <c r="AW235" i="3" s="1"/>
  <c r="AX239" i="3" s="1"/>
  <c r="BA235" i="3" a="1"/>
  <c r="BA235" i="3" s="1"/>
  <c r="BB239" i="3" s="1"/>
  <c r="AC35" i="3"/>
  <c r="BG35" i="3"/>
  <c r="AR35" i="3"/>
  <c r="AC11" i="3"/>
  <c r="BG11" i="3"/>
  <c r="BG30" i="3"/>
  <c r="AC30" i="3"/>
  <c r="AC26" i="3"/>
  <c r="BG26" i="3"/>
  <c r="BG22" i="3"/>
  <c r="AC22" i="3"/>
  <c r="AC18" i="3"/>
  <c r="BG18" i="3"/>
  <c r="AC51" i="3"/>
  <c r="BG51" i="3"/>
  <c r="AR51" i="3"/>
  <c r="AR47" i="3"/>
  <c r="BG47" i="3"/>
  <c r="AC47" i="3"/>
  <c r="AC43" i="3"/>
  <c r="BG43" i="3"/>
  <c r="AR43" i="3"/>
  <c r="AR39" i="3"/>
  <c r="BG39" i="3"/>
  <c r="AC39" i="3"/>
  <c r="AC78" i="3"/>
  <c r="BG78" i="3"/>
  <c r="AR78" i="3"/>
  <c r="AR74" i="3"/>
  <c r="BG74" i="3"/>
  <c r="AC74" i="3"/>
  <c r="AC70" i="3"/>
  <c r="BG70" i="3"/>
  <c r="AR70" i="3"/>
  <c r="AR66" i="3"/>
  <c r="BG66" i="3"/>
  <c r="AC66" i="3"/>
  <c r="AC62" i="3"/>
  <c r="BG62" i="3"/>
  <c r="AR62" i="3"/>
  <c r="AR58" i="3"/>
  <c r="BG58" i="3"/>
  <c r="AC58" i="3"/>
  <c r="AC213" i="3"/>
  <c r="BG213" i="3"/>
  <c r="AR213" i="3"/>
  <c r="AR209" i="3"/>
  <c r="BG209" i="3"/>
  <c r="AC209" i="3"/>
  <c r="AC203" i="3"/>
  <c r="BG203" i="3"/>
  <c r="AR203" i="3"/>
  <c r="AR193" i="3"/>
  <c r="BG193" i="3"/>
  <c r="AC193" i="3"/>
  <c r="AC189" i="3"/>
  <c r="BG189" i="3"/>
  <c r="AR189" i="3"/>
  <c r="AR181" i="3"/>
  <c r="BG181" i="3"/>
  <c r="AC181" i="3"/>
  <c r="AC177" i="3"/>
  <c r="BG177" i="3"/>
  <c r="AR177" i="3"/>
  <c r="AR173" i="3"/>
  <c r="BG173" i="3"/>
  <c r="AC173" i="3"/>
  <c r="AC169" i="3"/>
  <c r="BG169" i="3"/>
  <c r="AR169" i="3"/>
  <c r="AR164" i="3"/>
  <c r="BG164" i="3"/>
  <c r="AC164" i="3"/>
  <c r="AC157" i="3"/>
  <c r="BG157" i="3"/>
  <c r="AR157" i="3"/>
  <c r="AR151" i="3"/>
  <c r="BG151" i="3"/>
  <c r="AC151" i="3"/>
  <c r="AC147" i="3"/>
  <c r="BG147" i="3"/>
  <c r="AR147" i="3"/>
  <c r="AR141" i="3"/>
  <c r="BG141" i="3"/>
  <c r="AC141" i="3"/>
  <c r="AC135" i="3"/>
  <c r="BG135" i="3"/>
  <c r="AR135" i="3"/>
  <c r="AR131" i="3"/>
  <c r="BG131" i="3"/>
  <c r="AC131" i="3"/>
  <c r="AC124" i="3"/>
  <c r="BG124" i="3"/>
  <c r="AR124" i="3"/>
  <c r="AR119" i="3"/>
  <c r="BG119" i="3"/>
  <c r="AC119" i="3"/>
  <c r="AC110" i="3"/>
  <c r="BG110" i="3"/>
  <c r="AR110" i="3"/>
  <c r="AR104" i="3"/>
  <c r="BG104" i="3"/>
  <c r="AC104" i="3"/>
  <c r="AC98" i="3"/>
  <c r="BG98" i="3"/>
  <c r="AR98" i="3"/>
  <c r="AR94" i="3"/>
  <c r="BG94" i="3"/>
  <c r="AC94" i="3"/>
  <c r="AC88" i="3"/>
  <c r="BG88" i="3"/>
  <c r="AR88" i="3"/>
  <c r="AR83" i="3"/>
  <c r="BG83" i="3"/>
  <c r="AC83" i="3"/>
  <c r="AC224" i="3"/>
  <c r="BG224" i="3"/>
  <c r="AR224" i="3"/>
  <c r="AR220" i="3"/>
  <c r="BG220" i="3"/>
  <c r="AC220" i="3"/>
  <c r="AC15" i="3"/>
  <c r="BG15" i="3"/>
  <c r="BG12" i="3"/>
  <c r="AC12" i="3"/>
  <c r="AC10" i="3"/>
  <c r="BG10" i="3"/>
  <c r="BG29" i="3"/>
  <c r="AC29" i="3"/>
  <c r="AC25" i="3"/>
  <c r="BG25" i="3"/>
  <c r="BG21" i="3"/>
  <c r="AC21" i="3"/>
  <c r="AC17" i="3"/>
  <c r="BG17" i="3"/>
  <c r="AC50" i="3"/>
  <c r="AR50" i="3"/>
  <c r="BG50" i="3"/>
  <c r="AC46" i="3"/>
  <c r="AR46" i="3"/>
  <c r="BG46" i="3"/>
  <c r="AC42" i="3"/>
  <c r="AR42" i="3"/>
  <c r="BG42" i="3"/>
  <c r="AC38" i="3"/>
  <c r="AR38" i="3"/>
  <c r="BG38" i="3"/>
  <c r="AC77" i="3"/>
  <c r="BG77" i="3"/>
  <c r="AR77" i="3"/>
  <c r="AR73" i="3"/>
  <c r="BG73" i="3"/>
  <c r="AC73" i="3"/>
  <c r="AC69" i="3"/>
  <c r="BG69" i="3"/>
  <c r="AR69" i="3"/>
  <c r="AR65" i="3"/>
  <c r="BG65" i="3"/>
  <c r="AC65" i="3"/>
  <c r="AC61" i="3"/>
  <c r="BG61" i="3"/>
  <c r="AR61" i="3"/>
  <c r="AR57" i="3"/>
  <c r="BG57" i="3"/>
  <c r="AC57" i="3"/>
  <c r="AC212" i="3"/>
  <c r="AR212" i="3"/>
  <c r="BG212" i="3"/>
  <c r="AC208" i="3"/>
  <c r="AR208" i="3"/>
  <c r="BG208" i="3"/>
  <c r="AC202" i="3"/>
  <c r="AR202" i="3"/>
  <c r="BG202" i="3"/>
  <c r="AC192" i="3"/>
  <c r="AR192" i="3"/>
  <c r="BG192" i="3"/>
  <c r="AC188" i="3"/>
  <c r="AR188" i="3"/>
  <c r="BG188" i="3"/>
  <c r="AC180" i="3"/>
  <c r="AR180" i="3"/>
  <c r="BG180" i="3"/>
  <c r="AC176" i="3"/>
  <c r="AR176" i="3"/>
  <c r="BG176" i="3"/>
  <c r="AC172" i="3"/>
  <c r="AR172" i="3"/>
  <c r="BG172" i="3"/>
  <c r="AC168" i="3"/>
  <c r="AR168" i="3"/>
  <c r="BG168" i="3"/>
  <c r="AC163" i="3"/>
  <c r="AR163" i="3"/>
  <c r="BG163" i="3"/>
  <c r="AC156" i="3"/>
  <c r="AR156" i="3"/>
  <c r="BG156" i="3"/>
  <c r="AC150" i="3"/>
  <c r="AR150" i="3"/>
  <c r="BG150" i="3"/>
  <c r="AC146" i="3"/>
  <c r="AR146" i="3"/>
  <c r="BG146" i="3"/>
  <c r="AC140" i="3"/>
  <c r="AR140" i="3"/>
  <c r="BG140" i="3"/>
  <c r="AC134" i="3"/>
  <c r="AR134" i="3"/>
  <c r="BG134" i="3"/>
  <c r="AC130" i="3"/>
  <c r="AR130" i="3"/>
  <c r="BG130" i="3"/>
  <c r="AC123" i="3"/>
  <c r="AR123" i="3"/>
  <c r="BG123" i="3"/>
  <c r="AC118" i="3"/>
  <c r="AR118" i="3"/>
  <c r="BG118" i="3"/>
  <c r="AC109" i="3"/>
  <c r="AR109" i="3"/>
  <c r="BG109" i="3"/>
  <c r="AC103" i="3"/>
  <c r="AR103" i="3"/>
  <c r="BG103" i="3"/>
  <c r="AC97" i="3"/>
  <c r="AR97" i="3"/>
  <c r="BG97" i="3"/>
  <c r="AC93" i="3"/>
  <c r="AR93" i="3"/>
  <c r="BG93" i="3"/>
  <c r="AC87" i="3"/>
  <c r="AR87" i="3"/>
  <c r="BG87" i="3"/>
  <c r="AC82" i="3"/>
  <c r="AR82" i="3"/>
  <c r="BG82" i="3"/>
  <c r="AC223" i="3"/>
  <c r="BG223" i="3"/>
  <c r="AR223" i="3"/>
  <c r="AR219" i="3"/>
  <c r="BG219" i="3"/>
  <c r="AC219" i="3"/>
  <c r="CX23" i="45" l="1"/>
  <c r="BN27" i="45"/>
  <c r="BN121" i="45" s="1" a="1"/>
  <c r="BN121" i="45" s="1"/>
  <c r="G10" i="64" s="1"/>
  <c r="G8" i="64" s="1"/>
  <c r="G7" i="64" s="1"/>
  <c r="CU77" i="45"/>
  <c r="BN115" i="45"/>
  <c r="BN116" i="45" s="1"/>
  <c r="CU93" i="45"/>
  <c r="CX34" i="45"/>
  <c r="CU45" i="45"/>
  <c r="CX109" i="45"/>
  <c r="CT115" i="45"/>
  <c r="J11" i="64"/>
  <c r="D23" i="30" s="1"/>
  <c r="BU86" i="19"/>
  <c r="BU40" i="19"/>
  <c r="CM79" i="3"/>
  <c r="CM227" i="3"/>
  <c r="U121" i="45" a="1"/>
  <c r="U121" i="45" s="1"/>
  <c r="D10" i="64" s="1"/>
  <c r="BN120" i="45" a="1"/>
  <c r="BN120" i="45" s="1"/>
  <c r="G22" i="64" s="1"/>
  <c r="BU28" i="19"/>
  <c r="AT87" i="19"/>
  <c r="BU52" i="19"/>
  <c r="BG90" i="19" a="1"/>
  <c r="BG90" i="19" s="1"/>
  <c r="BF90" i="19" a="1"/>
  <c r="BF90" i="19" s="1"/>
  <c r="BH95" i="19" s="1"/>
  <c r="AD91" i="19" a="1"/>
  <c r="AD91" i="19" s="1"/>
  <c r="AE96" i="19" s="1"/>
  <c r="BK91" i="19" a="1"/>
  <c r="BK91" i="19" s="1"/>
  <c r="BL96" i="19" s="1"/>
  <c r="AP91" i="19" a="1"/>
  <c r="AP91" i="19" s="1"/>
  <c r="AQ96" i="19" s="1"/>
  <c r="AM90" i="19" a="1"/>
  <c r="AM90" i="19" s="1"/>
  <c r="AN95" i="19" s="1"/>
  <c r="AZ90" i="19" a="1"/>
  <c r="AZ90" i="19" s="1"/>
  <c r="BA95" i="19" s="1"/>
  <c r="AQ228" i="3"/>
  <c r="CN224" i="3"/>
  <c r="CN213" i="3"/>
  <c r="CN119" i="3"/>
  <c r="CN209" i="3"/>
  <c r="CN225" i="3"/>
  <c r="CN71" i="3"/>
  <c r="CN72" i="3"/>
  <c r="CK13" i="3"/>
  <c r="CN9" i="3"/>
  <c r="CN93" i="3"/>
  <c r="CN140" i="3"/>
  <c r="CN124" i="3"/>
  <c r="CN43" i="3"/>
  <c r="BI91" i="19" a="1"/>
  <c r="BI91" i="19" s="1"/>
  <c r="BJ96" i="19" s="1"/>
  <c r="AZ91" i="19" a="1"/>
  <c r="AZ91" i="19" s="1"/>
  <c r="BA96" i="19" s="1"/>
  <c r="BK90" i="19" a="1"/>
  <c r="BK90" i="19" s="1"/>
  <c r="BL95" i="19" s="1"/>
  <c r="AO91" i="19" a="1"/>
  <c r="AO91" i="19" s="1"/>
  <c r="AP96" i="19" s="1"/>
  <c r="BI90" i="19" a="1"/>
  <c r="BI90" i="19" s="1"/>
  <c r="BJ95" i="19" s="1"/>
  <c r="AR90" i="19" a="1"/>
  <c r="AR90" i="19" s="1"/>
  <c r="AS95" i="19" s="1"/>
  <c r="BM91" i="19" a="1"/>
  <c r="BM91" i="19" s="1"/>
  <c r="BN96" i="19" s="1"/>
  <c r="V90" i="19" a="1"/>
  <c r="V90" i="19" s="1"/>
  <c r="W95" i="19" s="1"/>
  <c r="P90" i="19" a="1"/>
  <c r="P90" i="19" s="1"/>
  <c r="Q95" i="19" s="1"/>
  <c r="BJ90" i="19" a="1"/>
  <c r="BJ90" i="19" s="1"/>
  <c r="BK95" i="19" s="1"/>
  <c r="BJ91" i="19" a="1"/>
  <c r="BJ91" i="19" s="1"/>
  <c r="BK96" i="19" s="1"/>
  <c r="BE90" i="19" a="1"/>
  <c r="BE90" i="19" s="1"/>
  <c r="BF95" i="19" s="1"/>
  <c r="X90" i="19" a="1"/>
  <c r="X90" i="19" s="1"/>
  <c r="Y95" i="19" s="1"/>
  <c r="G91" i="19" a="1"/>
  <c r="G91" i="19" s="1"/>
  <c r="G96" i="19" s="1"/>
  <c r="AS91" i="19" a="1"/>
  <c r="AS91" i="19" s="1"/>
  <c r="AU96" i="19" s="1"/>
  <c r="AL90" i="19" a="1"/>
  <c r="AL90" i="19" s="1"/>
  <c r="AM95" i="19" s="1"/>
  <c r="I91" i="19" a="1"/>
  <c r="I91" i="19" s="1"/>
  <c r="J96" i="19" s="1"/>
  <c r="K91" i="19" a="1"/>
  <c r="K91" i="19" s="1"/>
  <c r="L96" i="19" s="1"/>
  <c r="J90" i="19" a="1"/>
  <c r="J90" i="19" s="1"/>
  <c r="K95" i="19" s="1"/>
  <c r="H90" i="19" a="1"/>
  <c r="H90" i="19" s="1"/>
  <c r="I95" i="19" s="1"/>
  <c r="S91" i="19" a="1"/>
  <c r="S91" i="19" s="1"/>
  <c r="U96" i="19" s="1"/>
  <c r="G90" i="19" a="1"/>
  <c r="G90" i="19" s="1"/>
  <c r="G95" i="19" s="1"/>
  <c r="AQ91" i="19" a="1"/>
  <c r="AQ91" i="19" s="1"/>
  <c r="AR96" i="19" s="1"/>
  <c r="AQ90" i="19" a="1"/>
  <c r="AQ90" i="19" s="1"/>
  <c r="AR95" i="19" s="1"/>
  <c r="AU90" i="19" a="1"/>
  <c r="AU90" i="19" s="1"/>
  <c r="AV95" i="19" s="1"/>
  <c r="AN91" i="19" a="1"/>
  <c r="AN91" i="19" s="1"/>
  <c r="AO96" i="19" s="1"/>
  <c r="AH91" i="19" a="1"/>
  <c r="AH91" i="19" s="1"/>
  <c r="AI96" i="19" s="1"/>
  <c r="M90" i="19" a="1"/>
  <c r="M90" i="19" s="1"/>
  <c r="N95" i="19" s="1"/>
  <c r="AU91" i="19" a="1"/>
  <c r="AU91" i="19" s="1"/>
  <c r="AV96" i="19" s="1"/>
  <c r="AD90" i="19" a="1"/>
  <c r="AD90" i="19" s="1"/>
  <c r="AE95" i="19" s="1"/>
  <c r="P91" i="19" a="1"/>
  <c r="P91" i="19" s="1"/>
  <c r="Q96" i="19" s="1"/>
  <c r="S90" i="19" a="1"/>
  <c r="S90" i="19" s="1"/>
  <c r="U95" i="19" s="1"/>
  <c r="AR91" i="19" a="1"/>
  <c r="AR91" i="19" s="1"/>
  <c r="AS96" i="19" s="1"/>
  <c r="AE90" i="19" a="1"/>
  <c r="AE90" i="19" s="1"/>
  <c r="AF95" i="19" s="1"/>
  <c r="Z90" i="19" a="1"/>
  <c r="Z90" i="19" s="1"/>
  <c r="AA95" i="19" s="1"/>
  <c r="N91" i="19" a="1"/>
  <c r="N91" i="19" s="1"/>
  <c r="O96" i="19" s="1"/>
  <c r="AY91" i="19" a="1"/>
  <c r="AY91" i="19" s="1"/>
  <c r="AZ96" i="19" s="1"/>
  <c r="BH90" i="19" a="1"/>
  <c r="BH90" i="19" s="1"/>
  <c r="BI95" i="19" s="1"/>
  <c r="W91" i="19" a="1"/>
  <c r="W91" i="19" s="1"/>
  <c r="X96" i="19" s="1"/>
  <c r="Z91" i="19" a="1"/>
  <c r="Z91" i="19" s="1"/>
  <c r="AA96" i="19" s="1"/>
  <c r="BF91" i="19" a="1"/>
  <c r="BF91" i="19" s="1"/>
  <c r="BH96" i="19" s="1"/>
  <c r="AS90" i="19" a="1"/>
  <c r="AS90" i="19" s="1"/>
  <c r="AU95" i="19" s="1"/>
  <c r="AH90" i="19" a="1"/>
  <c r="AH90" i="19" s="1"/>
  <c r="AI95" i="19" s="1"/>
  <c r="AL91" i="19" a="1"/>
  <c r="AL91" i="19" s="1"/>
  <c r="AM96" i="19" s="1"/>
  <c r="AJ90" i="19" a="1"/>
  <c r="AJ90" i="19" s="1"/>
  <c r="AK95" i="19" s="1"/>
  <c r="BP91" i="19" a="1"/>
  <c r="BP91" i="19" s="1"/>
  <c r="BQ96" i="19" s="1"/>
  <c r="AI90" i="19" a="1"/>
  <c r="AI90" i="19" s="1"/>
  <c r="AJ95" i="19" s="1"/>
  <c r="K90" i="19" a="1"/>
  <c r="K90" i="19" s="1"/>
  <c r="L95" i="19" s="1"/>
  <c r="AN90" i="19" a="1"/>
  <c r="AN90" i="19" s="1"/>
  <c r="AO95" i="19" s="1"/>
  <c r="AY90" i="19" a="1"/>
  <c r="AY90" i="19" s="1"/>
  <c r="AZ95" i="19" s="1"/>
  <c r="AV91" i="19" a="1"/>
  <c r="AV91" i="19" s="1"/>
  <c r="AW96" i="19" s="1"/>
  <c r="AV90" i="19" a="1"/>
  <c r="AV90" i="19" s="1"/>
  <c r="AW95" i="19" s="1"/>
  <c r="BA90" i="19" a="1"/>
  <c r="BA90" i="19" s="1"/>
  <c r="BB95" i="19" s="1"/>
  <c r="BA91" i="19" a="1"/>
  <c r="BA91" i="19" s="1"/>
  <c r="BB96" i="19" s="1"/>
  <c r="H91" i="19" a="1"/>
  <c r="H91" i="19" s="1"/>
  <c r="I96" i="19" s="1"/>
  <c r="BD91" i="19" a="1"/>
  <c r="BD91" i="19" s="1"/>
  <c r="BE96" i="19" s="1"/>
  <c r="Y91" i="19" a="1"/>
  <c r="Y91" i="19" s="1"/>
  <c r="Z96" i="19" s="1"/>
  <c r="AE91" i="19" a="1"/>
  <c r="AE91" i="19" s="1"/>
  <c r="AF96" i="19" s="1"/>
  <c r="N90" i="19" a="1"/>
  <c r="N90" i="19" s="1"/>
  <c r="O95" i="19" s="1"/>
  <c r="AX90" i="19" a="1"/>
  <c r="AX90" i="19" s="1"/>
  <c r="AY95" i="19" s="1"/>
  <c r="AB91" i="19" a="1"/>
  <c r="AB91" i="19" s="1"/>
  <c r="AC96" i="19" s="1"/>
  <c r="Y90" i="19" a="1"/>
  <c r="Y90" i="19" s="1"/>
  <c r="Z95" i="19" s="1"/>
  <c r="Q91" i="19" a="1"/>
  <c r="Q91" i="19" s="1"/>
  <c r="R96" i="19" s="1"/>
  <c r="AX91" i="19" a="1"/>
  <c r="AX91" i="19" s="1"/>
  <c r="AY96" i="19" s="1"/>
  <c r="BM90" i="19" a="1"/>
  <c r="BM90" i="19" s="1"/>
  <c r="BN95" i="19" s="1"/>
  <c r="I90" i="19" a="1"/>
  <c r="I90" i="19" s="1"/>
  <c r="J95" i="19" s="1"/>
  <c r="BB91" i="19" a="1"/>
  <c r="BB91" i="19" s="1"/>
  <c r="BC96" i="19" s="1"/>
  <c r="BC91" i="19" a="1"/>
  <c r="BC91" i="19" s="1"/>
  <c r="BD96" i="19" s="1"/>
  <c r="R91" i="19" a="1"/>
  <c r="R91" i="19" s="1"/>
  <c r="S96" i="19" s="1"/>
  <c r="BH91" i="19" a="1"/>
  <c r="BH91" i="19" s="1"/>
  <c r="BI96" i="19" s="1"/>
  <c r="O90" i="19" a="1"/>
  <c r="O90" i="19" s="1"/>
  <c r="P95" i="19" s="1"/>
  <c r="BN90" i="19" a="1"/>
  <c r="BN90" i="19" s="1"/>
  <c r="BO95" i="19" s="1"/>
  <c r="AW91" i="19" a="1"/>
  <c r="AW91" i="19" s="1"/>
  <c r="AX96" i="19" s="1"/>
  <c r="BL90" i="19" a="1"/>
  <c r="BL90" i="19" s="1"/>
  <c r="BM95" i="19" s="1"/>
  <c r="U90" i="19" a="1"/>
  <c r="U90" i="19" s="1"/>
  <c r="V95" i="19" s="1"/>
  <c r="T90" i="19" a="1"/>
  <c r="T90" i="19" s="1"/>
  <c r="AG90" i="19" a="1"/>
  <c r="AG90" i="19" s="1"/>
  <c r="T91" i="19" a="1"/>
  <c r="T91" i="19" s="1"/>
  <c r="BG91" i="19" a="1"/>
  <c r="BG91" i="19" s="1"/>
  <c r="O91" i="19" a="1"/>
  <c r="O91" i="19" s="1"/>
  <c r="P96" i="19" s="1"/>
  <c r="AC90" i="19" a="1"/>
  <c r="AC90" i="19" s="1"/>
  <c r="AD95" i="19" s="1"/>
  <c r="R90" i="19" a="1"/>
  <c r="R90" i="19" s="1"/>
  <c r="S95" i="19" s="1"/>
  <c r="AC91" i="19" a="1"/>
  <c r="AC91" i="19" s="1"/>
  <c r="AD96" i="19" s="1"/>
  <c r="W90" i="19" a="1"/>
  <c r="W90" i="19" s="1"/>
  <c r="X95" i="19" s="1"/>
  <c r="AM91" i="19" a="1"/>
  <c r="AM91" i="19" s="1"/>
  <c r="AN96" i="19" s="1"/>
  <c r="BP90" i="19" a="1"/>
  <c r="BP90" i="19" s="1"/>
  <c r="BQ95" i="19" s="1"/>
  <c r="BD90" i="19" a="1"/>
  <c r="BD90" i="19" s="1"/>
  <c r="BE95" i="19" s="1"/>
  <c r="BS91" i="19" a="1"/>
  <c r="BS91" i="19" s="1"/>
  <c r="BU96" i="19" s="1"/>
  <c r="AK90" i="19" a="1"/>
  <c r="AK90" i="19" s="1"/>
  <c r="AL95" i="19" s="1"/>
  <c r="BQ91" i="19" a="1"/>
  <c r="BQ91" i="19" s="1"/>
  <c r="BR96" i="19" s="1"/>
  <c r="BS90" i="19" a="1"/>
  <c r="BS90" i="19" s="1"/>
  <c r="BU95" i="19" s="1"/>
  <c r="BR91" i="19" a="1"/>
  <c r="BR91" i="19" s="1"/>
  <c r="BS96" i="19" s="1"/>
  <c r="AK91" i="19" a="1"/>
  <c r="AK91" i="19" s="1"/>
  <c r="AL96" i="19" s="1"/>
  <c r="BO90" i="19" a="1"/>
  <c r="BO90" i="19" s="1"/>
  <c r="BP95" i="19" s="1"/>
  <c r="BT90" i="19" a="1"/>
  <c r="BT90" i="19" s="1"/>
  <c r="BO91" i="19" a="1"/>
  <c r="BO91" i="19" s="1"/>
  <c r="BP96" i="19" s="1"/>
  <c r="AJ91" i="19" a="1"/>
  <c r="AJ91" i="19" s="1"/>
  <c r="AK96" i="19" s="1"/>
  <c r="BB90" i="19" a="1"/>
  <c r="BB90" i="19" s="1"/>
  <c r="BC95" i="19" s="1"/>
  <c r="BT91" i="19" a="1"/>
  <c r="BT91" i="19" s="1"/>
  <c r="M91" i="19" a="1"/>
  <c r="M91" i="19" s="1"/>
  <c r="N96" i="19" s="1"/>
  <c r="L91" i="19" a="1"/>
  <c r="L91" i="19" s="1"/>
  <c r="M96" i="19" s="1"/>
  <c r="AB90" i="19" a="1"/>
  <c r="AB90" i="19" s="1"/>
  <c r="AC95" i="19" s="1"/>
  <c r="BC90" i="19" a="1"/>
  <c r="BC90" i="19" s="1"/>
  <c r="BD95" i="19" s="1"/>
  <c r="U91" i="19" a="1"/>
  <c r="U91" i="19" s="1"/>
  <c r="V96" i="19" s="1"/>
  <c r="AW90" i="19" a="1"/>
  <c r="AW90" i="19" s="1"/>
  <c r="AX95" i="19" s="1"/>
  <c r="BE91" i="19" a="1"/>
  <c r="BE91" i="19" s="1"/>
  <c r="BF96" i="19" s="1"/>
  <c r="BL91" i="19" a="1"/>
  <c r="BL91" i="19" s="1"/>
  <c r="BM96" i="19" s="1"/>
  <c r="V91" i="19" a="1"/>
  <c r="V91" i="19" s="1"/>
  <c r="W96" i="19" s="1"/>
  <c r="AF90" i="19" a="1"/>
  <c r="AF90" i="19" s="1"/>
  <c r="AH95" i="19" s="1"/>
  <c r="AF91" i="19" a="1"/>
  <c r="AF91" i="19" s="1"/>
  <c r="AH96" i="19" s="1"/>
  <c r="X91" i="19" a="1"/>
  <c r="X91" i="19" s="1"/>
  <c r="Y96" i="19" s="1"/>
  <c r="AA91" i="19" a="1"/>
  <c r="AA91" i="19" s="1"/>
  <c r="AB96" i="19" s="1"/>
  <c r="AA90" i="19" a="1"/>
  <c r="AA90" i="19" s="1"/>
  <c r="AB95" i="19" s="1"/>
  <c r="AO90" i="19" a="1"/>
  <c r="AO90" i="19" s="1"/>
  <c r="AP95" i="19" s="1"/>
  <c r="L90" i="19" a="1"/>
  <c r="L90" i="19" s="1"/>
  <c r="M95" i="19" s="1"/>
  <c r="BR90" i="19" a="1"/>
  <c r="BR90" i="19" s="1"/>
  <c r="BS95" i="19" s="1"/>
  <c r="BQ90" i="19" a="1"/>
  <c r="BQ90" i="19" s="1"/>
  <c r="BR95" i="19" s="1"/>
  <c r="AP90" i="19" a="1"/>
  <c r="AP90" i="19" s="1"/>
  <c r="AQ95" i="19" s="1"/>
  <c r="Q90" i="19" a="1"/>
  <c r="Q90" i="19" s="1"/>
  <c r="R95" i="19" s="1"/>
  <c r="BN91" i="19" a="1"/>
  <c r="BN91" i="19" s="1"/>
  <c r="BO96" i="19" s="1"/>
  <c r="J91" i="19" a="1"/>
  <c r="J91" i="19" s="1"/>
  <c r="K96" i="19" s="1"/>
  <c r="AI91" i="19" a="1"/>
  <c r="AI91" i="19" s="1"/>
  <c r="AJ96" i="19" s="1"/>
  <c r="AT91" i="19" a="1"/>
  <c r="AT91" i="19" s="1"/>
  <c r="AT90" i="19" a="1"/>
  <c r="AT90" i="19" s="1"/>
  <c r="AG87" i="19"/>
  <c r="AG91" i="19" a="1"/>
  <c r="AG91" i="19" s="1"/>
  <c r="T87" i="19"/>
  <c r="CX93" i="45"/>
  <c r="CX77" i="45"/>
  <c r="CX33" i="45"/>
  <c r="CX39" i="45"/>
  <c r="CU94" i="45"/>
  <c r="CX94" i="45"/>
  <c r="CU26" i="45"/>
  <c r="CX26" i="45"/>
  <c r="CU101" i="45"/>
  <c r="CX101" i="45"/>
  <c r="CX13" i="45"/>
  <c r="CU13" i="45"/>
  <c r="CU90" i="45"/>
  <c r="CX90" i="45"/>
  <c r="CX57" i="45"/>
  <c r="CU57" i="45"/>
  <c r="CX88" i="45"/>
  <c r="CU88" i="45"/>
  <c r="CU92" i="45"/>
  <c r="CX92" i="45"/>
  <c r="CX86" i="45"/>
  <c r="CU86" i="45"/>
  <c r="CU85" i="45"/>
  <c r="CX85" i="45"/>
  <c r="CU100" i="45"/>
  <c r="CX100" i="45"/>
  <c r="CU9" i="45"/>
  <c r="CX9" i="45"/>
  <c r="CU25" i="45"/>
  <c r="CX25" i="45"/>
  <c r="CU67" i="45"/>
  <c r="CX67" i="45"/>
  <c r="CX43" i="45"/>
  <c r="CU43" i="45"/>
  <c r="CX95" i="45"/>
  <c r="CU95" i="45"/>
  <c r="CX61" i="45"/>
  <c r="CX45" i="45"/>
  <c r="CU84" i="45"/>
  <c r="CX84" i="45"/>
  <c r="CU11" i="45"/>
  <c r="CX11" i="45"/>
  <c r="CU44" i="45"/>
  <c r="CX44" i="45"/>
  <c r="CU38" i="45"/>
  <c r="CX38" i="45"/>
  <c r="CU99" i="45"/>
  <c r="CX99" i="45"/>
  <c r="CU31" i="45"/>
  <c r="CX31" i="45"/>
  <c r="CU17" i="45"/>
  <c r="CX17" i="45"/>
  <c r="CU106" i="45"/>
  <c r="CX106" i="45"/>
  <c r="CX73" i="45"/>
  <c r="CU73" i="45"/>
  <c r="CX104" i="45"/>
  <c r="CU104" i="45"/>
  <c r="CX72" i="45"/>
  <c r="CU72" i="45"/>
  <c r="CX42" i="45"/>
  <c r="CU42" i="45"/>
  <c r="CX111" i="45"/>
  <c r="CU111" i="45"/>
  <c r="CX35" i="45"/>
  <c r="CU35" i="45"/>
  <c r="CU76" i="45"/>
  <c r="CX76" i="45"/>
  <c r="CX46" i="45"/>
  <c r="CU46" i="45"/>
  <c r="CX49" i="45"/>
  <c r="CU49" i="45"/>
  <c r="CX74" i="45"/>
  <c r="CU74" i="45"/>
  <c r="CX103" i="45"/>
  <c r="CU103" i="45"/>
  <c r="CU59" i="45"/>
  <c r="CX59" i="45"/>
  <c r="CX66" i="45"/>
  <c r="CU66" i="45"/>
  <c r="CX105" i="45"/>
  <c r="CU105" i="45"/>
  <c r="CX41" i="45"/>
  <c r="CU41" i="45"/>
  <c r="CU68" i="45"/>
  <c r="CX68" i="45"/>
  <c r="CX40" i="45"/>
  <c r="CU40" i="45"/>
  <c r="CX20" i="45"/>
  <c r="CU20" i="45"/>
  <c r="CU69" i="45"/>
  <c r="CX69" i="45"/>
  <c r="CU32" i="45"/>
  <c r="CX32" i="45"/>
  <c r="CX62" i="45"/>
  <c r="CU62" i="45"/>
  <c r="CU91" i="45"/>
  <c r="CX91" i="45"/>
  <c r="CX21" i="45"/>
  <c r="CU21" i="45"/>
  <c r="CX98" i="45"/>
  <c r="CU98" i="45"/>
  <c r="CX65" i="45"/>
  <c r="CU65" i="45"/>
  <c r="CX96" i="45"/>
  <c r="CU96" i="45"/>
  <c r="CX64" i="45"/>
  <c r="CU64" i="45"/>
  <c r="CX36" i="45"/>
  <c r="K131" i="45" s="1"/>
  <c r="CU36" i="45"/>
  <c r="CX87" i="45"/>
  <c r="CU87" i="45"/>
  <c r="CU78" i="45"/>
  <c r="CX78" i="45"/>
  <c r="CU60" i="45"/>
  <c r="CX60" i="45"/>
  <c r="CU29" i="45"/>
  <c r="CX29" i="45"/>
  <c r="CU18" i="45"/>
  <c r="CX18" i="45"/>
  <c r="CX79" i="45"/>
  <c r="CU79" i="45"/>
  <c r="CX30" i="45"/>
  <c r="F131" i="45" s="1"/>
  <c r="CU30" i="45"/>
  <c r="CU110" i="45"/>
  <c r="CX110" i="45"/>
  <c r="CU24" i="45"/>
  <c r="CX24" i="45"/>
  <c r="CU83" i="45"/>
  <c r="CX83" i="45"/>
  <c r="CX16" i="45"/>
  <c r="CU16" i="45"/>
  <c r="CX113" i="45"/>
  <c r="CU113" i="45"/>
  <c r="CU53" i="45"/>
  <c r="CX53" i="45"/>
  <c r="CU108" i="45"/>
  <c r="CX108" i="45"/>
  <c r="CX55" i="45"/>
  <c r="CU55" i="45"/>
  <c r="CX50" i="45"/>
  <c r="CU50" i="45"/>
  <c r="CX70" i="45"/>
  <c r="CU70" i="45"/>
  <c r="CU23" i="45"/>
  <c r="CU34" i="45"/>
  <c r="CX37" i="45"/>
  <c r="CU37" i="45"/>
  <c r="CU75" i="45"/>
  <c r="CX75" i="45"/>
  <c r="CU51" i="45"/>
  <c r="CX51" i="45"/>
  <c r="CU54" i="45"/>
  <c r="CX54" i="45"/>
  <c r="CU58" i="45"/>
  <c r="CX58" i="45"/>
  <c r="CU19" i="45"/>
  <c r="CX19" i="45"/>
  <c r="CX102" i="45"/>
  <c r="CU102" i="45"/>
  <c r="CU52" i="45"/>
  <c r="CX52" i="45"/>
  <c r="CX22" i="45"/>
  <c r="CU22" i="45"/>
  <c r="CX89" i="45"/>
  <c r="CU89" i="45"/>
  <c r="CX56" i="45"/>
  <c r="CU56" i="45"/>
  <c r="CX71" i="45"/>
  <c r="CU71" i="45"/>
  <c r="CX97" i="45"/>
  <c r="CU97" i="45"/>
  <c r="CX14" i="45"/>
  <c r="CU14" i="45"/>
  <c r="CU107" i="45"/>
  <c r="CX107" i="45"/>
  <c r="CX63" i="45"/>
  <c r="CU63" i="45"/>
  <c r="CX114" i="45"/>
  <c r="CU114" i="45"/>
  <c r="CX82" i="45"/>
  <c r="CU82" i="45"/>
  <c r="CU12" i="45"/>
  <c r="CX12" i="45"/>
  <c r="CX81" i="45"/>
  <c r="CU81" i="45"/>
  <c r="CX112" i="45"/>
  <c r="CU112" i="45"/>
  <c r="CX80" i="45"/>
  <c r="CU80" i="45"/>
  <c r="CX48" i="45"/>
  <c r="CU48" i="45"/>
  <c r="CU10" i="45"/>
  <c r="CX10" i="45"/>
  <c r="CX47" i="45"/>
  <c r="CU47" i="45"/>
  <c r="CN220" i="3"/>
  <c r="CN128" i="3"/>
  <c r="CN170" i="3"/>
  <c r="CN214" i="3"/>
  <c r="CM215" i="3"/>
  <c r="CN120" i="3"/>
  <c r="CN166" i="3"/>
  <c r="CN210" i="3"/>
  <c r="BU69" i="19"/>
  <c r="BU16" i="19"/>
  <c r="CK239" i="3"/>
  <c r="BV239" i="3"/>
  <c r="BV238" i="3"/>
  <c r="AR238" i="3"/>
  <c r="BG239" i="3"/>
  <c r="CK238" i="3"/>
  <c r="AR239" i="3"/>
  <c r="BG238" i="3"/>
  <c r="AC239" i="3"/>
  <c r="AC238" i="3"/>
  <c r="CM33" i="3"/>
  <c r="CN180" i="3"/>
  <c r="CN17" i="3"/>
  <c r="CN169" i="3"/>
  <c r="CN35" i="3"/>
  <c r="CN63" i="3"/>
  <c r="CN219" i="3"/>
  <c r="CN82" i="3"/>
  <c r="CN130" i="3"/>
  <c r="CN172" i="3"/>
  <c r="CN46" i="3"/>
  <c r="CN15" i="3"/>
  <c r="CN110" i="3"/>
  <c r="CN157" i="3"/>
  <c r="CN203" i="3"/>
  <c r="CN78" i="3"/>
  <c r="CN22" i="3"/>
  <c r="CN113" i="3"/>
  <c r="CN159" i="3"/>
  <c r="CN204" i="3"/>
  <c r="CN55" i="3"/>
  <c r="CN64" i="3"/>
  <c r="CN32" i="3"/>
  <c r="N234" i="3"/>
  <c r="CN123" i="3"/>
  <c r="CN168" i="3"/>
  <c r="CN57" i="3"/>
  <c r="CN30" i="3"/>
  <c r="CN40" i="3"/>
  <c r="CN109" i="3"/>
  <c r="CN156" i="3"/>
  <c r="CN202" i="3"/>
  <c r="CN77" i="3"/>
  <c r="CN21" i="3"/>
  <c r="CN83" i="3"/>
  <c r="CN131" i="3"/>
  <c r="CN173" i="3"/>
  <c r="CN58" i="3"/>
  <c r="CN47" i="3"/>
  <c r="CN18" i="3"/>
  <c r="CN84" i="3"/>
  <c r="CN132" i="3"/>
  <c r="CN174" i="3"/>
  <c r="CN222" i="3"/>
  <c r="CN85" i="3"/>
  <c r="CN96" i="3"/>
  <c r="CN108" i="3"/>
  <c r="CN121" i="3"/>
  <c r="CN133" i="3"/>
  <c r="CN144" i="3"/>
  <c r="CN154" i="3"/>
  <c r="CN167" i="3"/>
  <c r="CN175" i="3"/>
  <c r="CN186" i="3"/>
  <c r="CN199" i="3"/>
  <c r="CN211" i="3"/>
  <c r="CN20" i="3"/>
  <c r="CN146" i="3"/>
  <c r="CN188" i="3"/>
  <c r="CN76" i="3"/>
  <c r="CN41" i="3"/>
  <c r="CN49" i="3"/>
  <c r="CN217" i="3"/>
  <c r="CN118" i="3"/>
  <c r="CN38" i="3"/>
  <c r="CN98" i="3"/>
  <c r="CN189" i="3"/>
  <c r="CN70" i="3"/>
  <c r="CN221" i="3"/>
  <c r="CN107" i="3"/>
  <c r="CN153" i="3"/>
  <c r="CN198" i="3"/>
  <c r="CN44" i="3"/>
  <c r="CN218" i="3"/>
  <c r="CN226" i="3"/>
  <c r="CN90" i="3"/>
  <c r="CN100" i="3"/>
  <c r="CN114" i="3"/>
  <c r="CN129" i="3"/>
  <c r="CN139" i="3"/>
  <c r="CN149" i="3"/>
  <c r="CN160" i="3"/>
  <c r="CN171" i="3"/>
  <c r="CN179" i="3"/>
  <c r="CN191" i="3"/>
  <c r="CN205" i="3"/>
  <c r="CN68" i="3"/>
  <c r="CN52" i="3"/>
  <c r="CN31" i="3"/>
  <c r="CN163" i="3"/>
  <c r="CN208" i="3"/>
  <c r="CN73" i="3"/>
  <c r="CN10" i="3"/>
  <c r="CN147" i="3"/>
  <c r="CN87" i="3"/>
  <c r="CN134" i="3"/>
  <c r="CN176" i="3"/>
  <c r="CN61" i="3"/>
  <c r="CN50" i="3"/>
  <c r="CN12" i="3"/>
  <c r="CN104" i="3"/>
  <c r="CN151" i="3"/>
  <c r="CN193" i="3"/>
  <c r="CN74" i="3"/>
  <c r="CN103" i="3"/>
  <c r="CN150" i="3"/>
  <c r="CN192" i="3"/>
  <c r="CN65" i="3"/>
  <c r="CN25" i="3"/>
  <c r="CN88" i="3"/>
  <c r="CN135" i="3"/>
  <c r="CN177" i="3"/>
  <c r="CN62" i="3"/>
  <c r="CN51" i="3"/>
  <c r="CN89" i="3"/>
  <c r="CN138" i="3"/>
  <c r="CN178" i="3"/>
  <c r="CN48" i="3"/>
  <c r="CN97" i="3"/>
  <c r="CN69" i="3"/>
  <c r="CN164" i="3"/>
  <c r="CN39" i="3"/>
  <c r="CN23" i="3"/>
  <c r="CK53" i="3"/>
  <c r="CK33" i="3"/>
  <c r="CN99" i="3"/>
  <c r="CN148" i="3"/>
  <c r="CN190" i="3"/>
  <c r="CN59" i="3"/>
  <c r="CN67" i="3"/>
  <c r="CN75" i="3"/>
  <c r="CN56" i="3"/>
  <c r="CN24" i="3"/>
  <c r="CN81" i="3"/>
  <c r="CN223" i="3"/>
  <c r="CN212" i="3"/>
  <c r="CN42" i="3"/>
  <c r="CN29" i="3"/>
  <c r="CN94" i="3"/>
  <c r="CN141" i="3"/>
  <c r="CN181" i="3"/>
  <c r="CN66" i="3"/>
  <c r="CN26" i="3"/>
  <c r="CN95" i="3"/>
  <c r="CN143" i="3"/>
  <c r="CN185" i="3"/>
  <c r="CN36" i="3"/>
  <c r="CN19" i="3"/>
  <c r="CN27" i="3"/>
  <c r="CN60" i="3"/>
  <c r="CN37" i="3"/>
  <c r="CN45" i="3"/>
  <c r="CN28" i="3"/>
  <c r="AI116" i="45"/>
  <c r="CS116" i="45"/>
  <c r="AY115" i="45"/>
  <c r="BM116" i="45"/>
  <c r="AX116" i="45"/>
  <c r="CT27" i="45"/>
  <c r="AJ27" i="45"/>
  <c r="AJ120" i="45" s="1" a="1"/>
  <c r="AJ120" i="45" s="1"/>
  <c r="E22" i="64" s="1"/>
  <c r="AJ115" i="45"/>
  <c r="AY27" i="45"/>
  <c r="AY120" i="45" s="1" a="1"/>
  <c r="AY120" i="45" s="1"/>
  <c r="F22" i="64" s="1"/>
  <c r="CN16" i="3"/>
  <c r="BV234" i="3"/>
  <c r="U116" i="45"/>
  <c r="AR234" i="3"/>
  <c r="CN11" i="3"/>
  <c r="BV235" i="3"/>
  <c r="AR235" i="3"/>
  <c r="N235" i="3"/>
  <c r="AC234" i="3"/>
  <c r="AC235" i="3"/>
  <c r="CK234" i="3"/>
  <c r="BG234" i="3"/>
  <c r="CK235" i="3"/>
  <c r="BG235" i="3"/>
  <c r="CK227" i="3"/>
  <c r="CK215" i="3"/>
  <c r="CK79" i="3"/>
  <c r="N13" i="3"/>
  <c r="BV13" i="3"/>
  <c r="BV33" i="3"/>
  <c r="BV53" i="3"/>
  <c r="BV215" i="3"/>
  <c r="N33" i="3"/>
  <c r="N53" i="3"/>
  <c r="BV79" i="3"/>
  <c r="BV227" i="3"/>
  <c r="N215" i="3"/>
  <c r="CM53" i="3"/>
  <c r="BF228" i="3"/>
  <c r="BG33" i="3"/>
  <c r="BG227" i="3"/>
  <c r="AR33" i="3"/>
  <c r="AR79" i="3"/>
  <c r="AC33" i="3"/>
  <c r="AR53" i="3"/>
  <c r="AC79" i="3"/>
  <c r="BG13" i="3"/>
  <c r="BG215" i="3"/>
  <c r="AC227" i="3"/>
  <c r="CM13" i="3"/>
  <c r="BG79" i="3"/>
  <c r="AC13" i="3"/>
  <c r="AC215" i="3"/>
  <c r="AR227" i="3"/>
  <c r="BG53" i="3"/>
  <c r="AC53" i="3"/>
  <c r="N79" i="3"/>
  <c r="AR13" i="3"/>
  <c r="AR215" i="3"/>
  <c r="CL228" i="3"/>
  <c r="N227" i="3"/>
  <c r="AB228" i="3"/>
  <c r="CT116" i="45" l="1"/>
  <c r="J22" i="64"/>
  <c r="D34" i="30" s="1"/>
  <c r="G127" i="45"/>
  <c r="H127" i="45"/>
  <c r="CX121" i="45" a="1"/>
  <c r="CX121" i="45" s="1"/>
  <c r="CX120" i="45" a="1"/>
  <c r="CX120" i="45" s="1"/>
  <c r="AJ121" i="45" a="1"/>
  <c r="AJ121" i="45" s="1"/>
  <c r="E10" i="64" s="1"/>
  <c r="AY121" i="45" a="1"/>
  <c r="AY121" i="45" s="1"/>
  <c r="F10" i="64" s="1"/>
  <c r="F8" i="64" s="1"/>
  <c r="F7" i="64" s="1"/>
  <c r="F128" i="45"/>
  <c r="H131" i="45"/>
  <c r="L131" i="45" s="1"/>
  <c r="J127" i="45"/>
  <c r="K127" i="45"/>
  <c r="I127" i="45"/>
  <c r="F130" i="45"/>
  <c r="F127" i="45"/>
  <c r="K132" i="45"/>
  <c r="BU87" i="19"/>
  <c r="H128" i="45"/>
  <c r="I128" i="45"/>
  <c r="G128" i="45"/>
  <c r="K128" i="45"/>
  <c r="J128" i="45"/>
  <c r="CU115" i="45"/>
  <c r="D122" i="45" s="1"/>
  <c r="CP235" i="3"/>
  <c r="CP234" i="3"/>
  <c r="BT95" i="19"/>
  <c r="I21" i="64" s="1"/>
  <c r="T96" i="19"/>
  <c r="E9" i="64" s="1"/>
  <c r="T95" i="19"/>
  <c r="E21" i="64" s="1"/>
  <c r="E20" i="64" s="1"/>
  <c r="E19" i="64" s="1"/>
  <c r="BG96" i="19"/>
  <c r="AG96" i="19"/>
  <c r="BT96" i="19"/>
  <c r="AG95" i="19"/>
  <c r="F21" i="64" s="1"/>
  <c r="BV90" i="19"/>
  <c r="BV91" i="19"/>
  <c r="AT96" i="19"/>
  <c r="BG95" i="19"/>
  <c r="H21" i="64" s="1"/>
  <c r="AT95" i="19"/>
  <c r="G21" i="64" s="1"/>
  <c r="N239" i="3"/>
  <c r="D9" i="64" s="1"/>
  <c r="N238" i="3"/>
  <c r="D21" i="64" s="1"/>
  <c r="CK228" i="3"/>
  <c r="CN13" i="3"/>
  <c r="D235" i="3" s="1"/>
  <c r="CU27" i="45"/>
  <c r="D121" i="45" s="1"/>
  <c r="AY116" i="45"/>
  <c r="AJ116" i="45"/>
  <c r="BV228" i="3"/>
  <c r="N228" i="3"/>
  <c r="AC228" i="3"/>
  <c r="CN53" i="3"/>
  <c r="D237" i="3" s="1"/>
  <c r="CM228" i="3"/>
  <c r="CN215" i="3"/>
  <c r="D239" i="3" s="1"/>
  <c r="AR228" i="3"/>
  <c r="CN227" i="3"/>
  <c r="D240" i="3" s="1"/>
  <c r="BG228" i="3"/>
  <c r="CN79" i="3"/>
  <c r="D238" i="3" s="1"/>
  <c r="CN33" i="3"/>
  <c r="D236" i="3" s="1"/>
  <c r="H30" i="64" l="1"/>
  <c r="H20" i="64"/>
  <c r="H19" i="64" s="1"/>
  <c r="H29" i="64" s="1"/>
  <c r="F30" i="64"/>
  <c r="F20" i="64"/>
  <c r="F19" i="64" s="1"/>
  <c r="F29" i="64" s="1"/>
  <c r="I30" i="64"/>
  <c r="I20" i="64"/>
  <c r="I19" i="64" s="1"/>
  <c r="I29" i="64" s="1"/>
  <c r="G30" i="64"/>
  <c r="G20" i="64"/>
  <c r="G19" i="64" s="1"/>
  <c r="G29" i="64" s="1"/>
  <c r="J9" i="64"/>
  <c r="D21" i="30" s="1"/>
  <c r="E30" i="64"/>
  <c r="E8" i="64"/>
  <c r="E7" i="64" s="1"/>
  <c r="E29" i="64" s="1"/>
  <c r="J21" i="64"/>
  <c r="D33" i="30" s="1"/>
  <c r="D20" i="64"/>
  <c r="D30" i="64"/>
  <c r="D8" i="64"/>
  <c r="D7" i="64" s="1"/>
  <c r="J10" i="64"/>
  <c r="D22" i="30" s="1"/>
  <c r="D27" i="30"/>
  <c r="D24" i="30"/>
  <c r="CU120" i="45" a="1"/>
  <c r="CU120" i="45" s="1"/>
  <c r="CU121" i="45" a="1"/>
  <c r="CU121" i="45" s="1"/>
  <c r="H132" i="45"/>
  <c r="F132" i="45"/>
  <c r="L130" i="45"/>
  <c r="L132" i="45" s="1"/>
  <c r="K129" i="45"/>
  <c r="K133" i="45" s="1"/>
  <c r="G129" i="45"/>
  <c r="G133" i="45" s="1"/>
  <c r="CP239" i="3"/>
  <c r="J129" i="45"/>
  <c r="J133" i="45" s="1"/>
  <c r="H129" i="45"/>
  <c r="I129" i="45"/>
  <c r="I133" i="45" s="1"/>
  <c r="L128" i="45"/>
  <c r="F129" i="45"/>
  <c r="D123" i="45"/>
  <c r="L127" i="45"/>
  <c r="CP238" i="3"/>
  <c r="BV95" i="19"/>
  <c r="BV96" i="19"/>
  <c r="CU116" i="45"/>
  <c r="CN228" i="3"/>
  <c r="J30" i="64" l="1"/>
  <c r="J8" i="64"/>
  <c r="J7" i="64" s="1"/>
  <c r="D42" i="30"/>
  <c r="J20" i="64"/>
  <c r="D19" i="64"/>
  <c r="J19" i="64" s="1"/>
  <c r="H133" i="45"/>
  <c r="F133" i="45"/>
  <c r="L129" i="45"/>
  <c r="L133" i="45" s="1"/>
  <c r="D29" i="64" l="1"/>
  <c r="J29" i="64" s="1"/>
  <c r="D20" i="30"/>
  <c r="D19" i="30" s="1"/>
  <c r="D32" i="30"/>
  <c r="D31" i="30" s="1"/>
  <c r="D41" i="30" l="1"/>
</calcChain>
</file>

<file path=xl/sharedStrings.xml><?xml version="1.0" encoding="utf-8"?>
<sst xmlns="http://schemas.openxmlformats.org/spreadsheetml/2006/main" count="14284" uniqueCount="2059">
  <si>
    <t>1.</t>
  </si>
  <si>
    <t>Расходы</t>
  </si>
  <si>
    <t>ИТОГО:</t>
  </si>
  <si>
    <t>Роль в проекте</t>
  </si>
  <si>
    <t>Статьи</t>
  </si>
  <si>
    <t>Проезд</t>
  </si>
  <si>
    <t>Проживание в гостинице</t>
  </si>
  <si>
    <t>Аренда квартиры</t>
  </si>
  <si>
    <t>Суточные</t>
  </si>
  <si>
    <t>2.</t>
  </si>
  <si>
    <t>Начало</t>
  </si>
  <si>
    <t>Окончание</t>
  </si>
  <si>
    <t>3.</t>
  </si>
  <si>
    <t>ФИО</t>
  </si>
  <si>
    <t>1</t>
  </si>
  <si>
    <t>2</t>
  </si>
  <si>
    <t>Сумма  с НДС, руб.</t>
  </si>
  <si>
    <t>Итого по этапу №1:</t>
  </si>
  <si>
    <t>2.2</t>
  </si>
  <si>
    <t>СОГЛАСОВАНО:</t>
  </si>
  <si>
    <t>подпись</t>
  </si>
  <si>
    <t>Сумма без НДС, руб.</t>
  </si>
  <si>
    <t>1.1</t>
  </si>
  <si>
    <t>1.2</t>
  </si>
  <si>
    <t>1.3</t>
  </si>
  <si>
    <t>2.1</t>
  </si>
  <si>
    <t>2.3</t>
  </si>
  <si>
    <t>Итого по этапу №2:</t>
  </si>
  <si>
    <t>Итого по этапу №3:</t>
  </si>
  <si>
    <t>Наименование</t>
  </si>
  <si>
    <t>Контрагент</t>
  </si>
  <si>
    <t>4.</t>
  </si>
  <si>
    <t>Бизнес-приложения</t>
  </si>
  <si>
    <t>Руководитель проекта</t>
  </si>
  <si>
    <t xml:space="preserve">Всего </t>
  </si>
  <si>
    <t>Итого по проекту:</t>
  </si>
  <si>
    <t>АСУТП</t>
  </si>
  <si>
    <t>5.</t>
  </si>
  <si>
    <t>6.</t>
  </si>
  <si>
    <t>Примечания:</t>
  </si>
  <si>
    <t>Аналитик</t>
  </si>
  <si>
    <t>Инженер</t>
  </si>
  <si>
    <t>Разработчик</t>
  </si>
  <si>
    <t>Консультант</t>
  </si>
  <si>
    <t>Эксперт</t>
  </si>
  <si>
    <t>Менеджер</t>
  </si>
  <si>
    <t>Старший консультант</t>
  </si>
  <si>
    <t>Ведущий специалист</t>
  </si>
  <si>
    <t>Главный специалист</t>
  </si>
  <si>
    <t xml:space="preserve">Консультант </t>
  </si>
  <si>
    <t>Специалист</t>
  </si>
  <si>
    <t>Руководитель направления</t>
  </si>
  <si>
    <r>
      <t xml:space="preserve">1. Стоимость услуг для проектов АСУТП определяется продуктом проекта и может расчитываться, в том числе, на основе:
а) </t>
    </r>
    <r>
      <rPr>
        <u/>
        <sz val="12"/>
        <rFont val="Calibri"/>
        <family val="2"/>
        <charset val="204"/>
        <scheme val="minor"/>
      </rPr>
      <t>Государственных элементных сметных нормативов на пусконаладочные работы по автоматизированным системам управления (ГЭСНп-2001) или Федеральных единичных расценок на пусконаладочные работы автоматизированных систем управления (ФЕРп-2001 Сборник №2);
б) Справочника базовых цен на разработку технической документации на автоматизированные системы управления технологическими процессами;
в) Федеральных единичных расценок на монтаж приборов, средств автоматизации и вычислительной техники (ФЭРм-2001 Сборник №11) 
г) Сводно-сметного расчета проекта АСУТП;
д) Иным способом в соответствии с  Методикой определения стоимости строительной продукции на территории РФ ( МДС 81-35.2004)</t>
    </r>
  </si>
  <si>
    <t>Трудоемкость
ч/дн</t>
  </si>
  <si>
    <t>В т. ч. выходные
ч/дн</t>
  </si>
  <si>
    <t>В т. ч. выходные
чел/дн</t>
  </si>
  <si>
    <t>П/П</t>
  </si>
  <si>
    <t>К1</t>
  </si>
  <si>
    <t>К2</t>
  </si>
  <si>
    <t>К3</t>
  </si>
  <si>
    <t>К4</t>
  </si>
  <si>
    <t>К5</t>
  </si>
  <si>
    <t>Метрология</t>
  </si>
  <si>
    <t>Ставка за 1 чел/дн (без НДС) руб.*</t>
  </si>
  <si>
    <t xml:space="preserve">Производственный календарь, дней </t>
  </si>
  <si>
    <t>Дополнительные согласующие:</t>
  </si>
  <si>
    <t>Текст, выделенный синим курсивом, является комментарием. Автор документа должен удалить все комментарии и ввести текст, относящийся к данному проекту</t>
  </si>
  <si>
    <t>Детальный ресурсный план</t>
  </si>
  <si>
    <t>От НН-ОЦО:</t>
  </si>
  <si>
    <t>От ГМК НН:</t>
  </si>
  <si>
    <t>Итого по ДРП:</t>
  </si>
  <si>
    <t>Итого по этапу №4:</t>
  </si>
  <si>
    <t>Итого по этапу №5:</t>
  </si>
  <si>
    <t>Итого по этапу №6:</t>
  </si>
  <si>
    <t>Код вида работ (Opex/Capex)</t>
  </si>
  <si>
    <t>Структурное подразделение НН-ОЦО</t>
  </si>
  <si>
    <t>Категория сотрудника</t>
  </si>
  <si>
    <t>Проведение анализа рынка, оценки потенциальных поставщиков и стоимости  услуг по проработке  ИТ-инициативы</t>
  </si>
  <si>
    <t>Разработка, согласование и подписание Детального ресурсного плана на проработку ИТ-иницитивы (на фазы "Инициирование" и "Планирование")</t>
  </si>
  <si>
    <t>Подготовка  Приказа по НН-ОЦО о старте ИТ-инициативы и выделении ресурсов на ИТ-инициативу</t>
  </si>
  <si>
    <t>Организация заведения заявок в системе учета трудозатрат</t>
  </si>
  <si>
    <t>Подготовка комплекта закупочной документации для закупки услуг по проработке ИТ-инициативы</t>
  </si>
  <si>
    <t>Проведение анализа рынка, оценки потенциальных поставщиков и стоимости услуг по реализации ИТ-проекта</t>
  </si>
  <si>
    <t>Разработка и согласование Детального ресурного плана на ИТ-проект (на фазы "Реализация" и "Завершение")</t>
  </si>
  <si>
    <t>Подготовка комплекта закупочной документации для закупки услуг по реализации ИТ-проекта.</t>
  </si>
  <si>
    <t>Подготовка  Приказа по НН-ОЦО о старте ИТ-проекта и выделении ресурсов на ИТ-проект</t>
  </si>
  <si>
    <t>Разработка и настройка системы</t>
  </si>
  <si>
    <t>Проведение испытаний системы в соответствии с требованиями ГОСТ 34, оформление Протоколов/Актов испытаний и реестров замечаний</t>
  </si>
  <si>
    <t>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t>
  </si>
  <si>
    <t>Подготовка к проведению миграции данных (разработка скриптов для выполнения процедуры миграции данных; подготовка массива данных для миграции)</t>
  </si>
  <si>
    <t>Выполнение процедуры миграции данных (запуск процедуры миграции; проверка результатов миграции; оформление протокола миграции)</t>
  </si>
  <si>
    <t>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t>
  </si>
  <si>
    <t>Разработка и согласование комплекта рабочей и эксплуатационной документации в соответствии с требованиями ГОСТ 34*</t>
  </si>
  <si>
    <t xml:space="preserve">Разработка новой или адаптация существующей методологической докуменации, используемой исключительно для целей создания и внедрения системы </t>
  </si>
  <si>
    <t>Разработка методологической документации для целей обучения пользователей к работе с системой (Обучающие материалы и инструкции, Программа обучения)</t>
  </si>
  <si>
    <t xml:space="preserve">Приобретение оборудования </t>
  </si>
  <si>
    <t>Разработка методологических документов общего характера (в том числе, но не ограничиваясь: учетные политики, методики учета и пр.)</t>
  </si>
  <si>
    <t>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t>
  </si>
  <si>
    <t>Проведение работ по осуществлению изменений бизнес-процессов Компании, в том числе, реализация методологии</t>
  </si>
  <si>
    <t>Обучение группы сопровождения и поддержки  (оформление Протокола обучения)</t>
  </si>
  <si>
    <t>Оформление Запроса на поддержку</t>
  </si>
  <si>
    <t>Оформление и подписание  Акта приема-передачи на поддержку</t>
  </si>
  <si>
    <t xml:space="preserve">Передача проектных документов в архив </t>
  </si>
  <si>
    <t>Подготовка и выпуск Приказа по НН-ОЦО о завершении проекта и расформировании проектной команды</t>
  </si>
  <si>
    <t>Закрытие заявок в системе учета трудозатрат</t>
  </si>
  <si>
    <t>Стоимость работ / услуг НН-ОЦО (детализация)</t>
  </si>
  <si>
    <t>О</t>
  </si>
  <si>
    <t>К</t>
  </si>
  <si>
    <t>2. При пересчете стоимости работ из базовых цен (1991, 1995 и 2004 года) используются индексы пересчета и дефляторы устанавливаемые соответствующми службами ГМК НН</t>
  </si>
  <si>
    <t xml:space="preserve">3. Этапы работ по проектам АСУТП определяются жизненным циклом проекта определенным ГОСТ 34.601 -90 "Стадии создания Автоматизированных систем", продуктом проекта и требованиями Градостроительного кодекса.
</t>
  </si>
  <si>
    <t>Сервисная линия</t>
  </si>
  <si>
    <t>Утверждение лимита финансирования на проработку ИТ-инициативы  (на фазы "Инициирование" и "Планирование")</t>
  </si>
  <si>
    <t>Разработка и согласование комплекта документов для ИК/ИПК (Заявка о включении в повестку заседания, Презентация, ПУП, ФЭМ, Бюджет проекта, Паспорт проекта)</t>
  </si>
  <si>
    <t>Защита бюджета и параметров ИТ-проекта  (на фазы "Реализация"и "Завершение")</t>
  </si>
  <si>
    <t>Защита корректировок бюджета и параметров ИТ-проекта по результатам закупочных процедур  (на фазы "Реализация" и "Завершение")</t>
  </si>
  <si>
    <t>Разработка и согласование комплекта документов для ИК/ИПК (Заявка о включении в повестку заседания, Презентация, ПУП,  ФЭМ, Бюджет проекта, Паспорт проекта)</t>
  </si>
  <si>
    <t>Консультационная поддержка пользователей в ходе ОПЭ (оформление Журнала ОПЭ)</t>
  </si>
  <si>
    <t>Постановка системы на бухгалтерский учет, оформление Акта о начале использования НМА</t>
  </si>
  <si>
    <t>Защита корректировок бюджета и параметров ИТ-проекта  (на фазы "Реализация"и "Завершение")</t>
  </si>
  <si>
    <t>Принятие решения о закрытии проекта</t>
  </si>
  <si>
    <t>Актуализация и согласование  документации по проекту по результатам закупочных процедур (включая: Детальный ресурный план,  Реестр рисков, Требования ИБ, План технической инфраструктуры, ФТТ, Реестр точек интеграции, Требования к разработке)</t>
  </si>
  <si>
    <t>Проведение закупки, Экспертиза предложений  потенциальных поставщиков услуг по проработке ИТ-инициативы и подготовка экспертных заключений в рамках проведения закупочных процедур</t>
  </si>
  <si>
    <t>13.4.10</t>
  </si>
  <si>
    <t>13.4.11</t>
  </si>
  <si>
    <t>13.4.12</t>
  </si>
  <si>
    <t>13.4.13</t>
  </si>
  <si>
    <t>13.5.10</t>
  </si>
  <si>
    <t>13.5.11</t>
  </si>
  <si>
    <t>13.5.12</t>
  </si>
  <si>
    <t>13.5.13</t>
  </si>
  <si>
    <t>13.5.14</t>
  </si>
  <si>
    <t>13.5.15</t>
  </si>
  <si>
    <t>13.5.16</t>
  </si>
  <si>
    <t>13.5.17</t>
  </si>
  <si>
    <t>13.5.18</t>
  </si>
  <si>
    <t>13.5.19</t>
  </si>
  <si>
    <t>13.5.20</t>
  </si>
  <si>
    <t>13.5.21</t>
  </si>
  <si>
    <t>13.5.22</t>
  </si>
  <si>
    <t>13.5.23</t>
  </si>
  <si>
    <t>13.5.24</t>
  </si>
  <si>
    <t>13.5.25</t>
  </si>
  <si>
    <t>13.5.26</t>
  </si>
  <si>
    <t>13.5.27</t>
  </si>
  <si>
    <t>13.5.28</t>
  </si>
  <si>
    <t>13.5.29</t>
  </si>
  <si>
    <t>13.5.30</t>
  </si>
  <si>
    <t>13.5.34</t>
  </si>
  <si>
    <t>13.5.35</t>
  </si>
  <si>
    <t>13.5.36</t>
  </si>
  <si>
    <t>13.5.37</t>
  </si>
  <si>
    <t>13.5.38</t>
  </si>
  <si>
    <t>13.5.39</t>
  </si>
  <si>
    <t>13.5.40</t>
  </si>
  <si>
    <t>13.5.41</t>
  </si>
  <si>
    <t>13.5.42</t>
  </si>
  <si>
    <t>13.5.43</t>
  </si>
  <si>
    <t>13.5.44</t>
  </si>
  <si>
    <t>13.5.45</t>
  </si>
  <si>
    <t>13.5.46</t>
  </si>
  <si>
    <t>13.5.47</t>
  </si>
  <si>
    <t>13.5.48</t>
  </si>
  <si>
    <t>13.5.49</t>
  </si>
  <si>
    <t>13.5.50</t>
  </si>
  <si>
    <t>Производственный Персонал ГО</t>
  </si>
  <si>
    <t>Контур</t>
  </si>
  <si>
    <t>Бизнес-направление</t>
  </si>
  <si>
    <t>Функциональное Направление</t>
  </si>
  <si>
    <t>Сервисная линия Заказчика</t>
  </si>
  <si>
    <t>№ Проекта</t>
  </si>
  <si>
    <t>Должность</t>
  </si>
  <si>
    <t>Офис</t>
  </si>
  <si>
    <t>АСУП</t>
  </si>
  <si>
    <t>Внедрение систем управления персоналом</t>
  </si>
  <si>
    <t>Руководитель СЛ</t>
  </si>
  <si>
    <t>Корнейчук Василий Александрович</t>
  </si>
  <si>
    <t>Москва</t>
  </si>
  <si>
    <t>Проектная деятельность</t>
  </si>
  <si>
    <t>14-65</t>
  </si>
  <si>
    <t>Мишин Алексей Александрович</t>
  </si>
  <si>
    <t>14-66</t>
  </si>
  <si>
    <t>Старший менеджер</t>
  </si>
  <si>
    <t>Шевченко Игорь Олегович</t>
  </si>
  <si>
    <t>Ведущий консультант</t>
  </si>
  <si>
    <t>Беляков Евгений Александрович</t>
  </si>
  <si>
    <t>Денисов Сергей Вячеславович</t>
  </si>
  <si>
    <t>Картежников Денис Анатольевич</t>
  </si>
  <si>
    <t>Серопегин Дмитрий Андреевич</t>
  </si>
  <si>
    <t>14-84</t>
  </si>
  <si>
    <t>Старший руководитель проектов</t>
  </si>
  <si>
    <t>Войтецкий Тимур Игоревич</t>
  </si>
  <si>
    <t>Вакансия</t>
  </si>
  <si>
    <t>Хусаинова Таина Евгеньевна</t>
  </si>
  <si>
    <t>Лукашев Ярослав Александрович</t>
  </si>
  <si>
    <t>Козлов Евгений Владимирович</t>
  </si>
  <si>
    <t>Спинул Андрей Анатольевич</t>
  </si>
  <si>
    <t>Лихачева Ольга Николаевна</t>
  </si>
  <si>
    <t>Жемерикин Антон Валерьевич</t>
  </si>
  <si>
    <t>Менеджер проектов</t>
  </si>
  <si>
    <t>Некрасов Валерий Сергеевич</t>
  </si>
  <si>
    <t>Лопатина Елена Александровна</t>
  </si>
  <si>
    <t>Сычева Валентина Владимировна</t>
  </si>
  <si>
    <t>Сопровождение систем управления персоналом</t>
  </si>
  <si>
    <t>Петрова Галина Федоровна</t>
  </si>
  <si>
    <t>Тарасенко Геннадий Андреевич</t>
  </si>
  <si>
    <t>Ломжа Елена Владимировна</t>
  </si>
  <si>
    <t>Широков Сергей Львович</t>
  </si>
  <si>
    <t>Мирошник Вадим Иванович</t>
  </si>
  <si>
    <t>Перелыгина Елена Викторовна</t>
  </si>
  <si>
    <t>Рожков Андрей Александрович</t>
  </si>
  <si>
    <t>Саратов</t>
  </si>
  <si>
    <t>Мурашко Анастасия Игоревна</t>
  </si>
  <si>
    <t>Полеводов Иван Петрович</t>
  </si>
  <si>
    <t>Балобашин Евгений Владимирович</t>
  </si>
  <si>
    <t>Кузьмичева Светлана Викторовна</t>
  </si>
  <si>
    <t>Дмитриев Николай Владимирович</t>
  </si>
  <si>
    <t>Полицеймако Александр Николаевич</t>
  </si>
  <si>
    <t>Шварц Елена Сергеевна</t>
  </si>
  <si>
    <t>Чепель Евгений Сергеевич</t>
  </si>
  <si>
    <t>Корпоративная система 1С</t>
  </si>
  <si>
    <t>14-64</t>
  </si>
  <si>
    <t>Селиванов Артем Евгеньевич</t>
  </si>
  <si>
    <t>Архитектор</t>
  </si>
  <si>
    <t>Иванов Евгений Юрьевич</t>
  </si>
  <si>
    <t>Леликова Мария Владимировна</t>
  </si>
  <si>
    <t>Богомолов Александр Сергеевич</t>
  </si>
  <si>
    <t>Твердохлебова Мария Алексеевна</t>
  </si>
  <si>
    <t>Волкодав Екатерина Викторовна</t>
  </si>
  <si>
    <t>Чегин Денис Вячеславович</t>
  </si>
  <si>
    <t>Миллер Константин Александрович</t>
  </si>
  <si>
    <t>Артеменко Наталья Валерьевна</t>
  </si>
  <si>
    <t>ведущий консультант</t>
  </si>
  <si>
    <t>Никитин Степан Юрьевич</t>
  </si>
  <si>
    <t xml:space="preserve"> Ведущий консультант</t>
  </si>
  <si>
    <t>Путелис Константин Николаевич</t>
  </si>
  <si>
    <t>Дубко Сергей Николаевич</t>
  </si>
  <si>
    <t>Нагорная Виктория Андреевна</t>
  </si>
  <si>
    <t>Финенков Сергей Михайлович</t>
  </si>
  <si>
    <t>Апанель Валерия Петровна</t>
  </si>
  <si>
    <t>Полуротов Сергей Сергеевич</t>
  </si>
  <si>
    <t>Глазунов Кирилл Игоревич</t>
  </si>
  <si>
    <t>Гимадеева Лиана Шамильевна</t>
  </si>
  <si>
    <t>Асташева Ольга Владимировна</t>
  </si>
  <si>
    <t>Норильск</t>
  </si>
  <si>
    <t>И3938</t>
  </si>
  <si>
    <t>Малахов Антон Александрович</t>
  </si>
  <si>
    <t>Елисеев Владимир Викторович</t>
  </si>
  <si>
    <t>Корпоративная система SAP</t>
  </si>
  <si>
    <t>14-03</t>
  </si>
  <si>
    <t>Сысуев Андрей Олегович</t>
  </si>
  <si>
    <t>14-61</t>
  </si>
  <si>
    <t>БСКЛ</t>
  </si>
  <si>
    <t>Корчемлюк Денис Александрович</t>
  </si>
  <si>
    <t>Пименов Сергей Владимирович</t>
  </si>
  <si>
    <t>Малиновский Вадим Олегович</t>
  </si>
  <si>
    <t>Шинкаревич Алексей Сергеевич</t>
  </si>
  <si>
    <t>Юсупов Тимур Ансарович</t>
  </si>
  <si>
    <t>Карсанин Василий Константинович</t>
  </si>
  <si>
    <t>Жулев Дмитрий Игоревич</t>
  </si>
  <si>
    <t>Оржебовский Валентин Константинович</t>
  </si>
  <si>
    <t>Илларионов Артем Романович</t>
  </si>
  <si>
    <t>14-11</t>
  </si>
  <si>
    <t>Бороева Лариса Вадимовна</t>
  </si>
  <si>
    <t>Шабалина Ольга Александровна</t>
  </si>
  <si>
    <t>Бегишева Елена Борисовна</t>
  </si>
  <si>
    <t>Савин Сергей Сергеевич</t>
  </si>
  <si>
    <t>Грачев Михаил Константинович</t>
  </si>
  <si>
    <t>Сапего Дмитрий Сергеевич</t>
  </si>
  <si>
    <t>Внедрение кор системы SAP</t>
  </si>
  <si>
    <t>Зайцев Евгений Павлович</t>
  </si>
  <si>
    <t>Хмель Игорь Анатольевич</t>
  </si>
  <si>
    <t>Звейник Екатерина Владимировна</t>
  </si>
  <si>
    <t>Храмова Евгения Александровна</t>
  </si>
  <si>
    <t>Классен Евгений Викторович</t>
  </si>
  <si>
    <t>Смирнова Елена Юрьевна</t>
  </si>
  <si>
    <t>Сидоров Анатолий Олегович</t>
  </si>
  <si>
    <t>Кузьмийчук Владимир Кузьмич</t>
  </si>
  <si>
    <t>Портнова Александра Сергеевна</t>
  </si>
  <si>
    <t>Черанева Юлия Сергеевна</t>
  </si>
  <si>
    <t>Кругликов Владимир Геннадьевич</t>
  </si>
  <si>
    <t>Абдрашитов Дмитрий Валерьевич</t>
  </si>
  <si>
    <t>Каримов Андрей Александрович</t>
  </si>
  <si>
    <t>Царева Ангелина Надариевна</t>
  </si>
  <si>
    <t>Руководитель группы проектов</t>
  </si>
  <si>
    <t>Лебедев Дмитрий Борисович</t>
  </si>
  <si>
    <t>Ведущий программист</t>
  </si>
  <si>
    <t>Галкин Николай Георгиевич</t>
  </si>
  <si>
    <t>Карпичков Дмитрий Борисович</t>
  </si>
  <si>
    <t>Скрыпниченко Виктор Владимирович</t>
  </si>
  <si>
    <t>Макаров Алексей Сергеевич</t>
  </si>
  <si>
    <t>Большакова Александра Алексеевна</t>
  </si>
  <si>
    <t>Вейснер Олеся Антоновна</t>
  </si>
  <si>
    <t>Трусов Дмитрий Сергеевич</t>
  </si>
  <si>
    <t>Копанчук Владимир Яковлевич</t>
  </si>
  <si>
    <t>Урываев Антон Николаевич</t>
  </si>
  <si>
    <t>Подгайченко Анна Валерьевна</t>
  </si>
  <si>
    <t>Панкин Александр Владимирович</t>
  </si>
  <si>
    <t>Махин Владимир Анатольевич</t>
  </si>
  <si>
    <t>Леонов Илья Сергеевич</t>
  </si>
  <si>
    <t>Шейпакова Надежда Борисовна</t>
  </si>
  <si>
    <t>Инвестиции и кап строительство</t>
  </si>
  <si>
    <t>Клыпа Сергей Николаевич</t>
  </si>
  <si>
    <t>Лукьянов Илья Александрович</t>
  </si>
  <si>
    <t>Поляков Алексей Юрьевич</t>
  </si>
  <si>
    <t>Христич Мария Андреевна</t>
  </si>
  <si>
    <t>Евдокименко Андрей Александрович</t>
  </si>
  <si>
    <t>Жиренкина Татьяна Вячеславовна</t>
  </si>
  <si>
    <t>Дорогобид Мария Михайловна</t>
  </si>
  <si>
    <t>Мирошин Игорь Иванович</t>
  </si>
  <si>
    <t>Сервис-менеджер</t>
  </si>
  <si>
    <t>Производство и ТОиР</t>
  </si>
  <si>
    <t>Фимушин Андрей Викторович</t>
  </si>
  <si>
    <t>Филипченко Александр Васильевич</t>
  </si>
  <si>
    <t>Пилипенко Елена Михайловна</t>
  </si>
  <si>
    <t>Черкасов Роман Иванович</t>
  </si>
  <si>
    <t>Кузякин Андрей Геннадьевич</t>
  </si>
  <si>
    <t>Бондаренко Инна Александровна</t>
  </si>
  <si>
    <t>Гречишников Петр Николаевич</t>
  </si>
  <si>
    <t>Евдокимов Виталий Валерьевич</t>
  </si>
  <si>
    <t>Сонц Андрей Владимирович</t>
  </si>
  <si>
    <t>Герасименко Алексей Вячеславович</t>
  </si>
  <si>
    <t>Кравцова Мария Викторона</t>
  </si>
  <si>
    <t>Лейнвебер Данил Федорович</t>
  </si>
  <si>
    <t>Сопровождение кор системы SAP</t>
  </si>
  <si>
    <t>Потанин Александр Сергеевич</t>
  </si>
  <si>
    <t>Дубовик Юлия Викторовна</t>
  </si>
  <si>
    <t>Летягин Николай Леонидович</t>
  </si>
  <si>
    <t>Курбанова Анна Николаевна</t>
  </si>
  <si>
    <t>Поляков Алексей Васильевич</t>
  </si>
  <si>
    <t>Залесская Екатерина Евгеньевна</t>
  </si>
  <si>
    <t>Главатских Анна Николаевна</t>
  </si>
  <si>
    <t>Косарев Александр Александрович</t>
  </si>
  <si>
    <t>Кашубина Анастасия Андреевна</t>
  </si>
  <si>
    <t>Колобаева Ирина Викторовна</t>
  </si>
  <si>
    <t>Окатьева Татьяна Борисовна</t>
  </si>
  <si>
    <t>Клеменов Станислав Николаевич</t>
  </si>
  <si>
    <t>Бойков Владимир Александрович</t>
  </si>
  <si>
    <t>Стажер</t>
  </si>
  <si>
    <t>Хисматуллин Ислам Иршатович</t>
  </si>
  <si>
    <t>Штофич Ярослав Сергеевич</t>
  </si>
  <si>
    <t>Бирюков Михаил Сергеевич</t>
  </si>
  <si>
    <t>Вытыщенкова Алина Андреевна</t>
  </si>
  <si>
    <t>Колесникова Екатерина Юрьевна</t>
  </si>
  <si>
    <t>Степин Даниил Геннадьевич</t>
  </si>
  <si>
    <t>Тимофеев Егор Александрович</t>
  </si>
  <si>
    <t>Бузинова Ксения Олеговна</t>
  </si>
  <si>
    <t>Гарифуллин Эдуард Азатович</t>
  </si>
  <si>
    <t>Лазарев Артур Викторович</t>
  </si>
  <si>
    <t>Лазарев Вячеслав Викторович</t>
  </si>
  <si>
    <t>Трофимова Виктория Вячеславовна</t>
  </si>
  <si>
    <t>Эшенкулов Даурен Айнурович</t>
  </si>
  <si>
    <t>Щербатых Анна Владимировна</t>
  </si>
  <si>
    <t>Коретников Григорий Павлович</t>
  </si>
  <si>
    <t>Толмачев Михаил Николаевич</t>
  </si>
  <si>
    <t>Цветкова Мария Витальевна</t>
  </si>
  <si>
    <t>Кириченко Анна Александровна</t>
  </si>
  <si>
    <t>Курбанов Эльдар Бахтиярович</t>
  </si>
  <si>
    <t>Елутина Елизавета Валерьевна</t>
  </si>
  <si>
    <t>Ануфриев Анатолий Сергеевич</t>
  </si>
  <si>
    <t>Новикова Ольга Геннадиевна</t>
  </si>
  <si>
    <t>Курчанова Ирина Валерьевна</t>
  </si>
  <si>
    <t>Кузнецов Никита Сергеевич</t>
  </si>
  <si>
    <t>Ткаченко Андрей Александрович</t>
  </si>
  <si>
    <t>Медведев Денис Сергеевич</t>
  </si>
  <si>
    <t>Шаров Дмитрий Владимирович</t>
  </si>
  <si>
    <t>Мончегорск</t>
  </si>
  <si>
    <t>Даньшина Юлия Андреевна</t>
  </si>
  <si>
    <t>Гоглев Александр Сергеевич</t>
  </si>
  <si>
    <t>Волкова Виолетта Евгеньевна</t>
  </si>
  <si>
    <t>Целиков Михаил Георгиевич</t>
  </si>
  <si>
    <t>Усков Андрей Андреевич</t>
  </si>
  <si>
    <t>Трещеткин Михаил Олегович</t>
  </si>
  <si>
    <t>Самусев Виктор Игоревич</t>
  </si>
  <si>
    <t>Пьяных Светлана Викторовна</t>
  </si>
  <si>
    <t>Петренко Сергей Валерьевич</t>
  </si>
  <si>
    <t>Михайлова Анастасия Германовна</t>
  </si>
  <si>
    <t>Лопатина Инна Дмитриевна</t>
  </si>
  <si>
    <t>Кочубейник Антон Анатольевич</t>
  </si>
  <si>
    <t>Чернявская Екатерина Сергеевна</t>
  </si>
  <si>
    <t>Пилипчук Анастасия Николаевна</t>
  </si>
  <si>
    <t>Сечин Михаил Александрович</t>
  </si>
  <si>
    <t>Тушин Дмитрий Сергеевич</t>
  </si>
  <si>
    <t>Главный эксперт</t>
  </si>
  <si>
    <t>Экономика и Финансы</t>
  </si>
  <si>
    <t>Захарова Марина Александровна</t>
  </si>
  <si>
    <t>Коробцов Вениамин Владимирович</t>
  </si>
  <si>
    <t>Томашук Владимир Леонидович</t>
  </si>
  <si>
    <t>Садеев Марсель Маратович</t>
  </si>
  <si>
    <t>Ахлестин Константин Серафимович</t>
  </si>
  <si>
    <t>Ким Вячеслав Эдуардович</t>
  </si>
  <si>
    <t>Князькин Антон Сергеевич</t>
  </si>
  <si>
    <t>Михнин Алексей Алексеевич</t>
  </si>
  <si>
    <t>Овчаров Олег Николаевич</t>
  </si>
  <si>
    <t>Крутоголов Сергей Владимирович</t>
  </si>
  <si>
    <t>Никандрова Евгения Александровна</t>
  </si>
  <si>
    <t>Позмогов Фрол Евгеньевич</t>
  </si>
  <si>
    <t>Юрьева Ирина Сергеевна</t>
  </si>
  <si>
    <t>Иванова Ольга Николаевна</t>
  </si>
  <si>
    <t>Дианов Андрей Геннадиевич</t>
  </si>
  <si>
    <t>Сараев Антон Сергеевич</t>
  </si>
  <si>
    <t>Хасанова Алия Кеулимжаевна</t>
  </si>
  <si>
    <t>Манюшко Татьяна Александровна</t>
  </si>
  <si>
    <t>Пестов Артемий Борисович</t>
  </si>
  <si>
    <t>Матренин Александр Анатольевич</t>
  </si>
  <si>
    <t>Улитин Артем Александрович</t>
  </si>
  <si>
    <t>Бошкова Ксения Игоревна</t>
  </si>
  <si>
    <t>Лаврова Анастасия Андреевна</t>
  </si>
  <si>
    <t>Алмоян Ирина Ильинична</t>
  </si>
  <si>
    <t>Корпоративные системы управления документами, ЭА и порталы</t>
  </si>
  <si>
    <t>Руководитель СЛ Корпоративные системы управления документами, ЭА и порталы</t>
  </si>
  <si>
    <t>КСУД, ЭП и ЭА</t>
  </si>
  <si>
    <t>Петросова Каринэ Игоревна</t>
  </si>
  <si>
    <t>Разиньков Алексей Иванович</t>
  </si>
  <si>
    <t>Портальные решения</t>
  </si>
  <si>
    <t>Мардарь Ирина Андреевна</t>
  </si>
  <si>
    <t>14-29</t>
  </si>
  <si>
    <t>Сиднева Юлия Евгеньевна</t>
  </si>
  <si>
    <t>Заместитель руководителя направления</t>
  </si>
  <si>
    <t>Дулатова Эльмира Халимовна</t>
  </si>
  <si>
    <t>Тарасов Максим Николаевич</t>
  </si>
  <si>
    <t>Ибрагимов Альберт Вячеславович</t>
  </si>
  <si>
    <t>Шабанов Павел Сергеевич</t>
  </si>
  <si>
    <t>Старший Консультант</t>
  </si>
  <si>
    <t>Нусратуллин Ренат Гафуриевич</t>
  </si>
  <si>
    <t>Антипов Филипп Сергеевич</t>
  </si>
  <si>
    <t>Пожидаева Анна Андреевна</t>
  </si>
  <si>
    <t>Ягудин Станислав Анатольевич</t>
  </si>
  <si>
    <t>Яскевич Александр Викторович</t>
  </si>
  <si>
    <t>Гежа Алена Валерьевна</t>
  </si>
  <si>
    <t>Руководитель направления Электронные архивы</t>
  </si>
  <si>
    <t>14-74</t>
  </si>
  <si>
    <t>Сланов Константин Дмитриевич</t>
  </si>
  <si>
    <t>Системы управления документами</t>
  </si>
  <si>
    <t>Гусев Александр Александрович</t>
  </si>
  <si>
    <t>Ведущий Консультант</t>
  </si>
  <si>
    <t>Юрташкин Василий Юрьевич</t>
  </si>
  <si>
    <t>Бакулина Ольга Вячеславовна</t>
  </si>
  <si>
    <t>Гаранина Галина Геннадиевна</t>
  </si>
  <si>
    <t>Кузнеченкова Дарья Сергеевна</t>
  </si>
  <si>
    <t>Федоров-Аверкин Денис Александрович</t>
  </si>
  <si>
    <t>Никишов Станислав Вячеславович</t>
  </si>
  <si>
    <t>Бочкарев Максим Андреевич</t>
  </si>
  <si>
    <t>Электронные архивы</t>
  </si>
  <si>
    <t>Платонов Игорь Анатольевич</t>
  </si>
  <si>
    <t>Назаров Артём Леонидович</t>
  </si>
  <si>
    <t>Кунцевич Александр Викторович</t>
  </si>
  <si>
    <t>Буравлева Дарья Сергеевна</t>
  </si>
  <si>
    <t>Андреев Денис Иванович</t>
  </si>
  <si>
    <t>Кулявцев Алексей Александрович</t>
  </si>
  <si>
    <t>Прикладные информ системы</t>
  </si>
  <si>
    <t>Руководитель СЛ Прикладные информ системы</t>
  </si>
  <si>
    <t>Прикладные информационные системы</t>
  </si>
  <si>
    <t>Самсонов Анатолий Анатольевич</t>
  </si>
  <si>
    <t>Руководитель Программы Сервисов СЛ Прикладные информ системы</t>
  </si>
  <si>
    <t>Руководитель программы сервисов</t>
  </si>
  <si>
    <t>Иванова Ирина Юрьевна</t>
  </si>
  <si>
    <t>Руководитель направления Поддержка корпоративных ИС</t>
  </si>
  <si>
    <t>Казаков Сергей Анатольевич</t>
  </si>
  <si>
    <t>Поддержка корпоративных ИС</t>
  </si>
  <si>
    <t>Пименов Владимир Викторович</t>
  </si>
  <si>
    <t>Портфельный менеджер</t>
  </si>
  <si>
    <t>Нестеренко Владимир Эдуардович</t>
  </si>
  <si>
    <t>Астахов Роман Владимирович</t>
  </si>
  <si>
    <t>Кунгурцев Петр Юрьевич</t>
  </si>
  <si>
    <t>Обушенкова Анна Ивановна</t>
  </si>
  <si>
    <t>Степанова Евгения Владимировна</t>
  </si>
  <si>
    <t>1-03</t>
  </si>
  <si>
    <t>Грицаенко Игорь Сергеевич</t>
  </si>
  <si>
    <t>Общее про-во НН-ОЦО</t>
  </si>
  <si>
    <t>Журавлева Ирина Владимировна</t>
  </si>
  <si>
    <t>Управление корпоративными данными</t>
  </si>
  <si>
    <t>Руководитель СЛ Управление корпоративными данными</t>
  </si>
  <si>
    <t>Старостин Дмитрий Ефимович</t>
  </si>
  <si>
    <t>КХД, корп. отчетность</t>
  </si>
  <si>
    <t>14-53</t>
  </si>
  <si>
    <t>Климовских Евгений Михайлович</t>
  </si>
  <si>
    <t>14-02</t>
  </si>
  <si>
    <t>Снегов Юрий Викторович</t>
  </si>
  <si>
    <t>14-54</t>
  </si>
  <si>
    <t>Лобов Максим Валерьевич</t>
  </si>
  <si>
    <t xml:space="preserve">Эксперт </t>
  </si>
  <si>
    <t>Рожков Александр Сергеевич</t>
  </si>
  <si>
    <t>Грибанов Григорий Александрович</t>
  </si>
  <si>
    <t>Мелихов Роман Юрьевич</t>
  </si>
  <si>
    <t>Якушев Алексей Олегович</t>
  </si>
  <si>
    <t>14-57</t>
  </si>
  <si>
    <t>Фадеев Алексей Владимирович</t>
  </si>
  <si>
    <t>Путков Андрей Викторович</t>
  </si>
  <si>
    <t>Боронникова Татьяна Александровна</t>
  </si>
  <si>
    <t>Карасева Анна Юрьевна</t>
  </si>
  <si>
    <t>Колобин Кирилл Николаевич</t>
  </si>
  <si>
    <t>Макарьянц Екатерина Сергеевна</t>
  </si>
  <si>
    <t>Шарчилева Екатерина Владимировна</t>
  </si>
  <si>
    <t>Трунаева Надежда Александровна</t>
  </si>
  <si>
    <t>Костюченко Сергей Владимирович</t>
  </si>
  <si>
    <t>Лебедев Денис Николаевич</t>
  </si>
  <si>
    <t>Каменев Михаил Юрьевич</t>
  </si>
  <si>
    <t>Юсупов Владимир Маратович</t>
  </si>
  <si>
    <t>14-60</t>
  </si>
  <si>
    <t>Куприянов Владимир Александрович</t>
  </si>
  <si>
    <t>Дьяченко Анна Александровна</t>
  </si>
  <si>
    <t>Лысых Павел Сергеевич</t>
  </si>
  <si>
    <t>Калашников Никита Юрьевич</t>
  </si>
  <si>
    <t>Колчина Валерия Алексанлровна</t>
  </si>
  <si>
    <t>Воеводин Иван Сергеевич</t>
  </si>
  <si>
    <t>Мулдагалиев Жанбулат Серикович</t>
  </si>
  <si>
    <t>Кочергин Сергей Петрович</t>
  </si>
  <si>
    <t>Павлов Дмитрий Владимирович</t>
  </si>
  <si>
    <t>Черных Наталья Алексеевна</t>
  </si>
  <si>
    <t>Жигалина Ирина Валерьевна</t>
  </si>
  <si>
    <t>15-02</t>
  </si>
  <si>
    <t>Карасёва Мария Викторовна</t>
  </si>
  <si>
    <t>Дмитриева Ольга Павловна</t>
  </si>
  <si>
    <t>Королева Анна Сергеевна</t>
  </si>
  <si>
    <t>Администратор проекта</t>
  </si>
  <si>
    <t>Корюшкин Михаил Сергеевич</t>
  </si>
  <si>
    <t>Полторецкая Юлия Владимировна</t>
  </si>
  <si>
    <t>Ширманова Дина Алексеевна</t>
  </si>
  <si>
    <t>Старший специалист</t>
  </si>
  <si>
    <t>Межсистемная интеграция</t>
  </si>
  <si>
    <t>Лукашевич Алексей Олегович</t>
  </si>
  <si>
    <t>Сивобород Олег Валериевич</t>
  </si>
  <si>
    <t>Фокин Владислав Максимович</t>
  </si>
  <si>
    <t>Щепотьев Николай Николаевич</t>
  </si>
  <si>
    <t>Афонин Вячеслав Сергеевич</t>
  </si>
  <si>
    <t>ПиБ, управление эффективностью</t>
  </si>
  <si>
    <t>Никульшин Алексей Васильевич</t>
  </si>
  <si>
    <t>15-06</t>
  </si>
  <si>
    <t>Потапова Вероника Валерьевна</t>
  </si>
  <si>
    <t>Скачкова Марина Юрьевна</t>
  </si>
  <si>
    <t>Тихонова Марина Владимировна</t>
  </si>
  <si>
    <t>Обищенко Елена Сергеевна</t>
  </si>
  <si>
    <t>Козлова Елена Викторовна</t>
  </si>
  <si>
    <t>Жданов Дмитрий Юрьевич</t>
  </si>
  <si>
    <t>Поддержка ИАС КУДС</t>
  </si>
  <si>
    <t>Чернышев Алексей Анатольевич</t>
  </si>
  <si>
    <t>Григорьева Галина Владимировна</t>
  </si>
  <si>
    <t>Антипаева Елена Николаевна</t>
  </si>
  <si>
    <t xml:space="preserve">Главный специалист </t>
  </si>
  <si>
    <t>Бельченко Наталья Викторовна</t>
  </si>
  <si>
    <t>Маевская Юлия Альфредовна</t>
  </si>
  <si>
    <t>Маркина Марина Валентиновна</t>
  </si>
  <si>
    <t>Белобородова Елена Викторовна</t>
  </si>
  <si>
    <t>Сигачев Сергей Николаевич</t>
  </si>
  <si>
    <t>Цуканова Наталия Лазаревна</t>
  </si>
  <si>
    <t>Уваров Дмитрий Владиславович</t>
  </si>
  <si>
    <t>Проскурин Сергей Анатольевич</t>
  </si>
  <si>
    <t>Панков Владимир Николаевич</t>
  </si>
  <si>
    <t>Покропивный Николай Евгеньевич</t>
  </si>
  <si>
    <t>Кан Ия Алексеевна</t>
  </si>
  <si>
    <t>Федосеева Татьяна Владимировна</t>
  </si>
  <si>
    <t>Лаишевцева Ирина Александровна</t>
  </si>
  <si>
    <t>Бормотов Владислав Юрьевич</t>
  </si>
  <si>
    <t>Янушевская Алла Павловна</t>
  </si>
  <si>
    <t>Лукьянов Александр Вячеславович</t>
  </si>
  <si>
    <t>Каплина Ксения Николаевна</t>
  </si>
  <si>
    <t>Грибов Василий Васильевич</t>
  </si>
  <si>
    <t>Поддержка НСИ</t>
  </si>
  <si>
    <t>Лобанов Павел Андреевич</t>
  </si>
  <si>
    <t>Нигметова Алия Аскаровна</t>
  </si>
  <si>
    <t>Фёдорова Ольга Васильевна</t>
  </si>
  <si>
    <t>Кручинкин Георгий Михайлович</t>
  </si>
  <si>
    <t>Вишняков Владислав Викторович</t>
  </si>
  <si>
    <t>Ребрун Владислав Юрьевич</t>
  </si>
  <si>
    <t>Мурзагалиев Ержан Хамидуллович</t>
  </si>
  <si>
    <t>Цыплаков Владимир Валентинович</t>
  </si>
  <si>
    <t>14-68</t>
  </si>
  <si>
    <t>Громобоев Владимир Олегович</t>
  </si>
  <si>
    <t>Прокофьев Николай Сергеевич</t>
  </si>
  <si>
    <t>Минвалиев Антон Викторович</t>
  </si>
  <si>
    <t>Корнев Алексей Олегович</t>
  </si>
  <si>
    <t>Ефимов Алексей Игоревич</t>
  </si>
  <si>
    <t>Репьев Иван Александрович</t>
  </si>
  <si>
    <t>Александров Алексей Сергеевич</t>
  </si>
  <si>
    <t>Илясова Оксана Владимировна</t>
  </si>
  <si>
    <t>Петриченко Кристина Андреевна</t>
  </si>
  <si>
    <t>Сперанский Кирилл Константинович</t>
  </si>
  <si>
    <t>Корнеев Егор Валерьевич</t>
  </si>
  <si>
    <t>Чикислов Александр Анатольевич</t>
  </si>
  <si>
    <t>Коробкин Владислав Павлович</t>
  </si>
  <si>
    <t xml:space="preserve">Специалист </t>
  </si>
  <si>
    <t>Аллянова Анна Сергеевна</t>
  </si>
  <si>
    <t>Киселева Надежда Владимировна</t>
  </si>
  <si>
    <t>Руководитель группы проектов КХД, корп. отчетность</t>
  </si>
  <si>
    <t>Веселов Павел Юрьевич</t>
  </si>
  <si>
    <t>Крупин Александр Александрович</t>
  </si>
  <si>
    <t>Руководитель направления Межсистемная интеграция</t>
  </si>
  <si>
    <t>Панфилов Сергей Владимирович</t>
  </si>
  <si>
    <t>Технико-методологическая поддержка НСИ</t>
  </si>
  <si>
    <t>Чуглин Александр Михайлович</t>
  </si>
  <si>
    <t>Руководитель программы проектов КХД, корп. отчетность</t>
  </si>
  <si>
    <t>Манихин Алексей Николаевич</t>
  </si>
  <si>
    <t>Руководитель программы сервисов КХД, корп. отчетность</t>
  </si>
  <si>
    <t>Елгина Ирина Олеговна</t>
  </si>
  <si>
    <t>Олинов Илья Рафаилович</t>
  </si>
  <si>
    <t>Комаров Алексей Владимирович</t>
  </si>
  <si>
    <t>Деменева Анжела Александровна</t>
  </si>
  <si>
    <t>Шилов Дмитрий Юрьевич</t>
  </si>
  <si>
    <t>Зелёва Вера Александровна</t>
  </si>
  <si>
    <t>Поцецуев Максим Анатольевич</t>
  </si>
  <si>
    <t>Глазунов Алексей Владимирович</t>
  </si>
  <si>
    <t>Уракова Наталья Сергеевна</t>
  </si>
  <si>
    <t>Котов Евгений Евгеньевич</t>
  </si>
  <si>
    <t>БУиНУ</t>
  </si>
  <si>
    <t>Руководитель СЛ БУиНУ</t>
  </si>
  <si>
    <t>Васильева Елена Владимировна</t>
  </si>
  <si>
    <t>Взаимодействие с клиентами</t>
  </si>
  <si>
    <t>Гунина Анна Аркадьевна</t>
  </si>
  <si>
    <t>Нагаева Яна Андреевна</t>
  </si>
  <si>
    <t>Романова Александра Анатольевна</t>
  </si>
  <si>
    <t xml:space="preserve">Взаимодействие с клиентами г.Москва </t>
  </si>
  <si>
    <t xml:space="preserve">Руководитель направления Взаимодействие с клиентами г.Москва </t>
  </si>
  <si>
    <t>Кондратова Ирина Михайловна</t>
  </si>
  <si>
    <t>Группа по обработке авансовых отчетов</t>
  </si>
  <si>
    <t>Ульянова Ольга Юрьевна</t>
  </si>
  <si>
    <t>Игнатенко Тамара Николаевна</t>
  </si>
  <si>
    <t>Шеленкова Оксана Анатольевна</t>
  </si>
  <si>
    <t>Налоги</t>
  </si>
  <si>
    <t>Взаимодействие с ФНС</t>
  </si>
  <si>
    <t>Тарасова Дина Леонидовна</t>
  </si>
  <si>
    <t>Шелкова Надежда Николаевна</t>
  </si>
  <si>
    <t>Левщанова Наталья Владимировна</t>
  </si>
  <si>
    <t>Лозинская Елена Геннадиевна</t>
  </si>
  <si>
    <t>Крашенинникова Светлана Валериевна</t>
  </si>
  <si>
    <t>Волоконская Евгения Эдуардовна</t>
  </si>
  <si>
    <t>Мещерякова Ирина Сергеевна</t>
  </si>
  <si>
    <t>Подготовка отчетности по контролю сделок</t>
  </si>
  <si>
    <t>Малецкая Анна Игоревна</t>
  </si>
  <si>
    <t>Климова Татьяна Андреевна</t>
  </si>
  <si>
    <t>Руководитель направления Налоги</t>
  </si>
  <si>
    <t>Василевич Мария Викторовна</t>
  </si>
  <si>
    <t>Руководитель практики Налоги</t>
  </si>
  <si>
    <t>Руководитель практики</t>
  </si>
  <si>
    <t>Монастырская Ирина Викторовна</t>
  </si>
  <si>
    <t>Отчетность</t>
  </si>
  <si>
    <t>Обработка обращений</t>
  </si>
  <si>
    <t>Грибова Ирина Алексеевна</t>
  </si>
  <si>
    <t>Фролова Ольга Сергеевна</t>
  </si>
  <si>
    <t>Капова Жанар Базаровна</t>
  </si>
  <si>
    <t>Плотникова Оксана Вячеславовна</t>
  </si>
  <si>
    <t>Ширяева Инна Сергеевна</t>
  </si>
  <si>
    <t>Копылова Юлия Владимировна</t>
  </si>
  <si>
    <t>Исаева Елена Евгеньевна</t>
  </si>
  <si>
    <t>Руководитель направления Отчетность</t>
  </si>
  <si>
    <t>Бойкова Мария Александровна</t>
  </si>
  <si>
    <t>Руководитель практики Отчетность</t>
  </si>
  <si>
    <t>Демакина Вероника Леонидовна</t>
  </si>
  <si>
    <t>Расчеты и обязательства</t>
  </si>
  <si>
    <t>Прочие операции</t>
  </si>
  <si>
    <t>Вершинина Ольга Николаевна</t>
  </si>
  <si>
    <t>Родина Гюльнара Кафлановна</t>
  </si>
  <si>
    <t>Бережная Светлана Вячеславовна</t>
  </si>
  <si>
    <t>Руководитель направления Учет доходов</t>
  </si>
  <si>
    <t>Терновская Валерия Анатольевна</t>
  </si>
  <si>
    <t>Руководитель направления Учет расходов</t>
  </si>
  <si>
    <t>Зайцева Ксения Владимировна</t>
  </si>
  <si>
    <t>Руководитель практики Расчеты и обязательства</t>
  </si>
  <si>
    <t>Кондаурова Елена Николаевна</t>
  </si>
  <si>
    <t>Учет доходов</t>
  </si>
  <si>
    <t>Кныш Анна Сергеевна</t>
  </si>
  <si>
    <t>Гаврилова Светлана Валерьевна</t>
  </si>
  <si>
    <t>Горбунова Мария Александровна</t>
  </si>
  <si>
    <t>Чихачева Оксана Алексеевна</t>
  </si>
  <si>
    <t>Ержова Марина Анатольевна</t>
  </si>
  <si>
    <t>Сейгарова Наталья Владимировна</t>
  </si>
  <si>
    <t>Демидова Ирина Васильевна</t>
  </si>
  <si>
    <t>Учет расходов</t>
  </si>
  <si>
    <t>Кагарлитская Мария Юрьевна</t>
  </si>
  <si>
    <t>Филинова Валентина Павловна</t>
  </si>
  <si>
    <t>Шалаева Ольга Викторовна</t>
  </si>
  <si>
    <t>Соколова Татьяна Алексеевна</t>
  </si>
  <si>
    <t>Гебель Стелла Карловна</t>
  </si>
  <si>
    <t>Учет активов</t>
  </si>
  <si>
    <t>Руководитель направления по учету основных средств</t>
  </si>
  <si>
    <t>Шагалова Наталья Александровна</t>
  </si>
  <si>
    <t>Руководитель направления Учет материально-производственных запасов</t>
  </si>
  <si>
    <t>Тугушева Галия Зякярьевна</t>
  </si>
  <si>
    <t>Руководитель практики Учет активов</t>
  </si>
  <si>
    <t>Никулина Ирина Александровна</t>
  </si>
  <si>
    <t>Учет капитальных вложений</t>
  </si>
  <si>
    <t>Прокофьева Екатерина Викторовна</t>
  </si>
  <si>
    <t>Усенина Елена Сергеевна</t>
  </si>
  <si>
    <t>Учет материально-производственных запасов</t>
  </si>
  <si>
    <t>Ульченкова Татьяна Григорьевна</t>
  </si>
  <si>
    <t>Чихарева Марина Викторовна</t>
  </si>
  <si>
    <t>Лахтина Марина Николаевна</t>
  </si>
  <si>
    <t>Байбикова Айжан Гайсеновна</t>
  </si>
  <si>
    <t>Учет материально-производственных запасов SAP</t>
  </si>
  <si>
    <t>Тугушева Гульнара Рифатьевна</t>
  </si>
  <si>
    <t>Ахметов Алибек Едресович</t>
  </si>
  <si>
    <t>Учет основных средств</t>
  </si>
  <si>
    <t>Гузеева Татьяна Петровна</t>
  </si>
  <si>
    <t>Косарева Наталия Юрьевна</t>
  </si>
  <si>
    <t>ЗФ</t>
  </si>
  <si>
    <t>Группа входного контроля</t>
  </si>
  <si>
    <t>Руководитель группы</t>
  </si>
  <si>
    <t>Зырянова Марина Владимировна</t>
  </si>
  <si>
    <t>Попович Ольга Викторовна</t>
  </si>
  <si>
    <t>Свирская Наталья Михайловна</t>
  </si>
  <si>
    <t>ИТ Инфраструктура</t>
  </si>
  <si>
    <t>Поддержка пользователей корп сети</t>
  </si>
  <si>
    <t>Поддержка АРМ</t>
  </si>
  <si>
    <t>Серов Евгений Олегович</t>
  </si>
  <si>
    <t>Связь и телекоммуникационные услуги</t>
  </si>
  <si>
    <t>Шипков Павел Валерьевич</t>
  </si>
  <si>
    <t>Бабина Наталия Олеговна</t>
  </si>
  <si>
    <t>Ершов Максим Юрьевич</t>
  </si>
  <si>
    <t>Щекланов Дмитрий Андреевич</t>
  </si>
  <si>
    <t>Попович Иван Сергеевич</t>
  </si>
  <si>
    <t>Добров Антон Александрович</t>
  </si>
  <si>
    <t>Руководитель СЛ Поддержка пользователей корп сети</t>
  </si>
  <si>
    <t>Лаврентьев Иван Александрович</t>
  </si>
  <si>
    <t>Руководитель направления Поддержка АРМ</t>
  </si>
  <si>
    <t>Бабичев Михаил Александрович</t>
  </si>
  <si>
    <t>Руководитель направления Экспертиза SOE</t>
  </si>
  <si>
    <t>Прокопец Александр Сергеевич</t>
  </si>
  <si>
    <t>Экспертиза SOE</t>
  </si>
  <si>
    <t>Баканов Максим Сергеевич</t>
  </si>
  <si>
    <t>Антропов Вадим Олегович</t>
  </si>
  <si>
    <t>Горячев Илья Михайлович</t>
  </si>
  <si>
    <t>Поддержка ЦОД</t>
  </si>
  <si>
    <t>Руководитель СЛ Поддержка ЦОД</t>
  </si>
  <si>
    <t>Авдюничев Константин Борисович</t>
  </si>
  <si>
    <t>Группа поддержки SAP базиса</t>
  </si>
  <si>
    <t>Моисеев Артем Андреевич</t>
  </si>
  <si>
    <t>Габдрахимов Альберт Захирович</t>
  </si>
  <si>
    <t>Морозов Дмитрий Владимирович</t>
  </si>
  <si>
    <t>Макаров Михаил Михайлович</t>
  </si>
  <si>
    <t>Яблонский Всеволод Юрьевич</t>
  </si>
  <si>
    <t>Зубенкова Марина Геннадьевна</t>
  </si>
  <si>
    <t>Тихоненко Екатерина Валериевна</t>
  </si>
  <si>
    <t>Авдеев Филипп Игоревич</t>
  </si>
  <si>
    <t>Мирошин Вячеслав Валериевич</t>
  </si>
  <si>
    <t>Волобуев Юрий Вацславович</t>
  </si>
  <si>
    <t>Руководитель направления Поддержка ЦОДдля ЦОД</t>
  </si>
  <si>
    <t>Борисов Денис Викторович</t>
  </si>
  <si>
    <t>Руководитель направления Системное администрирование</t>
  </si>
  <si>
    <t>Чех Александр Сергеевич</t>
  </si>
  <si>
    <t>Руководитель направления Экспертиза инфраструктуры</t>
  </si>
  <si>
    <t>Программа Управления</t>
  </si>
  <si>
    <t>14-000</t>
  </si>
  <si>
    <t>Коваль Виктор Федорович</t>
  </si>
  <si>
    <t>Системное администрирование</t>
  </si>
  <si>
    <t>Старков Рустам Равильевич</t>
  </si>
  <si>
    <t>Луневский Андрей Иванович</t>
  </si>
  <si>
    <t>Мухутдинов Ильшат Венерович</t>
  </si>
  <si>
    <t>Соседов Владимир Владимирович</t>
  </si>
  <si>
    <t>Ершов Сергей Иванович</t>
  </si>
  <si>
    <t>Каргашин Дмитрий Андреевич</t>
  </si>
  <si>
    <t>Пушкин Александр Александрович</t>
  </si>
  <si>
    <t>Подчуфаров Алексей Викторович</t>
  </si>
  <si>
    <t>14-91</t>
  </si>
  <si>
    <t>Климов Егор Евгеньевич</t>
  </si>
  <si>
    <t>Моор Александр Александрович</t>
  </si>
  <si>
    <t>Никитенко Александр Валентинович</t>
  </si>
  <si>
    <t>Старкова Юлия Сергеевна</t>
  </si>
  <si>
    <t>Экспертиза инфраструктуры</t>
  </si>
  <si>
    <t>Емельянов Роман Олегович</t>
  </si>
  <si>
    <t>14-76</t>
  </si>
  <si>
    <t>Куликовских Ярослав Дмитриевич</t>
  </si>
  <si>
    <t>Исматов Абдували Вахабович</t>
  </si>
  <si>
    <t>Нестеров Сергей Викторович</t>
  </si>
  <si>
    <t>Васильев Николай Владимирович</t>
  </si>
  <si>
    <t>Чадаев Александр Валерьевич</t>
  </si>
  <si>
    <t>Федоренков Сергей Станиславович</t>
  </si>
  <si>
    <t>Обухова Татьяна Валериевна</t>
  </si>
  <si>
    <t>Асадуллин Мидхат Хазияхметович</t>
  </si>
  <si>
    <t>Мусиенко Игорь Васильевич</t>
  </si>
  <si>
    <t>Крутько Павел Юрьевич</t>
  </si>
  <si>
    <t>Поддержка мониторинга инфраструктуры</t>
  </si>
  <si>
    <t>Панферов Николай Владимирович</t>
  </si>
  <si>
    <t>Скворцов Виталий Львович</t>
  </si>
  <si>
    <t>Краснощеков Дмитрий Анатольевич</t>
  </si>
  <si>
    <t>Макеев Дмитрий Владимирович</t>
  </si>
  <si>
    <t>Кудряшов Владимир Борисович</t>
  </si>
  <si>
    <t>Кондратьев Кирилл Сергеевич</t>
  </si>
  <si>
    <t>Руководитель направления Телекоммуникационные услуги</t>
  </si>
  <si>
    <t>Черноусов Александр Викторович</t>
  </si>
  <si>
    <t>Руководитель направления Услуги связи</t>
  </si>
  <si>
    <t>Федоров Александр Сергеевич</t>
  </si>
  <si>
    <t>Руководитель СЛ Связь и телекоммуникационные услуги</t>
  </si>
  <si>
    <t>Подволоцкий Сергей Валерьевич</t>
  </si>
  <si>
    <t>Телекоммуникационные услуги</t>
  </si>
  <si>
    <t>14-492</t>
  </si>
  <si>
    <t>Севрюков Алексей Сергеевич</t>
  </si>
  <si>
    <t>Рахматуллина Анастасия Борисовна</t>
  </si>
  <si>
    <t>Головков Александр Васильевич</t>
  </si>
  <si>
    <t>Касицын Андрей Николаевич</t>
  </si>
  <si>
    <t>Назаркин Игорь Николаевич</t>
  </si>
  <si>
    <t>Белоусов Сергей Валерьевич</t>
  </si>
  <si>
    <t>Бугаев Андрей Владимирович</t>
  </si>
  <si>
    <t>Мальцев Сергей Юрьевич</t>
  </si>
  <si>
    <t>Асадуллин Роман Фанисович</t>
  </si>
  <si>
    <t>Остров Евгений Владимирович</t>
  </si>
  <si>
    <t>Амиров Александр Валерьевич</t>
  </si>
  <si>
    <t>Кадровое администрирование</t>
  </si>
  <si>
    <t>Операции с персоналом</t>
  </si>
  <si>
    <t>Руководитель транзакционного центра по операциям с персоналом</t>
  </si>
  <si>
    <t>Хмарина Виктория Юрьевна</t>
  </si>
  <si>
    <t>Джербинова Лилия Сергеевна</t>
  </si>
  <si>
    <t>Фитлер Татьяна Ивановна</t>
  </si>
  <si>
    <t>Шаронова Дарья Владимировна</t>
  </si>
  <si>
    <t>Соколова Светлана Алексеевна</t>
  </si>
  <si>
    <t>Добрыгина Анастасия Сергеевна</t>
  </si>
  <si>
    <t>Дарьина Нелли Вячеславовна</t>
  </si>
  <si>
    <t>Пакина Виктория Валерьевна</t>
  </si>
  <si>
    <t>Рожкова Маргарита Владимировна</t>
  </si>
  <si>
    <t>Жаданова Екатерина Валерьевна</t>
  </si>
  <si>
    <t>Лосякова Елена Борисовна</t>
  </si>
  <si>
    <t>Кочнева Ольга Александровна</t>
  </si>
  <si>
    <t>Фесько Анна Евгеньевна</t>
  </si>
  <si>
    <t>Москвина Наталия Викторовна</t>
  </si>
  <si>
    <t>Удовик Елена Анатольевна</t>
  </si>
  <si>
    <t>Омельянович Олеся Равилевна</t>
  </si>
  <si>
    <t>Шишова Ольга Владимировна</t>
  </si>
  <si>
    <t>Теселкина Наталия Владимировна</t>
  </si>
  <si>
    <t>Журавлева Надежда Владимировна</t>
  </si>
  <si>
    <t>Абрамова Ольга Викторовна</t>
  </si>
  <si>
    <t>Сергеева Надежда Александровна</t>
  </si>
  <si>
    <t>Афанасьева Мария Александровна</t>
  </si>
  <si>
    <t>Шабардина Наталия Владимировна</t>
  </si>
  <si>
    <t>Морозова Елена Александровна</t>
  </si>
  <si>
    <t>Казначейство</t>
  </si>
  <si>
    <t>Валютный контроль</t>
  </si>
  <si>
    <t>Сухарева Юлия Евгеньевна</t>
  </si>
  <si>
    <t>Руденко Светлана Валерьевна</t>
  </si>
  <si>
    <t>Балабуха Татьяна Сергеевна</t>
  </si>
  <si>
    <t>Руководитель направления Управление платежами</t>
  </si>
  <si>
    <t>Вахромеева Наталия Леонтьевна</t>
  </si>
  <si>
    <t>Управление платежами</t>
  </si>
  <si>
    <t>Коршунова Елена Анатольевна</t>
  </si>
  <si>
    <t>Пригорнева Яна Викторовна</t>
  </si>
  <si>
    <t>Управление финансовой деятельностью</t>
  </si>
  <si>
    <t>Грачева Надежда Викторовна</t>
  </si>
  <si>
    <t>Алещенко Екатерина Эдуардовна</t>
  </si>
  <si>
    <t>Есингалиева Алтынай Александровна</t>
  </si>
  <si>
    <t>Макаренко Ольга Алексеевна</t>
  </si>
  <si>
    <t>КФ</t>
  </si>
  <si>
    <t>Колпакова Ольга Михайловна</t>
  </si>
  <si>
    <t>ОП Красноярск</t>
  </si>
  <si>
    <t>Администрация</t>
  </si>
  <si>
    <t>Региональный директор-руководитель направления по взаимодействию с клиентами (Левобережье)</t>
  </si>
  <si>
    <t>Постникова Елена Николаевна</t>
  </si>
  <si>
    <t>Красноярск</t>
  </si>
  <si>
    <t>Руководитель направления по взаимодействию с клиентами (Правобережье)</t>
  </si>
  <si>
    <t>Григорьева Ирина Ивановна</t>
  </si>
  <si>
    <t>Руководитель направления по взаимодействию с клиентами (Лесосибирск)</t>
  </si>
  <si>
    <t>Коровина Ирина Анатольевна</t>
  </si>
  <si>
    <t>Специалист по охране труда и промышленной безопаности</t>
  </si>
  <si>
    <t>Фанбер Екатерина Юрьевна</t>
  </si>
  <si>
    <t>Моисеева Елена Николаевна</t>
  </si>
  <si>
    <t>Примакова Елена Владимировна (д/о)/Сухих Елена Николаевна</t>
  </si>
  <si>
    <t>Габова Юлия Юрьевна</t>
  </si>
  <si>
    <t>Плотникова Ольга Петровна</t>
  </si>
  <si>
    <t>Головина Ирина Александровна</t>
  </si>
  <si>
    <t>Юровский Андрей Николаевич</t>
  </si>
  <si>
    <t>Сергеева Анна Константиновна</t>
  </si>
  <si>
    <t>Абросимова Светлана Витальевна</t>
  </si>
  <si>
    <t>Меновщикова Любовь Александровна</t>
  </si>
  <si>
    <t>Есина Марина Николаевна</t>
  </si>
  <si>
    <t>Лесосибирск</t>
  </si>
  <si>
    <t>Группа поддержки ИТ</t>
  </si>
  <si>
    <t>Алеев Александр Абдулкадирович</t>
  </si>
  <si>
    <t>Яковлева Ольга Владимировна</t>
  </si>
  <si>
    <t>Ручкина Анна Александровна</t>
  </si>
  <si>
    <t>Ведущий инженер</t>
  </si>
  <si>
    <t>Данцер Александр Владимирович</t>
  </si>
  <si>
    <t>Постнов Александр Павлович</t>
  </si>
  <si>
    <t>Патрушев Артем Сергеевич</t>
  </si>
  <si>
    <t>Техник по эксплуатации и ремонту оборудования</t>
  </si>
  <si>
    <t>Павельев Александр Николаевич</t>
  </si>
  <si>
    <t>Группа расчетов с персоналом</t>
  </si>
  <si>
    <t>Горейло Елена Александровна</t>
  </si>
  <si>
    <t>Курбанова Наталья Борисовна</t>
  </si>
  <si>
    <t>Уланова Алена Геннадьевна</t>
  </si>
  <si>
    <t>Щетникова Екатерина Евгеньевна</t>
  </si>
  <si>
    <t>Евдокимова Анна Владимировна</t>
  </si>
  <si>
    <t>Райчук Светлана Александровна</t>
  </si>
  <si>
    <t>Безруких Татьяна Сергеевна</t>
  </si>
  <si>
    <t>Юровская Ольга Ивановна</t>
  </si>
  <si>
    <t>Сеничкина Оксана Геннадьевна</t>
  </si>
  <si>
    <t>Учуваткина Людмила Мяртовна</t>
  </si>
  <si>
    <t>Специалист 1 категории</t>
  </si>
  <si>
    <t>Горемыкина Марина Васильевна</t>
  </si>
  <si>
    <t>Бородина Галина Петровна</t>
  </si>
  <si>
    <t>Банникова Олеся Владимировна</t>
  </si>
  <si>
    <t>Специалист 2 категории</t>
  </si>
  <si>
    <t>Марьина Людмила Александровна</t>
  </si>
  <si>
    <t>Богданова Людмила Николаевна</t>
  </si>
  <si>
    <t>Блинова Татьяна Александровна</t>
  </si>
  <si>
    <t>Ануфриева Оксана Растиславовна</t>
  </si>
  <si>
    <t>Ибрагимова Людмила Васильевна</t>
  </si>
  <si>
    <t>Группа связи</t>
  </si>
  <si>
    <t>Сидоров Борис Георгиевич</t>
  </si>
  <si>
    <t>Электромонтер линейных сооружений телефонной связи и радиофикации</t>
  </si>
  <si>
    <t>Осколков Борис Сергеевич</t>
  </si>
  <si>
    <t>Электромонтер станционного оборудования телефонной связи</t>
  </si>
  <si>
    <t>Речкина Валентина Николаевна</t>
  </si>
  <si>
    <t>Галлямов Амир Салихович</t>
  </si>
  <si>
    <t xml:space="preserve">Радиомонтажник </t>
  </si>
  <si>
    <t>Рогожников Андрей Юрьевич</t>
  </si>
  <si>
    <t xml:space="preserve">Электромонтер линейных сооружений телефонной связи </t>
  </si>
  <si>
    <t>Солнцев Николай Петрович</t>
  </si>
  <si>
    <t>ОП СПБ</t>
  </si>
  <si>
    <t>Князева Светлана Петровна</t>
  </si>
  <si>
    <t>СПБ Пилоты</t>
  </si>
  <si>
    <t>Иванова Татьяна Владимировна</t>
  </si>
  <si>
    <t>Табаков Александр Леонидович</t>
  </si>
  <si>
    <t>ОП Чита</t>
  </si>
  <si>
    <t>MES системы</t>
  </si>
  <si>
    <t>Чита</t>
  </si>
  <si>
    <t>Общее про-во Чита</t>
  </si>
  <si>
    <t>Региональный директор</t>
  </si>
  <si>
    <t>Кошман Борис Борисович</t>
  </si>
  <si>
    <t>Бизнес Приложения</t>
  </si>
  <si>
    <t>Романов Андрей Алексеевич</t>
  </si>
  <si>
    <t>Маклеева Анна Владимировна</t>
  </si>
  <si>
    <t>Гончаров Николай Николаевич</t>
  </si>
  <si>
    <t>Взаимодействие с клиентами по БУ и НУ</t>
  </si>
  <si>
    <t>Руководитель практики по взаимодействию с клиентами по БУ и НУ</t>
  </si>
  <si>
    <t>Ипатова Оксана Владимировна</t>
  </si>
  <si>
    <t>Заместитель руководителя практики по БУ и НУ</t>
  </si>
  <si>
    <t>Дорошенко Ирина Николаевна</t>
  </si>
  <si>
    <t>Метрологическое обеспечение и контроль качества</t>
  </si>
  <si>
    <t>Руководитель направления по налогам</t>
  </si>
  <si>
    <t>Арсаланова Юлия Александровна</t>
  </si>
  <si>
    <t>Верхотурова Татьяна Алексеевна</t>
  </si>
  <si>
    <t>Молчанова Оксана Валерьевна</t>
  </si>
  <si>
    <t>Руководитель направления по отчетности</t>
  </si>
  <si>
    <t>Васильева Ольга Викторовна</t>
  </si>
  <si>
    <t>Вишнякова Олеся Юрьевна</t>
  </si>
  <si>
    <t>ППА и метрология</t>
  </si>
  <si>
    <t>Производственный инжиниринг</t>
  </si>
  <si>
    <t>Руководитель СЛ Производственный инжиниринг</t>
  </si>
  <si>
    <t>Малевицкая Алла Львовна</t>
  </si>
  <si>
    <t>КСиКР</t>
  </si>
  <si>
    <t>Капстрой</t>
  </si>
  <si>
    <t>Руководитель направления по управлению платежами</t>
  </si>
  <si>
    <t>Зоркальцева Елена Георгиевна</t>
  </si>
  <si>
    <t>Кокорина Любовь Николаевна</t>
  </si>
  <si>
    <t>Группа по учету КВ и ОС</t>
  </si>
  <si>
    <t>Парыгина Вероника Николаевна</t>
  </si>
  <si>
    <t>Найданова Наталья Владимировна</t>
  </si>
  <si>
    <t>Группа по учету МПЗ</t>
  </si>
  <si>
    <t>Крицына Александра Николаевна</t>
  </si>
  <si>
    <t>Серебрякова Ирина Александровна</t>
  </si>
  <si>
    <t>Исмагилова Диляра Иршатовна</t>
  </si>
  <si>
    <t>Новикова Надежда Витальевна</t>
  </si>
  <si>
    <t>Учет Активов</t>
  </si>
  <si>
    <t>Руководитель направления по учету Активов</t>
  </si>
  <si>
    <t>Разгильдеева Ирина Владимировна</t>
  </si>
  <si>
    <t>Учету расчетов и обязательств</t>
  </si>
  <si>
    <t>Группа по учету доходов</t>
  </si>
  <si>
    <t>Лушникова Анна Николаевна</t>
  </si>
  <si>
    <t>Карелина Яна Олеговна</t>
  </si>
  <si>
    <t>Группа по учету прочих операций</t>
  </si>
  <si>
    <t>Астафьева Жанна Юрьевна</t>
  </si>
  <si>
    <t>Группа по учету расходов</t>
  </si>
  <si>
    <t>Гайворонская Инна Владимировна</t>
  </si>
  <si>
    <t>Демина Наталья Анатольевна</t>
  </si>
  <si>
    <t>Богатская Елена Владимировна</t>
  </si>
  <si>
    <t>Громова Екатерина Владиславовна</t>
  </si>
  <si>
    <t>Руководитель направления по учету расчетов и обязательств</t>
  </si>
  <si>
    <t>Сафронов Артем Валерьевич</t>
  </si>
  <si>
    <t>Учету расчетов с персоналом</t>
  </si>
  <si>
    <t>Руководитель направления по учету расчетов с персоналом</t>
  </si>
  <si>
    <t>Синекаева Екатерина Сергеевна</t>
  </si>
  <si>
    <t>Устинова Елена Николаевна</t>
  </si>
  <si>
    <t>Черникова Раиса Иннокентьевна</t>
  </si>
  <si>
    <t>Дерябина Ирина Анатольевна</t>
  </si>
  <si>
    <t>Серина Юлия Викторовна</t>
  </si>
  <si>
    <t>Ходковая Наталья Филипповна</t>
  </si>
  <si>
    <t>Поддержка бизнеса</t>
  </si>
  <si>
    <t>Административно-хозяйственное направление</t>
  </si>
  <si>
    <t>Общее про-во Саратов</t>
  </si>
  <si>
    <t>Горяев Рамис Заляфович</t>
  </si>
  <si>
    <t>Кожевников Алексей Геннадьевич</t>
  </si>
  <si>
    <t>Региональный Директор</t>
  </si>
  <si>
    <t>Захаринская Капиталина Владимировна</t>
  </si>
  <si>
    <t>Секретарь-Администратор</t>
  </si>
  <si>
    <t>Степанова Олеся Александровна</t>
  </si>
  <si>
    <t>Направление по документационному обеспечению</t>
  </si>
  <si>
    <t>Бекетова Юлия Андреевна</t>
  </si>
  <si>
    <t>Направление охраны труда и промышленной безопасности</t>
  </si>
  <si>
    <t>Роженцев Андрей Владимирович</t>
  </si>
  <si>
    <t>Вербич Иван Владимирович</t>
  </si>
  <si>
    <t>Начальник отдела</t>
  </si>
  <si>
    <t>Чабанюк Лэся Михайловна</t>
  </si>
  <si>
    <t>Юдин Николай Брониславович</t>
  </si>
  <si>
    <t>Пазий Георгий Алексеевия</t>
  </si>
  <si>
    <t>Инженер по охране труда и помышленной безопасности</t>
  </si>
  <si>
    <t>Коваленко Елена Александровна (д/о)</t>
  </si>
  <si>
    <t>Николаев Сергей Николаевич</t>
  </si>
  <si>
    <t>Главный специалист по ГО и ЧС</t>
  </si>
  <si>
    <t>Миронова Наталья Олеговна</t>
  </si>
  <si>
    <t>Шишкина Юлия Викторовна</t>
  </si>
  <si>
    <t>Обеспечение ИТ-активами</t>
  </si>
  <si>
    <t>Направление по администрированию доходных договоров</t>
  </si>
  <si>
    <t>Селиверстов Дмитрий Евгеньевич</t>
  </si>
  <si>
    <t>Танкушина Маргарита Александровна</t>
  </si>
  <si>
    <t>Кирилкин Дмитрий Николаевич</t>
  </si>
  <si>
    <t>Мухамметова Рамиля Абдулхаевна</t>
  </si>
  <si>
    <t>Кочетова Наталья Алексеевна</t>
  </si>
  <si>
    <t>Направление по управлению ИТ-активами</t>
  </si>
  <si>
    <t>Семчуков Валерий Сергеевич</t>
  </si>
  <si>
    <t>Петров Григорий Станиславович</t>
  </si>
  <si>
    <t>Шевченко Татьяна Викторовна</t>
  </si>
  <si>
    <t>Артамонов Артем Юрьевич</t>
  </si>
  <si>
    <t>Евстифеев Максим Александрович</t>
  </si>
  <si>
    <t>Цыплакова Татьяна Александровна</t>
  </si>
  <si>
    <t>Агальцова Валентина Сергеевна</t>
  </si>
  <si>
    <t>Обеспечение закупочной деятельности</t>
  </si>
  <si>
    <t>Лушникова Анжела Адольфовна</t>
  </si>
  <si>
    <t>Главный менеджер</t>
  </si>
  <si>
    <t>Дорощенко Лиана Робертовна</t>
  </si>
  <si>
    <t>Анисимова Мария Владимировна</t>
  </si>
  <si>
    <t>Самосенко Анжелика Юрьевна</t>
  </si>
  <si>
    <t>Кузнецова Мария Михайловна</t>
  </si>
  <si>
    <t>Шаврова Мария Николаевна</t>
  </si>
  <si>
    <t>Раннев Дмитрий Евгеньевич</t>
  </si>
  <si>
    <t>Альшанская Екатерина Андреевна</t>
  </si>
  <si>
    <t>Сергеева Ирина Васильевна</t>
  </si>
  <si>
    <t>Казакова Елена Евгеньевна</t>
  </si>
  <si>
    <t>Домонова Светлана Николаевна</t>
  </si>
  <si>
    <t>Оленин Александр Николаевич</t>
  </si>
  <si>
    <t>Швейкин Артем Андреевич</t>
  </si>
  <si>
    <t>Бобкова Ирина Владимировна</t>
  </si>
  <si>
    <t>Солдатова Юлия Александровна</t>
  </si>
  <si>
    <t>Панченко Алёна Андрониковна</t>
  </si>
  <si>
    <t>Лучникова Алена Викторовна</t>
  </si>
  <si>
    <t>Ионкина Марина Викторовна</t>
  </si>
  <si>
    <t>Щукарев Роман Сергеевич</t>
  </si>
  <si>
    <t>Четверова Ольга Дмитриевна</t>
  </si>
  <si>
    <t>Данилова Ольга Николаевна</t>
  </si>
  <si>
    <t>Ермолова Анна Дмитриевна</t>
  </si>
  <si>
    <t>Болховская Елена Николаевна</t>
  </si>
  <si>
    <t>Паршина Юлия Александровна</t>
  </si>
  <si>
    <t>Антоненко Дарья Михайловна</t>
  </si>
  <si>
    <t>Руководитель управления по обеспечению ИТ-активами</t>
  </si>
  <si>
    <t>Руководитель управления</t>
  </si>
  <si>
    <t>Кравцова Ирина Александровна</t>
  </si>
  <si>
    <t>Управление сервисами</t>
  </si>
  <si>
    <t>Регистрация обращений</t>
  </si>
  <si>
    <t>Резенкова Елена Михайловна</t>
  </si>
  <si>
    <t>Челнакова Эвелина Михайловна</t>
  </si>
  <si>
    <t>Юрченков Владимир Александрович</t>
  </si>
  <si>
    <t>Монастырская Екатерина Владимировна</t>
  </si>
  <si>
    <t>Ахахин Максим Александрович</t>
  </si>
  <si>
    <t>Анподистова Екатерина Владимировна</t>
  </si>
  <si>
    <t>Рзаев Руслан Али Рза Оглы</t>
  </si>
  <si>
    <t>Асатуров Антон Игоревич</t>
  </si>
  <si>
    <t>Вахтель Вадим Николаевич</t>
  </si>
  <si>
    <t>Попович Сергей Сергеевич</t>
  </si>
  <si>
    <t>Царева Юлия Владимировна</t>
  </si>
  <si>
    <t>Тарсуков Роман Владимирович</t>
  </si>
  <si>
    <t>Кустова Светлана Владимировна</t>
  </si>
  <si>
    <t>Почтарева Татьяна Юрьевна</t>
  </si>
  <si>
    <t>Дарий Наталья Николаевна</t>
  </si>
  <si>
    <t>Рупасов Иван Сергеевич</t>
  </si>
  <si>
    <t>Кунова Ирина Петровна</t>
  </si>
  <si>
    <t>Дорошенко Наталия Сергеевна</t>
  </si>
  <si>
    <t>Осянин Илья Сергеевич</t>
  </si>
  <si>
    <t>Руководитель направления Регистрация обращений</t>
  </si>
  <si>
    <t>Колодий Анастасия Владимировна</t>
  </si>
  <si>
    <t>Руководитель по Управлению сервисами</t>
  </si>
  <si>
    <t>Фролков Илья Владимирович</t>
  </si>
  <si>
    <t>Яковлева Ирина Владимировна</t>
  </si>
  <si>
    <t>Куликова Ирина Юрьевна</t>
  </si>
  <si>
    <t>Матузенко Анна Валериевна</t>
  </si>
  <si>
    <t>Костюнина Екатерина Сергеевна</t>
  </si>
  <si>
    <t>Ткаченко Ольга Владимировна</t>
  </si>
  <si>
    <t>Полювина Мария Михайловна</t>
  </si>
  <si>
    <t>Кукленкова Екатерина Александровна</t>
  </si>
  <si>
    <t>Андреев Александр Сергеевич</t>
  </si>
  <si>
    <t>Самсонов Сергей Владимирович</t>
  </si>
  <si>
    <t>Сабельникова Юлия Васильевна</t>
  </si>
  <si>
    <t>Вавилова Екатерина Сергеевна</t>
  </si>
  <si>
    <t>Домбровский Александр Витальевич</t>
  </si>
  <si>
    <t>Севостьянова Алла Владимировна</t>
  </si>
  <si>
    <t>Управление эффективностью деятельности и контроля качества</t>
  </si>
  <si>
    <t>Маркелова Екатерина Владимировна</t>
  </si>
  <si>
    <t>Приказчикова Екатерина Валерьевна</t>
  </si>
  <si>
    <t>Тарасова Людмила Викторовна</t>
  </si>
  <si>
    <t>Жесткова Марина Николаевна</t>
  </si>
  <si>
    <t>Хрулева Анастасия Алексеевна</t>
  </si>
  <si>
    <t>Каракчеева Елена Сергеевна</t>
  </si>
  <si>
    <t>Егорова Анна Сергеевна</t>
  </si>
  <si>
    <t>Добрынина Евгения Юрьевна</t>
  </si>
  <si>
    <t>Зиновьева Светлана Сергеевна</t>
  </si>
  <si>
    <t>Стрильчук Олег Леонидович</t>
  </si>
  <si>
    <t>Ополева Жанна Владимировна</t>
  </si>
  <si>
    <t>Матвеева Ирина Николаевна</t>
  </si>
  <si>
    <t>Семенищева Светлана Алексеевна</t>
  </si>
  <si>
    <t>Отдел поддержки производственных систем</t>
  </si>
  <si>
    <t>16-07</t>
  </si>
  <si>
    <t>Солоухин Владимир Юрьевич</t>
  </si>
  <si>
    <t>Руководитель СЛ MES системы</t>
  </si>
  <si>
    <t>Токмаков Александр Леонидович</t>
  </si>
  <si>
    <t>Управление проектами внедрения</t>
  </si>
  <si>
    <t>Кравцов Андрей Викторович</t>
  </si>
  <si>
    <t>14-99</t>
  </si>
  <si>
    <t>Проектный менеджер</t>
  </si>
  <si>
    <t>Горбунов Константин Васильевич</t>
  </si>
  <si>
    <t>16-09</t>
  </si>
  <si>
    <t>Гриценко Андрей Владимирович</t>
  </si>
  <si>
    <t>14-72.1</t>
  </si>
  <si>
    <t>14-70</t>
  </si>
  <si>
    <t>Бушуева Галина Александровна</t>
  </si>
  <si>
    <t>14-81</t>
  </si>
  <si>
    <t>Галямов Вячеслав Евгеньевич</t>
  </si>
  <si>
    <t>14-24</t>
  </si>
  <si>
    <t>Юшина Наталья Евгеньевна</t>
  </si>
  <si>
    <t>16-10</t>
  </si>
  <si>
    <t>16-01</t>
  </si>
  <si>
    <t>14-83</t>
  </si>
  <si>
    <t>Абдрахманов Валерий Маратович</t>
  </si>
  <si>
    <t>14-15.2.2</t>
  </si>
  <si>
    <t>Лопатин Никита Анатольевич</t>
  </si>
  <si>
    <t>14-15.2.3</t>
  </si>
  <si>
    <t>Соколов Дмитрий Александрович</t>
  </si>
  <si>
    <t>14-86</t>
  </si>
  <si>
    <t>Шаманаев Даниил Геннадьевич</t>
  </si>
  <si>
    <t>Центр компетенции по поддержке производственных систем</t>
  </si>
  <si>
    <t>СПБ</t>
  </si>
  <si>
    <t>Инженер АСУП</t>
  </si>
  <si>
    <t>Титов Андрей Игоревич</t>
  </si>
  <si>
    <t>Чернакова Ольга Валерьевна</t>
  </si>
  <si>
    <t>Минин Виктор Юрьевич</t>
  </si>
  <si>
    <t>Мулюков Ильдар Романович</t>
  </si>
  <si>
    <t>Экспертиза автоматизации производства</t>
  </si>
  <si>
    <t>Кумов Сергей Петрович</t>
  </si>
  <si>
    <t>Баскин Сергей Вильевич</t>
  </si>
  <si>
    <t>Гусев Игорь Александрович</t>
  </si>
  <si>
    <t>Будаев Дмитрий Александрович</t>
  </si>
  <si>
    <t>16-06</t>
  </si>
  <si>
    <t>Колмыков Артем Александрович</t>
  </si>
  <si>
    <t>норильск</t>
  </si>
  <si>
    <t>Эксплуатация систем автоматизации</t>
  </si>
  <si>
    <t>Маер Сергей Викторович</t>
  </si>
  <si>
    <t>Лаврецкий Роман Васильевич</t>
  </si>
  <si>
    <t>Белячков Евгений Олегович</t>
  </si>
  <si>
    <t>Науменко Алексей Леонидович</t>
  </si>
  <si>
    <t>Селезнев Александр Николаевич</t>
  </si>
  <si>
    <t>Родионов Иван Михайлович</t>
  </si>
  <si>
    <t>Руководитель СЛ АСУТП</t>
  </si>
  <si>
    <t>Милосердов Дмитрий Николаевич</t>
  </si>
  <si>
    <t>Экспертиза проектов АСУТП</t>
  </si>
  <si>
    <t>Юрасов Юрий Анатольевич</t>
  </si>
  <si>
    <t>Милькин Владимир Андреевич</t>
  </si>
  <si>
    <t>Кривцов Александр Владимирович</t>
  </si>
  <si>
    <t>Эксплуатация АСУТП</t>
  </si>
  <si>
    <t>Горохов Александр Александрович</t>
  </si>
  <si>
    <t>Руководитель СЛ Метрологическое обеспечение и контроль качества</t>
  </si>
  <si>
    <t>Фейгельман Максим Львович</t>
  </si>
  <si>
    <t>Экспертиза и метрологический надзор</t>
  </si>
  <si>
    <t>Анисимов Иван Владимирович</t>
  </si>
  <si>
    <t>Внедрение и сопровождение АСМД</t>
  </si>
  <si>
    <t>Бронецкий Игорь Игоревич</t>
  </si>
  <si>
    <t>Майшарипов Денис Фирдависович</t>
  </si>
  <si>
    <t>Меркулов Илья Юрьевич</t>
  </si>
  <si>
    <t>Внедрение, развитие систем ИСБ и организация сервиса (ТО ИСБ)</t>
  </si>
  <si>
    <t>Груздев Дмитрий Александрович</t>
  </si>
  <si>
    <t>Ваулин Виктор Сергеевич</t>
  </si>
  <si>
    <t>Федоров Александр Александрович</t>
  </si>
  <si>
    <t>Кожевникова Ольга Михайловна</t>
  </si>
  <si>
    <t>Драненко Владимир Вячеславович</t>
  </si>
  <si>
    <t>Балихин Юрий Юрьевич</t>
  </si>
  <si>
    <t>Сухов Андрей Валерьевич</t>
  </si>
  <si>
    <t>Нормообеспечение</t>
  </si>
  <si>
    <t xml:space="preserve">Руководитель направления </t>
  </si>
  <si>
    <t>Егоров Олег Алексеевич</t>
  </si>
  <si>
    <t>Горшенин Сергей Алексеевич</t>
  </si>
  <si>
    <t>Проектирование и тех экспертиза</t>
  </si>
  <si>
    <t>Демьянова Мария Владимировна</t>
  </si>
  <si>
    <t>Главный инженер проектов</t>
  </si>
  <si>
    <t>Бубнов Александр Викторович</t>
  </si>
  <si>
    <t>Проектирование и тех экспертиза/ Группа проектов Читинского направления</t>
  </si>
  <si>
    <t>Кладов Александр Анатольевич</t>
  </si>
  <si>
    <t>Главный специалист-проектировщик</t>
  </si>
  <si>
    <t>Сех Светлана Зиновьевна</t>
  </si>
  <si>
    <t>Краюхин Алексей Юрьевич</t>
  </si>
  <si>
    <t>Василенков Алексей Иванович</t>
  </si>
  <si>
    <t>Ведущий специалист-проектировщик</t>
  </si>
  <si>
    <t>Гирфанова Ирина Рустемовна</t>
  </si>
  <si>
    <t>Бушин Александр Викторович</t>
  </si>
  <si>
    <t>Ключарев Максим Олегович</t>
  </si>
  <si>
    <t>Мальцев Дмитрий Владимирович</t>
  </si>
  <si>
    <t>Тарасов Сергей Евгеньевич</t>
  </si>
  <si>
    <t>Скляднев Вячеслав Михайлович</t>
  </si>
  <si>
    <t>Зубехин Владимир Алексеевич</t>
  </si>
  <si>
    <t>Коляскин Михаил Викторович</t>
  </si>
  <si>
    <t>Лентяев Владимир Владимирович</t>
  </si>
  <si>
    <t>Ткаченко Михаил Владимирович</t>
  </si>
  <si>
    <t>Литвиненко Роман Александрович</t>
  </si>
  <si>
    <t>Сметное ценообразование</t>
  </si>
  <si>
    <t>Тупякова Любовь Валентиновна</t>
  </si>
  <si>
    <t>4-06-01</t>
  </si>
  <si>
    <t>Старкова Нина Васильевна</t>
  </si>
  <si>
    <t>Рязанова Людмила Юрьевна</t>
  </si>
  <si>
    <t>Аюпова Надежда Сергеевна</t>
  </si>
  <si>
    <t>Руководитель направления Энергоэффективность и энергоаудит</t>
  </si>
  <si>
    <t>Энергоаудит</t>
  </si>
  <si>
    <t>Цапенко Сергей Викторович</t>
  </si>
  <si>
    <t>Энергоэффективность и энергоаудит</t>
  </si>
  <si>
    <t>Кузин Евгений Александрович</t>
  </si>
  <si>
    <t>Антонов Андрей Анатольевич</t>
  </si>
  <si>
    <t>Проектное и Процессное Управление</t>
  </si>
  <si>
    <t>Советники</t>
  </si>
  <si>
    <t>Мирошников Борис Николаевич</t>
  </si>
  <si>
    <t>Архитектура бизнес-приложений</t>
  </si>
  <si>
    <t>Оранский Константин Аркадьевич</t>
  </si>
  <si>
    <t>Рабовский Илья Александрович</t>
  </si>
  <si>
    <t>Ткаченко Галина Анатольевна</t>
  </si>
  <si>
    <t>Фролов Виктор Георгиевич</t>
  </si>
  <si>
    <t>Ольшевский Алексей Юрьевич</t>
  </si>
  <si>
    <t>Ромахин Александр Александрович</t>
  </si>
  <si>
    <t>Толстихина Наталья Владимировна</t>
  </si>
  <si>
    <t>Сухов Виктор Алексеевич</t>
  </si>
  <si>
    <t>Дерюгин Виктор Александрович</t>
  </si>
  <si>
    <t>Руководитель направления Архитектура бизнес-приложений</t>
  </si>
  <si>
    <t>Андрющенко Валентина Владимировна</t>
  </si>
  <si>
    <t>Архитектура инфраструктуры</t>
  </si>
  <si>
    <t>Лилеев Андрей Александрович</t>
  </si>
  <si>
    <t>Никишин Андрей Владимирович</t>
  </si>
  <si>
    <t>Гринкевич Сергей Константинович</t>
  </si>
  <si>
    <t>Руководитель направления Архитектура инфраструктуры</t>
  </si>
  <si>
    <t>Алексеенко Андрей Викторович</t>
  </si>
  <si>
    <t>Архитектура производственных систем</t>
  </si>
  <si>
    <t>Коршунов Алексей Николаевич</t>
  </si>
  <si>
    <t>Абдулкин Айдар Асхатович</t>
  </si>
  <si>
    <t>ИТ изменения</t>
  </si>
  <si>
    <t>Рязанов Алексей Михайлович</t>
  </si>
  <si>
    <t>Консультант по управлению изменениями</t>
  </si>
  <si>
    <t>Горбачев Андрей Александрович</t>
  </si>
  <si>
    <t>Дурнецов Александр Анатольевич</t>
  </si>
  <si>
    <t>Князева Екатерина Борисовна</t>
  </si>
  <si>
    <t>Корпоративная архитектура</t>
  </si>
  <si>
    <t>Ведущий методолог</t>
  </si>
  <si>
    <t>Арушанова Анна Грантовна</t>
  </si>
  <si>
    <t>Руководитель СЛ Корпоративная архитектура</t>
  </si>
  <si>
    <t>Левченко Игорь Анатольевич</t>
  </si>
  <si>
    <t>Методология и администрирование проектной деятельности</t>
  </si>
  <si>
    <t>Руководитель СЛ по методологии и администрированию проектной деятельности</t>
  </si>
  <si>
    <t>Панферов Сергей Александрович</t>
  </si>
  <si>
    <t>Методология и контроль проектной деятельности</t>
  </si>
  <si>
    <t>Клочков Владимир Анатольевич</t>
  </si>
  <si>
    <t>Плохов Александр Алексеевич</t>
  </si>
  <si>
    <t>Исмаилова Марьям Равильевна</t>
  </si>
  <si>
    <t>Камышный Михаил Сергеевич</t>
  </si>
  <si>
    <t>Мойсеенко Владимир Николаевич</t>
  </si>
  <si>
    <t>Старший методолог</t>
  </si>
  <si>
    <t>Мисунова Анастасия Сергеевна</t>
  </si>
  <si>
    <t>Руководитель группы по методологии и контролю проектной деятельности</t>
  </si>
  <si>
    <t>Тищенко Марина Игоревна</t>
  </si>
  <si>
    <t>Методология корпоративных систем и шаблонов</t>
  </si>
  <si>
    <t>Лазарева Елена Валерьевна</t>
  </si>
  <si>
    <t>Руководитель группы по методологии транзакционных (ERP) систем</t>
  </si>
  <si>
    <t>Смышляева Мария Валерьевна</t>
  </si>
  <si>
    <t>Штукина Наталья Геннадьевна</t>
  </si>
  <si>
    <t>Абрамян Людмила Анатольевна</t>
  </si>
  <si>
    <t>Туркина Людмила Викторовна</t>
  </si>
  <si>
    <t>Курбатова Ольга Юрьевна</t>
  </si>
  <si>
    <t>Пустынникова Ольга Алексеевна</t>
  </si>
  <si>
    <t>Тивикова Екатерина Леонидовна</t>
  </si>
  <si>
    <t>Шашкова Ольга Борисовна</t>
  </si>
  <si>
    <t>Качалина Татьяна Даниловна</t>
  </si>
  <si>
    <t>Ильин Александр Юрьевич</t>
  </si>
  <si>
    <t>И1987</t>
  </si>
  <si>
    <t>Герасимов Алексей Владимирович</t>
  </si>
  <si>
    <t>Семенова Диана Павловна</t>
  </si>
  <si>
    <t>Трофимова Алла Александровна</t>
  </si>
  <si>
    <t>Сперанская Луиза Леонидовна</t>
  </si>
  <si>
    <t>Калабекова Джамиля Султан-Муратовна</t>
  </si>
  <si>
    <t>Исхаков Тимур Маратович</t>
  </si>
  <si>
    <t>Гордиенко Екатерина Владимировна</t>
  </si>
  <si>
    <t>Зверев Роман Владимирович</t>
  </si>
  <si>
    <t>Христолюбова Олеся Геннадьевна</t>
  </si>
  <si>
    <t>Данилова Альбина Владимировна</t>
  </si>
  <si>
    <t>Волчкова Наталия Дмитриевна</t>
  </si>
  <si>
    <t>Миляева Татьяна Леонидовна</t>
  </si>
  <si>
    <t>Фомичева Ирина Анатольевна</t>
  </si>
  <si>
    <t>Методолог</t>
  </si>
  <si>
    <t>Фока Евгения Сергеевна</t>
  </si>
  <si>
    <t>Вайцеховская Анна Леонидовна</t>
  </si>
  <si>
    <t>Лыкова Татьяна Александровна</t>
  </si>
  <si>
    <t>Новикова Елизавета Евгеньевна</t>
  </si>
  <si>
    <t>Методология учетных процессов и процедур</t>
  </si>
  <si>
    <t>Савушкина Ирина Николаевна</t>
  </si>
  <si>
    <t>Портнова Наталья Васильевна</t>
  </si>
  <si>
    <t>Картовенко Ирина Валерьевна</t>
  </si>
  <si>
    <t>Королева Светлана Александровна</t>
  </si>
  <si>
    <t>Сыровацкая Валентина Петровна</t>
  </si>
  <si>
    <t>Буртаева Ирина Валерьевна</t>
  </si>
  <si>
    <t>Гудзь Анна Викторовна</t>
  </si>
  <si>
    <t>Поддержка корпоративного процессного шаблона</t>
  </si>
  <si>
    <t>Лоос Александр Юрьевич</t>
  </si>
  <si>
    <t>Некрасова Лариса Валерьевна</t>
  </si>
  <si>
    <t>Крачун Дмитрий Владимирович</t>
  </si>
  <si>
    <t>Лаврова Алиса Андреевна</t>
  </si>
  <si>
    <t>Старший менджер по развитию бизнес-процессов</t>
  </si>
  <si>
    <t>Гилязов Тимур Филаритович</t>
  </si>
  <si>
    <t>Сидоров Роман Николаевич</t>
  </si>
  <si>
    <t>Меос Виктория Валерьевна</t>
  </si>
  <si>
    <t>Поддержка проектной деятельности</t>
  </si>
  <si>
    <t>Лебедь Александра Александровна</t>
  </si>
  <si>
    <t>Данилова Александра Игоревна</t>
  </si>
  <si>
    <t>Кинаш Ульяна Михайловна</t>
  </si>
  <si>
    <t>16-05</t>
  </si>
  <si>
    <t>Урьева Людмила Борисовна</t>
  </si>
  <si>
    <t>2-03-01</t>
  </si>
  <si>
    <t>Вершковая Дарья Дамировна</t>
  </si>
  <si>
    <t>Чеботарева Антонина Вячеславовна</t>
  </si>
  <si>
    <t>Родионова Татьяна Григорьевна</t>
  </si>
  <si>
    <t>Кохтачева Наталия Викторовна</t>
  </si>
  <si>
    <t>Янчук Оксана Николаевна</t>
  </si>
  <si>
    <t>Русакова Светлана Михайловна</t>
  </si>
  <si>
    <t>Макеева Виктория Александровна</t>
  </si>
  <si>
    <t>Родина Юлия Борисовна</t>
  </si>
  <si>
    <t>Демидова Валентина Игоревна</t>
  </si>
  <si>
    <t>Казакова Дарья Андреевна</t>
  </si>
  <si>
    <t>Модолинская Дарья Сергеевна</t>
  </si>
  <si>
    <t>Домикова Ольга Геннадьевна</t>
  </si>
  <si>
    <t>Рафа Анна Александровна</t>
  </si>
  <si>
    <t>Цой Анна Александровна</t>
  </si>
  <si>
    <t>1-01-05</t>
  </si>
  <si>
    <t>С00630</t>
  </si>
  <si>
    <t>Жумаев Владимир Кириллович</t>
  </si>
  <si>
    <t>Николаева Наталья Владимировна</t>
  </si>
  <si>
    <t>Профессиональные услуги</t>
  </si>
  <si>
    <t>Баринов Андрей Владимирович</t>
  </si>
  <si>
    <t>Вихрова Анастасия Наджмаддиновна</t>
  </si>
  <si>
    <t>Никитин Андрей Алексеевич</t>
  </si>
  <si>
    <t>И1988</t>
  </si>
  <si>
    <t>Самтонова Галина Юрьевна</t>
  </si>
  <si>
    <t>6-05</t>
  </si>
  <si>
    <t>Батова Ольга Вячеславовна</t>
  </si>
  <si>
    <t>Дубровская Ольга Леонидовна</t>
  </si>
  <si>
    <t>Чернов Александр Александрович</t>
  </si>
  <si>
    <t>Кава Галина Геннадьевна</t>
  </si>
  <si>
    <t>Хамантов Андрей Витальевич</t>
  </si>
  <si>
    <t>Ахмадуллина Лейсан Тахировна</t>
  </si>
  <si>
    <t>Фатеева Кира Александровна</t>
  </si>
  <si>
    <t>Гридчина Маргарита Геннадьевна</t>
  </si>
  <si>
    <t>Конюхова Ирина Викторовна</t>
  </si>
  <si>
    <t>Гурьева Наталья Александровна</t>
  </si>
  <si>
    <t>Бакалова Ольга Алексеевна</t>
  </si>
  <si>
    <t>Тюрина Екатерина Олеговна</t>
  </si>
  <si>
    <t>Петрова Анастасия Андреевна</t>
  </si>
  <si>
    <t>Жевлатова Полина Николаевна</t>
  </si>
  <si>
    <t>Бакушкина Юлия Николаевна</t>
  </si>
  <si>
    <t>Шатская Милена Викторовна</t>
  </si>
  <si>
    <t>Таратута Дмитрий Сергеевич</t>
  </si>
  <si>
    <t>Пономарева Оксана Владимировна</t>
  </si>
  <si>
    <t>Спицин Владимир Борисович</t>
  </si>
  <si>
    <t>Рачинская Ирина Владимировна</t>
  </si>
  <si>
    <t>Старший Руководитель проектов</t>
  </si>
  <si>
    <t>Баранникова Ольга Александровна</t>
  </si>
  <si>
    <t>Десятник Зоя Валерьевна</t>
  </si>
  <si>
    <t>Шабанова Виктория Константиновна</t>
  </si>
  <si>
    <t>Бордюжа Сергей Александрович</t>
  </si>
  <si>
    <t>Кормашов Олег Михайлович</t>
  </si>
  <si>
    <t>Фоменко Александр Юрьевич</t>
  </si>
  <si>
    <t>Неверова Мария Олеговна</t>
  </si>
  <si>
    <t>Прочие услуги</t>
  </si>
  <si>
    <t>Управление проектной деятельности и экплуатации систем безопасности</t>
  </si>
  <si>
    <t>Отдел поддержки закупочной деятельности</t>
  </si>
  <si>
    <t>Эксплуатация систем безопасности</t>
  </si>
  <si>
    <t>Лунин Роман Александрович</t>
  </si>
  <si>
    <t>Викеев Степан Владимирович</t>
  </si>
  <si>
    <t>Отдел проектной экспертизы</t>
  </si>
  <si>
    <t>Трофимов Андрей Борисович</t>
  </si>
  <si>
    <t xml:space="preserve">Заместитель начальника отдела </t>
  </si>
  <si>
    <t>Булкин Сергей Сергеевич</t>
  </si>
  <si>
    <t>Чеботарев Евгений Михайлович</t>
  </si>
  <si>
    <t>Ярулина Диана Юрьевна</t>
  </si>
  <si>
    <t>Шведова Юлия Юрьевна</t>
  </si>
  <si>
    <t>Отдел управления, контроля доступом и поддержки корпоративного УЦ</t>
  </si>
  <si>
    <t>Рогозин Алексей Юрьевич</t>
  </si>
  <si>
    <t>Заместитель начальника отдела</t>
  </si>
  <si>
    <t>Мартынцев Алексей Сергеевич</t>
  </si>
  <si>
    <t>Алфимов Алексей Владимирович</t>
  </si>
  <si>
    <t>Данилов Алексей Сергеевич</t>
  </si>
  <si>
    <t>Куликов Денис Юрьевич</t>
  </si>
  <si>
    <t>Бажанов Никита Владимирович</t>
  </si>
  <si>
    <t>Отдел эксплуатации систем безопасности</t>
  </si>
  <si>
    <t xml:space="preserve">Начальник отдела </t>
  </si>
  <si>
    <t>Николаев Дмитрий Дмитриевич</t>
  </si>
  <si>
    <t>Торопин Павел Валентинович</t>
  </si>
  <si>
    <t>Саркисян Амаяк Сетракович</t>
  </si>
  <si>
    <t>Весенин Алексей Валлерьевич</t>
  </si>
  <si>
    <t>Никифоров Иван Николаевич</t>
  </si>
  <si>
    <t>Фалилеев Иван Николаевич</t>
  </si>
  <si>
    <t>Шидловский Иван Витальевич</t>
  </si>
  <si>
    <t>Щербинин Олег Иванович</t>
  </si>
  <si>
    <t>Матреничев Иван Иванович</t>
  </si>
  <si>
    <t>Горюшев Дмитрий Николаевич</t>
  </si>
  <si>
    <t>Заместитель начальника управления</t>
  </si>
  <si>
    <t>Зыков Антон Игоревич</t>
  </si>
  <si>
    <t>Жуков Алексей Алексеевич</t>
  </si>
  <si>
    <t>Архитектор по информационной безопасности IT инфраструктуры</t>
  </si>
  <si>
    <t>Макаров Андрей Игоревич</t>
  </si>
  <si>
    <t>Архитектор по информационной безопасности АСУ ТП</t>
  </si>
  <si>
    <t>Бадеха Иван Александрович</t>
  </si>
  <si>
    <t>Центр оперативного реагирования на инциденты информационной безопасности</t>
  </si>
  <si>
    <t>Заместитель начальника центра</t>
  </si>
  <si>
    <t>Ардаков Александр Сергеевич</t>
  </si>
  <si>
    <t xml:space="preserve">Сервисная линия СВК </t>
  </si>
  <si>
    <t>Поддержка СВК ФЭБ</t>
  </si>
  <si>
    <t>И1907</t>
  </si>
  <si>
    <t>Самароков Григорий Геннадьевич</t>
  </si>
  <si>
    <t>Мачнева Анна Ивановна</t>
  </si>
  <si>
    <t>Джангуразов Юсуф Улдарович</t>
  </si>
  <si>
    <t>Садовникова Любовь Михайловна</t>
  </si>
  <si>
    <t>Экспертиза производственных процессов</t>
  </si>
  <si>
    <t>Группа по поддержке проектной экспертизы</t>
  </si>
  <si>
    <t>МПГ</t>
  </si>
  <si>
    <t>Соколова Лилия Рафиковна</t>
  </si>
  <si>
    <t>Поварницына Алина Владимировна</t>
  </si>
  <si>
    <t>Группа по поддержке сметной экспертизы</t>
  </si>
  <si>
    <t>Попова Юлия Леонидовна</t>
  </si>
  <si>
    <t>Галкина Наталья Геннадьевна</t>
  </si>
  <si>
    <t>Петлева Ирина Васильевна</t>
  </si>
  <si>
    <t>Абызбаев Владислав Байрасович</t>
  </si>
  <si>
    <t>Захарченко Оксана Викторовна</t>
  </si>
  <si>
    <t>Анистрат Ирина Викторовна</t>
  </si>
  <si>
    <t>Шишков Артем Андреевич</t>
  </si>
  <si>
    <t>Веселова Мария Николаевна</t>
  </si>
  <si>
    <t>Группа по экспертной поддержке ГГИС</t>
  </si>
  <si>
    <t>Гилько Ирина Анатольевна</t>
  </si>
  <si>
    <t>Сергеев Сергей Николаевич</t>
  </si>
  <si>
    <t>Сегизбаев Кайрат Токтарканович</t>
  </si>
  <si>
    <t>Кузьмин Сергей Борисович</t>
  </si>
  <si>
    <t>Миядин Денис Владимирович</t>
  </si>
  <si>
    <t>Магомедкеримов Максим Ширинбегович</t>
  </si>
  <si>
    <t>Штукин Андрей Дмитриевич</t>
  </si>
  <si>
    <t>Федянин Георгий Олегович</t>
  </si>
  <si>
    <t>Радзион Василий Викторович</t>
  </si>
  <si>
    <t>Галкин Александр Петрович</t>
  </si>
  <si>
    <t>Абдрашитов Ринат Шаукатович</t>
  </si>
  <si>
    <t>Группа по экспертной поддержке производства</t>
  </si>
  <si>
    <t>Радьков Сергей Александрович</t>
  </si>
  <si>
    <t>Гресь Сергей Александрович</t>
  </si>
  <si>
    <t>Левашев Евгений Анатольевич</t>
  </si>
  <si>
    <t>Группа по экспертной поддержке ТОИР</t>
  </si>
  <si>
    <t>Денисенко Марина Владимировна</t>
  </si>
  <si>
    <t>Ионов Александр Юрьевич</t>
  </si>
  <si>
    <t>Скутницкая Наталья Викторовна</t>
  </si>
  <si>
    <t>Миронов Александр Анатольевич</t>
  </si>
  <si>
    <t xml:space="preserve"> </t>
  </si>
  <si>
    <t>Ставки для ГМК
за чел/дн., руб.</t>
  </si>
  <si>
    <t>Коды
Ставок</t>
  </si>
  <si>
    <t>без НДС</t>
  </si>
  <si>
    <t>с НДС</t>
  </si>
  <si>
    <t>К6</t>
  </si>
  <si>
    <t>К7</t>
  </si>
  <si>
    <t>К8</t>
  </si>
  <si>
    <t>Разработка,  согласование и подписание Карточки ИТ-инициативы</t>
  </si>
  <si>
    <t>Разработка,  согласование и подписание Карточки ИТ-инициативы с ФЗ и ДИТ (включая: Реестр требований, Обоснование целесообразности,  Бизнес-выгоды,  Реестр рисков, Опросный лист ИБ;  определение источника и лимитов финансирования)</t>
  </si>
  <si>
    <t>Доработка и донастройка системы по результатам проведенных тестирований/испытаний и ОПЭ (отработка выявленных замечаний)</t>
  </si>
  <si>
    <t>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t>
  </si>
  <si>
    <t>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t>
  </si>
  <si>
    <t>Проведение закупки, экспертиза предложений потенциальных поставщиков услуг по реализации ИТ-проекта, подготовка экспертных заключений в рамках проведения закупочных процедур</t>
  </si>
  <si>
    <t>Регистрация ИТ-инициативы в Программе проектов Компании</t>
  </si>
  <si>
    <t>Разработка Детального ресурсного плана на  ИТ-иницитиву</t>
  </si>
  <si>
    <t>Разработка и согласование комплекта документов для ИК/ИПК  на ИТ- инициативу</t>
  </si>
  <si>
    <t>Утверждение лимита финансирования на проработку ИТ-инициативы</t>
  </si>
  <si>
    <t>Подготовка  Приказа по НН-ОЦО о старте ИТ-инициативы и выделении ресурсов</t>
  </si>
  <si>
    <t>Подготовка комплекта закупочной документации  на ИТ-инициативу</t>
  </si>
  <si>
    <t>Проведение закупки услуг по проработке ИТ-инициативы</t>
  </si>
  <si>
    <t>Заключение договора с внешним подрядчиком на проработку ИТ-инициативы</t>
  </si>
  <si>
    <t>Управление ИТ-инициативой</t>
  </si>
  <si>
    <t>Администрирование ИТ-инициативы</t>
  </si>
  <si>
    <t>Разработка и согласование Функционально-технических требований</t>
  </si>
  <si>
    <t>Проведение анализа рынка по реализации ИТ-проекта</t>
  </si>
  <si>
    <t>Архитектурная проработка ИТ-инициативы</t>
  </si>
  <si>
    <t>Принятие решения по архитектуре системы</t>
  </si>
  <si>
    <t>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t>
  </si>
  <si>
    <t>Разработка и согласование Детального ресурного плана на ИТ-проект</t>
  </si>
  <si>
    <t>Разработка и согласование комплекта документов для ИК/ИПК на ИТ- проект</t>
  </si>
  <si>
    <t>Защита бюджета и параметров ИТ-проекта</t>
  </si>
  <si>
    <t>Управление ИТ-проектом</t>
  </si>
  <si>
    <t>Администрирование ИТ-проекта</t>
  </si>
  <si>
    <t>Администрирование ИТ-проекта (включая, но не ограничиваясь: организацию и согласование документов, разрабатываемых в рамках ИТ-проекта; контроль исполнения поручений в рамках ИТ-проекта; ведение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t>
  </si>
  <si>
    <t>Подготовка комплекта закупочной документации на ИТ-проект</t>
  </si>
  <si>
    <t>Проведение закупочных процедур по реализации ИТ-проекта</t>
  </si>
  <si>
    <t>Актуализация и согласование  документации по ИТ-проекту по результатам закупочных процедур</t>
  </si>
  <si>
    <t>Разработка и согласование комплекта документов для ИК/ИПК (корректировка ИТ-проекта)</t>
  </si>
  <si>
    <t xml:space="preserve">Защита корректировок бюджета и параметров ИТ-проекта  </t>
  </si>
  <si>
    <t>Заключение договора с внешним подрядчиком на ИТ-проект</t>
  </si>
  <si>
    <t>Подготовка, согласоване и заключение договора с внешним подрядчиком на оказание услуг по реализации ИТ-проекта</t>
  </si>
  <si>
    <t>Подготовка  Приказа по НН-ОЦО о старте ИТ-проекта и выделении ресурсов</t>
  </si>
  <si>
    <t xml:space="preserve">Приобретение лицензий на программное обеспечение </t>
  </si>
  <si>
    <t xml:space="preserve">Приобретение программного обеспечения (в том числе, но не ограничиваясь: системное и системообразующее ПО, прикладное ПО, ПО рабочих мест пользователей)  </t>
  </si>
  <si>
    <t>Приобретение оборудования</t>
  </si>
  <si>
    <t>Приобретение оборудования  (в том числе, ИТ-оборудования))</t>
  </si>
  <si>
    <t>Проведение дообследования предметной области</t>
  </si>
  <si>
    <t>Разработка и согласование Технического задания</t>
  </si>
  <si>
    <t xml:space="preserve">Разработка и согласование документации технического проекта </t>
  </si>
  <si>
    <t>Разработка и согласование документации технического проекта (включая, но не ограничиваясь:  Концептуальный проект / Проектные решения)</t>
  </si>
  <si>
    <t>Проведение испытаний системы по ГОСТ 34</t>
  </si>
  <si>
    <t>Доработка и донастройка системы</t>
  </si>
  <si>
    <t>Подготовка к ОПЭ (настройка системы на продуктивной среде)</t>
  </si>
  <si>
    <t>Подготовка и загрузка первичных данных</t>
  </si>
  <si>
    <t>Подключение пользователей к системе</t>
  </si>
  <si>
    <t>Проведение ОПЭ/Приемочных испытаний</t>
  </si>
  <si>
    <t>Подготовка к проведению миграции данных</t>
  </si>
  <si>
    <t>Выполнение процедуры миграции данных</t>
  </si>
  <si>
    <t>Документирование выполненных разработок и настроек системы</t>
  </si>
  <si>
    <t>Разработка и согласование комплекта рабочей и эксплуатационной по ГОСТ 34*</t>
  </si>
  <si>
    <t>Разработка методологических документации, для целей создания и внедрения системы</t>
  </si>
  <si>
    <t>Разработка и согласование проектно-сметной докумтентации</t>
  </si>
  <si>
    <t>Приобретение программного обеспечения</t>
  </si>
  <si>
    <t>Разработка и согласование комплекта документов для ИК/ИПК (корректировка  параметров ИТ-проект)</t>
  </si>
  <si>
    <t>Защита корректировок параметров ИТ-проекта</t>
  </si>
  <si>
    <t xml:space="preserve">Разработка методологических документов общего характера </t>
  </si>
  <si>
    <t>Адаптация существующих бизнес-процессов Компании к архитектуре и функционалу системы</t>
  </si>
  <si>
    <t>Проведение работ по осуществлению изменений бизнес-процессов Компании</t>
  </si>
  <si>
    <t>Разработка обучающих материалов</t>
  </si>
  <si>
    <t>Обучение пользователей</t>
  </si>
  <si>
    <t>Консультационная поддержка пользователей</t>
  </si>
  <si>
    <t>Обучение группы сопровождения и поддержки</t>
  </si>
  <si>
    <t xml:space="preserve">Принятие решение по заверешнию проекта на УК </t>
  </si>
  <si>
    <t>Подготовка и выпуск Приказа по НН-ОЦО о завершении проекта</t>
  </si>
  <si>
    <t>Обучение пользователей (оформление Протокола обучения)</t>
  </si>
  <si>
    <t>Названия строк</t>
  </si>
  <si>
    <t>Общий итог</t>
  </si>
  <si>
    <t>Стоимость 2017 руб. без НДС</t>
  </si>
  <si>
    <t>Стоимость 2018 руб. без НДС</t>
  </si>
  <si>
    <r>
      <t xml:space="preserve">Стоимость руб. </t>
    </r>
    <r>
      <rPr>
        <sz val="10"/>
        <rFont val="Calibri"/>
        <family val="2"/>
        <charset val="204"/>
        <scheme val="minor"/>
      </rPr>
      <t>без НДС</t>
    </r>
  </si>
  <si>
    <t>Всего руб. без НДС.</t>
  </si>
  <si>
    <t>Всего руб. с НДС</t>
  </si>
  <si>
    <t>* - Предварительная стоимость на основании экспертной оценки, запросов на предложения от внешних подрядчиков, иных источников. Стоимость может быть  уточнена по итогам проведения закупочных процедур.</t>
  </si>
  <si>
    <t>Код операции в TS</t>
  </si>
  <si>
    <t>Название операции/вида работ в ТS</t>
  </si>
  <si>
    <t>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t>
  </si>
  <si>
    <t>Разработка и согласование проектно-сметной документации</t>
  </si>
  <si>
    <t>Приобретение оборудования (в том числе, но неограничиваясь: ИТ-оборудования)</t>
  </si>
  <si>
    <t>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t>
  </si>
  <si>
    <t>Приобретение материалов для выполнения работ по монтажу и установке (в т.ч. ИТ-инфраструктуры)</t>
  </si>
  <si>
    <t xml:space="preserve">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t>
  </si>
  <si>
    <t>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t>
  </si>
  <si>
    <t>Обеспечение поддержки работоспособности системы в режиме ОЭ/ОПЭ</t>
  </si>
  <si>
    <t>Обеспечение поддержки работоспособности системы в режиме Опытной эксплуатации и Опытно-прмышленной эксплуатации  (оформление Журнала инцидентов)</t>
  </si>
  <si>
    <t>13.6.01</t>
  </si>
  <si>
    <t>13.6.02</t>
  </si>
  <si>
    <t>13.6.03</t>
  </si>
  <si>
    <t>13.6.04</t>
  </si>
  <si>
    <t>13.6.05</t>
  </si>
  <si>
    <t>13.1.01</t>
  </si>
  <si>
    <t>13.1.02</t>
  </si>
  <si>
    <t>13.2.01</t>
  </si>
  <si>
    <t>13.2.02</t>
  </si>
  <si>
    <t>13.2.03</t>
  </si>
  <si>
    <t>13.2.04</t>
  </si>
  <si>
    <t>13.2.05</t>
  </si>
  <si>
    <t>13.2.06</t>
  </si>
  <si>
    <t>13.2.07</t>
  </si>
  <si>
    <t>13.2.08</t>
  </si>
  <si>
    <t>13.2.09</t>
  </si>
  <si>
    <t>13.3.01</t>
  </si>
  <si>
    <t>13.3.02</t>
  </si>
  <si>
    <t>13.3.03</t>
  </si>
  <si>
    <t>13.3.04</t>
  </si>
  <si>
    <t>13.3.05</t>
  </si>
  <si>
    <t>13.3.06</t>
  </si>
  <si>
    <t>13.3.07</t>
  </si>
  <si>
    <t>13.3.08</t>
  </si>
  <si>
    <t>13.3.09</t>
  </si>
  <si>
    <t>13.4.01</t>
  </si>
  <si>
    <t>13.4.02</t>
  </si>
  <si>
    <t>13.4.03</t>
  </si>
  <si>
    <t>13.4.04</t>
  </si>
  <si>
    <t>13.4.06</t>
  </si>
  <si>
    <t>13.4.07</t>
  </si>
  <si>
    <t>13.4.08</t>
  </si>
  <si>
    <t>13.4.09</t>
  </si>
  <si>
    <t>13.5.01</t>
  </si>
  <si>
    <t>13.05.02</t>
  </si>
  <si>
    <t>13.5.03</t>
  </si>
  <si>
    <t>13.5.04</t>
  </si>
  <si>
    <t>13.5.05</t>
  </si>
  <si>
    <t>13.5.06</t>
  </si>
  <si>
    <t>13.5.07</t>
  </si>
  <si>
    <t>13.5.08</t>
  </si>
  <si>
    <t>13.5.09</t>
  </si>
  <si>
    <t>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t>
  </si>
  <si>
    <t xml:space="preserve">Разработка и согласование эксплуатационной и рабочей документации на систему </t>
  </si>
  <si>
    <t>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t>
  </si>
  <si>
    <t>Монтаж и установка (в т.ч. ИТ-инфраструктуры)</t>
  </si>
  <si>
    <t xml:space="preserve">Пуско-наладочные работы (в т.ч. ИТ-инфраструктуры) </t>
  </si>
  <si>
    <t>Тестирование инфраструктуры  и ввод в эксплуатацию (в т.ч. ИТ-инфраструктуры)</t>
  </si>
  <si>
    <t>Разработка и согласование комплекта документов для ИК/ИПК (Заявка о включении в повестку заседания, Презентация, ПУП, ФЭМ/Паспорт, Бюджет проекта)</t>
  </si>
  <si>
    <t xml:space="preserve">Обеспечение поддержки работоспособности системы в ходе ОЭ / Приемочных испытаний </t>
  </si>
  <si>
    <t>Разработка и согласование SLA / Регламента технической поддержки системы</t>
  </si>
  <si>
    <t>Разработка и согласование комплекта документации Технического проекта по ГОСТ 34</t>
  </si>
  <si>
    <t>Разработка и согласование комплекта документации Технического проекта в соответствии с требованиями ГОСТ 34</t>
  </si>
  <si>
    <t>Разработка описаний автомтаизируемых бизнес-процессов и моделей в ARIS (модель "to be")</t>
  </si>
  <si>
    <t>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t>
  </si>
  <si>
    <t>Согласование комплекта документов для ИК/ИПК (Заявка о включении в повестку заседания, Презентация, ФЭМ/Паспорт, Отчет о результатах проекта; контроль оплат по закрытым этапам)</t>
  </si>
  <si>
    <t xml:space="preserve">Проведение ИК/ИПК по закрытию проекта </t>
  </si>
  <si>
    <t>Согласование комплекта документов для ИК/ИПК (закрытие ИТ- проекта)</t>
  </si>
  <si>
    <t>Подготовка финального УК по завершению проекта</t>
  </si>
  <si>
    <t>Проведение приемки результатов работ по проекту в рамках УК (решение о заверешнии проекта и подписание актов сдачи-приемки работ; согласование Итогового отчета; согласование комплектов документов для финального ИК/ИПК)</t>
  </si>
  <si>
    <t>Ввод системы в промышленную эксплуатацию</t>
  </si>
  <si>
    <t>Подготовка и подписание документов  о вводе системы в эксплуатацию (Подписание актов сдачи-приемки работ, оформление Акта / Приказа  о вводе в эксплуатацию)</t>
  </si>
  <si>
    <t xml:space="preserve">Постановка системы на бухгалтерский учет </t>
  </si>
  <si>
    <t>Обеспечение поддержки работоспособности системы в ходе Приемочных испытаний (оформление Протокола испытаний)</t>
  </si>
  <si>
    <t>Регистрация ИТ-инициативы в Программе проектов Компании (присвоение номера ИТ-инициативе)</t>
  </si>
  <si>
    <t>Подготовка, согласоване и заключение договора с внешним подрядчиком на оказание услуг по проработке ИТ-инициативы</t>
  </si>
  <si>
    <t>Управление ИТ-проектом (включая, но не ограничиваясь: организацию и контроль работ по ИТ-проекту, проведение встреч в рамках ИТ-проекта, согласование и подписание протоколов встреч в рамках ИТ-проекта; подготовка презентационных материалов для ОС/УК; проведение заседаний Операционного совета и Управляющего комитета;  подготовку и проведение закупочных процедур; контрактование; ведение договорной работы; разработку и согласование комплекта документов для ИК/ИПК; организацию работ по выделению ресурсов НН-ОЦО на реализацию проекта)</t>
  </si>
  <si>
    <t>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t>
  </si>
  <si>
    <t>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t>
  </si>
  <si>
    <t xml:space="preserve">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t>
  </si>
  <si>
    <t>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t>
  </si>
  <si>
    <t>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t>
  </si>
  <si>
    <t>Проектная роль</t>
  </si>
  <si>
    <t>Администратор</t>
  </si>
  <si>
    <t>Технический писатель</t>
  </si>
  <si>
    <t>Тестировщик</t>
  </si>
  <si>
    <t>Архитектор по ИБ</t>
  </si>
  <si>
    <t>Разработка документации</t>
  </si>
  <si>
    <t>Разработка системы</t>
  </si>
  <si>
    <t xml:space="preserve">Тестирование </t>
  </si>
  <si>
    <t>Экспертиза документации, разработанных решений</t>
  </si>
  <si>
    <t>Разработка решений по инфраструктуре; экспертиза решений/документов в части инфраструктуры; проведение работ по подготовке, настройке и тестированию ИТ-инфраструктуры</t>
  </si>
  <si>
    <t>Специалист по сопровождению</t>
  </si>
  <si>
    <t>Разработка решений по организации сервиса сопровождения; организация работ по сопровождению разработанного решения; приемка разработанного решения на поддержку</t>
  </si>
  <si>
    <t>Сопровождение разработанного решения</t>
  </si>
  <si>
    <t>Специалист по инфраструктуре</t>
  </si>
  <si>
    <t>Признак инвестиционного проекта</t>
  </si>
  <si>
    <t>Краткое название операции/вида работ в ТS</t>
  </si>
  <si>
    <t>Детально писание операции/вида работ в ТS</t>
  </si>
  <si>
    <t xml:space="preserve">Фаза  4. Завершение. Этап № 6. Завершение  </t>
  </si>
  <si>
    <t xml:space="preserve">Фаза  3. Реализация.  Этап № 5. Реализация  </t>
  </si>
  <si>
    <t xml:space="preserve">Фаза 2. Планирование. Этап № 4. Подготовка к реализации  </t>
  </si>
  <si>
    <t xml:space="preserve">Фвза 1. Инициирование. Этап № 1. Оценка </t>
  </si>
  <si>
    <t xml:space="preserve">Фаза 1. Инициирование. Этап № 2. Выбор </t>
  </si>
  <si>
    <t xml:space="preserve">Фаза 2. Планирование. Этап № 3.Изучение и детализация </t>
  </si>
  <si>
    <t>затраты на проведение мероприятий, направленных на принятие решения о инициировании проекта (предпроектные исследования – информационно-консультационные услуги, командировочные расходы)</t>
  </si>
  <si>
    <t>затраты на проведение мероприятий, нацеленных на подготовку проекта до утверждения проекта (принятия решения о целесообразности реализации проекта)</t>
  </si>
  <si>
    <t>затраты на проведение мероприятий, нацеленных на подготовку проекта до утверждения проекта (принятия решения о целесообразности реализации проекта</t>
  </si>
  <si>
    <t>Проведение закупки, экспертиза предложений  потенциальных поставщиков услуг по проработке ИТ-инициативы и подготовка экспертных заключений в рамках проведения закупочных процедур</t>
  </si>
  <si>
    <t xml:space="preserve">правление проектом (организация работ, проведение закупочных процедур, ведение договорной работы, подготовка и согласование технических требований к системе, разработка проектных документов по инициированию, разработка и утверждение проектных документов по бюджету проекта на ИК/ИПК) </t>
  </si>
  <si>
    <t>администрирование проекта (организация и протоколирование встреч, ведение документации по проекту)</t>
  </si>
  <si>
    <t>затраты на проведение мероприятий, нацеленных на организацию и планирование деталей проекта</t>
  </si>
  <si>
    <t>затраты на разработку концепции и принятие решения о приобретении, создании, существенной доработке и/или подготовке к использованию в запланированных целях результатов ИТ-проекта (затраты на разработку вариантов концепции – разработка альтернативных вариантов концепции и планов их реализации, оценка необходимых ресурсов на их реализацию и обеспечение функционирования, оценка преимуществ и недостатков каждого варианта, сопоставление требований и возможностей и выбор оптимального варианта концепции, удовлетворяющего требованиям Компании, определение порядка оценки качества и условий приемки, оценка эффектов от реализации, описание и обоснование предлагаемого варианта концепции)</t>
  </si>
  <si>
    <t>затраты на проведение мероприятий, направленных на принятие решения об открытии (старте) проекта (подготовка регламентных документов проекта, уточнение (детализация) содержания проекта)</t>
  </si>
  <si>
    <t>управление проектом (организация работ, проведение закупочных процедур, ведение договорной работы, подготовка и согласование технических требований к системе, разработка проектных документов по инициированию, разработка и утверждение проектных документов по бюджету проекта на ИК/ИПК)</t>
  </si>
  <si>
    <t>затраты, связанные с выбором подрядчика и проведением тендера</t>
  </si>
  <si>
    <t>Подготовка комплекта закупочной документации для закупки услуг по реализации ИТ-проекта</t>
  </si>
  <si>
    <t>1. затраты на приобретение оборудования,
2. приобретение ИТ-оборудования</t>
  </si>
  <si>
    <t>1. затраты на приобретение системного и системообразующего ПО, 
2. затраты на приобретение ПО рабочих мест пользователей, 
3. приобретение лицензии на программное обеспечение (сроком более 12 месяцев)</t>
  </si>
  <si>
    <t>1. затраты, связанные с формированием требований к результату (продукту, услуге) ИТ-проекта (затраты на обследование – сбор данных об объекте автоматизации и осуществляемых видах деятельности, выявление проблем, решение которых возможно средствами автоматизации, подготовка технико-экономического обоснования (ТЭО); затраты на формирование требований к результату – подготовка исходных данных для формирования требований (характеристика объекта автоматизации, описание требований, ограничения допустимых затрат на реализацию, ввод в действие и эксплуатацию, ожидаемый эффект от внедрения, условия создания и функционирования, оформление требований);
2. затраты на разработку технического задания для осуществления проекта и выбора подрядчика</t>
  </si>
  <si>
    <t>управление проектом (организация работ по проекту, организация и проведение встреч с функциональными заказчиками ИТ-систем в рамках проведения обследования, согласование и подписание протоколов встреч, организация и проведение заседаний Оперативного совета ИТ-проекта/ИТ-программы и Управляющего комитета)</t>
  </si>
  <si>
    <t>затраты на дообследование</t>
  </si>
  <si>
    <t>затраты на разработку технического задания на разработку системы</t>
  </si>
  <si>
    <t>затраты на работы, ведущиеся исключительно для целей создания и внедрения системы, в том числе, по разработке концептуального проекта (модели) (подготовка общего описания функциональной и технической архитектуры системы, общего описания процессов извлечения данных, алгоритмов трансформации, загрузки и агрегации данных, разработка методики нормализации и классификации справочников, разработка проектных решений, разработка новых или адаптация существующих методологических документов, описание текущих бизнес процессов, определение процессов для автоматизации, разработка целевых бизнес-процессов)</t>
  </si>
  <si>
    <t>затраты на реализацию (создание) системы (разработка и настройка, тестирование системы (функциональное и интеграционное), подготовка к опытно-промышленной эксплуатации (в т.ч. перенос системы из тестовой зоны в среду промышленной эксплуатации, загрузка нормализованных и классифицированных данных, прочие работы по подготовке к переходу в опытно-промышленную эксплуатацию с использованием реальных данных), опытно-промышленная эксплуатация системы и подготовка к промышленной эксплуатации)</t>
  </si>
  <si>
    <t>затраты на миграцию данных</t>
  </si>
  <si>
    <t>затраты на разработку документации и методологии, используемой исключительно для целей создания или внедрения системы (описание функциональной и технической архитектуры, формализация методик и алгоритмов, разработка прочей методологической документации,  разработка эксплуатационной документации)</t>
  </si>
  <si>
    <t>затраты на разработку проектной, рабочей и сметной документации</t>
  </si>
  <si>
    <t>затраты на приобретение материалов для выполнения работ по монтажу и установке оборудования</t>
  </si>
  <si>
    <t>затраты на монтаж и установку оборудования</t>
  </si>
  <si>
    <t>затраты на пуско-наладочные работы</t>
  </si>
  <si>
    <t>затраты на тестирование и ввод оборудования в эксплуатацию</t>
  </si>
  <si>
    <t>затраты на разработку методологических документов общего характера,  в том числе учетных политик или методик учета</t>
  </si>
  <si>
    <t>затраты на адаптацию существующих бизнес-процессов Компании к архитектуре и функционалу выбранной для внедрения системы, в том числе затраты на разработку методологии, например, затраты на разработку новых должностных инструкций и формулирование требований к квалификации персонала, затраты на подготовку к реализации изменений (например, разработка плана перехода), затраты на подготовку регламентов осуществления бизнес-процессов</t>
  </si>
  <si>
    <t>атраты на непосредственное осуществление изменений бизнес-процессов Компании, в том числе, затраты на реализацию методологии</t>
  </si>
  <si>
    <t>затраты на обучение и поддержку пользователей во время опытно-промышленной эксплуатации</t>
  </si>
  <si>
    <t>затраты на поддержку системы в промышленной эксплуатации и передача системы на поддержку заказчику</t>
  </si>
  <si>
    <t>затраты, осуществляемые на этапе завершения проекта, после передачи объекта внеоборотных активов в эксплуатацию (использование)</t>
  </si>
  <si>
    <t>Классификация затрат по ИТ-проектам (согласно Положения о капитализации)</t>
  </si>
  <si>
    <t>Проведение анализа рынка по реализации ИТ-инициативы</t>
  </si>
  <si>
    <t>Разработка и согласование  комплекта документов для ИК/ИПК (Заявка о включении в повестку заседания, Презентация, Бизнес-план, ФЭМ/Паспорт проекта, Бюджет проекта,  Реестр рисков)</t>
  </si>
  <si>
    <t>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t>
  </si>
  <si>
    <t>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"as is")</t>
  </si>
  <si>
    <t>Разработка описаний автоматизируемых бизнес-процессов и моделей в ARIS (модель "to be")</t>
  </si>
  <si>
    <t>Тестирование системы, проведение ОЭ</t>
  </si>
  <si>
    <t>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t>
  </si>
  <si>
    <t>Разработка и согласование ПМИ / Концепций и Сценариев тестирования</t>
  </si>
  <si>
    <t>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t>
  </si>
  <si>
    <t>1. затраты, связанные с выбором подрядчика и проведением тендера
2. затраты на разработку технического задания для осуществления проекта и выбора подрядчика</t>
  </si>
  <si>
    <t>1. затраты на проведение мероприятий, нацеленных на подготовку проекта до утверждения проекта (принятия решения о целесообразности реализации проекта)
2. затраты на разработку технического задания для осуществления проекта и выбора подрядчика</t>
  </si>
  <si>
    <t>Разработка и согласование комплекта документов для ИК/ИПК (корректировка  параметров ИТ-проекта)</t>
  </si>
  <si>
    <t>Начальник Управления защиты IT инфраструктуры</t>
  </si>
  <si>
    <t>Фамилия И.О.</t>
  </si>
  <si>
    <t>Блок / Подразделение ГО</t>
  </si>
  <si>
    <t>Функциональный Заказчик-1</t>
  </si>
  <si>
    <t>Функциональный Заказчик-2</t>
  </si>
  <si>
    <t xml:space="preserve">Финансовый контролер ДИТ </t>
  </si>
  <si>
    <t>Коваль В.Ф.</t>
  </si>
  <si>
    <t>Фонд</t>
  </si>
  <si>
    <t>Номер проекта</t>
  </si>
  <si>
    <t>Командировочные расходы</t>
  </si>
  <si>
    <t>Прочие</t>
  </si>
  <si>
    <t>Анализ/описание автоматизируемых процессов; постановка задач; разработка документации; экспертиза документации; тестирование функционала на соответствие бизнес-требованиям</t>
  </si>
  <si>
    <t>Анализ/описание автоматизируемых процессов; постановка задач; разработка документации; экспертиза документации; тестирование функционала на соответствие бизнес-требованиям; настройка системы</t>
  </si>
  <si>
    <t>Описание функций, выполняемых проектной ролью</t>
  </si>
  <si>
    <t>Инвестиционные затраты</t>
  </si>
  <si>
    <t/>
  </si>
  <si>
    <t>ЗАРУБЕЖ</t>
  </si>
  <si>
    <t>4.03.02  Расходы на приобретение ПО (ИД)</t>
  </si>
  <si>
    <t xml:space="preserve"> 4.03.01  Услуги по внедрению ИС и АС (ИД)</t>
  </si>
  <si>
    <t xml:space="preserve">4.06.01  Оборудование в составе проектов
</t>
  </si>
  <si>
    <t>Прочие инвестиционные затраты</t>
  </si>
  <si>
    <t>1.4</t>
  </si>
  <si>
    <t>ПРОЧВНЕШ</t>
  </si>
  <si>
    <t>Операционные затраты</t>
  </si>
  <si>
    <t>2.02.10  Услуги по внедрению ИС и АС</t>
  </si>
  <si>
    <t>2.02.18 Услуги по обслуживанию ИС и АС</t>
  </si>
  <si>
    <t>В том числе НН-ОЦО:</t>
  </si>
  <si>
    <t>Внешние источники финансирования:</t>
  </si>
  <si>
    <t>ПФМ</t>
  </si>
  <si>
    <t>ПФМ / программа бюджета / фин. позиция / фонд / период / год</t>
  </si>
  <si>
    <t>НН-ОЦО</t>
  </si>
  <si>
    <t>Прочие операционные затраты</t>
  </si>
  <si>
    <t>ПЛАНОВЫЕ СРОКИ РЕАЛИЗАЦИИ ПРОЕКТА</t>
  </si>
  <si>
    <t>2.4</t>
  </si>
  <si>
    <t>Руководство ИТ-инициативой/ИТ-проектом</t>
  </si>
  <si>
    <t>Администрирование ИТ-инициативы/ИТ-проекта</t>
  </si>
  <si>
    <t>Разработка решений/разделов проектной документации по обеспечению ИБ; экспертиза решений/документов на соответствие требованиям по обеспечению ИБ</t>
  </si>
  <si>
    <t>Разработка архитектуры решений/разделов проектной документации; экпертиза решений/документов на соответствие требованиям корпоративной архитектуре</t>
  </si>
  <si>
    <t>Повелицина В.В.</t>
  </si>
  <si>
    <t>&lt;Руководитель направления по экспертизе инфраструктуры&gt;</t>
  </si>
  <si>
    <t>Разработка и согласование комплекта рабочей и эксплуатационной документации в соответствии с требованиями ГОСТ 34</t>
  </si>
  <si>
    <t>Разработка и согласование комплекта рабочей и эксплуатационной документации по ГОСТ 34</t>
  </si>
  <si>
    <t>да</t>
  </si>
  <si>
    <t>Валютная составляющая</t>
  </si>
  <si>
    <t>Код валюты</t>
  </si>
  <si>
    <t>USD</t>
  </si>
  <si>
    <t>EUR</t>
  </si>
  <si>
    <t>CHF</t>
  </si>
  <si>
    <t>Доллар США</t>
  </si>
  <si>
    <t>Единная европейская валюта</t>
  </si>
  <si>
    <t>Швейцарский франк</t>
  </si>
  <si>
    <t>(пусто)</t>
  </si>
  <si>
    <t>Работы НН-ОЦО</t>
  </si>
  <si>
    <t>(пусто) Итог</t>
  </si>
  <si>
    <t>Стоимость подрядных работ</t>
  </si>
  <si>
    <t>Opex/Capex</t>
  </si>
  <si>
    <t>Результат работ/ Результирующий документ</t>
  </si>
  <si>
    <t>Ставка за 1 чел/дн (без НДС) руб.</t>
  </si>
  <si>
    <t>Стоимость руб. без НДС</t>
  </si>
  <si>
    <t>Проект</t>
  </si>
  <si>
    <t>Детально описание операции/вида работ</t>
  </si>
  <si>
    <t>Ставка</t>
  </si>
  <si>
    <t>Год</t>
  </si>
  <si>
    <t>Итого за год</t>
  </si>
  <si>
    <t>До 2016 включительно</t>
  </si>
  <si>
    <t>Стоимость 2016 руб. без НДС</t>
  </si>
  <si>
    <t>Стоимость 2019 руб. без НДС</t>
  </si>
  <si>
    <t>Opex т.р.</t>
  </si>
  <si>
    <t>Capex т.р.</t>
  </si>
  <si>
    <t>13.5.02</t>
  </si>
  <si>
    <t>Стоимость 2020 руб. без НДС</t>
  </si>
  <si>
    <t>Стоимость 2021 руб. без НДС</t>
  </si>
  <si>
    <t>Договор №</t>
  </si>
  <si>
    <t>Этап работ по договору с Контагентом</t>
  </si>
  <si>
    <t>Дата актирования работ по этапу</t>
  </si>
  <si>
    <t>Отсрочка платежа, кал. дней</t>
  </si>
  <si>
    <t>Предполагаемая дата платежа</t>
  </si>
  <si>
    <t>Статья затрат</t>
  </si>
  <si>
    <t>Объем средств (тыс. руб.), без НДС по годам</t>
  </si>
  <si>
    <t>Итого</t>
  </si>
  <si>
    <t>Opex</t>
  </si>
  <si>
    <t>Capex</t>
  </si>
  <si>
    <t>год проведения оплат</t>
  </si>
  <si>
    <t>Бюджет по оплатам</t>
  </si>
  <si>
    <t>Начисления (акты)</t>
  </si>
  <si>
    <t>янв</t>
  </si>
  <si>
    <t>фев</t>
  </si>
  <si>
    <t>мар</t>
  </si>
  <si>
    <t>апр</t>
  </si>
  <si>
    <t>май</t>
  </si>
  <si>
    <t>июн</t>
  </si>
  <si>
    <t>июл</t>
  </si>
  <si>
    <t>авг</t>
  </si>
  <si>
    <t>сен</t>
  </si>
  <si>
    <t>окт</t>
  </si>
  <si>
    <t>ноя</t>
  </si>
  <si>
    <t>дек</t>
  </si>
  <si>
    <t>янв. 2022</t>
  </si>
  <si>
    <t>вых</t>
  </si>
  <si>
    <t>Итого:</t>
  </si>
  <si>
    <t>Итого по начислениям, т.р.:</t>
  </si>
  <si>
    <t>Итого по оплатам, т.р.:</t>
  </si>
  <si>
    <t>этап актирования работ</t>
  </si>
  <si>
    <t>до 2016 г. вкл.</t>
  </si>
  <si>
    <t>2017 г.</t>
  </si>
  <si>
    <t>2018 г.</t>
  </si>
  <si>
    <t>2019 г.</t>
  </si>
  <si>
    <t>2020 г.</t>
  </si>
  <si>
    <t>2021 г.</t>
  </si>
  <si>
    <t xml:space="preserve">до 2016 г. вкл. </t>
  </si>
  <si>
    <t xml:space="preserve">2017 г. </t>
  </si>
  <si>
    <t xml:space="preserve">2018 г. </t>
  </si>
  <si>
    <t xml:space="preserve">2019 г. </t>
  </si>
  <si>
    <t xml:space="preserve">2020 г. </t>
  </si>
  <si>
    <t xml:space="preserve">2021 г. </t>
  </si>
  <si>
    <t>руб. без НДС</t>
  </si>
  <si>
    <t>руб. с НДС</t>
  </si>
  <si>
    <t>трудоемкость, руб. без НДС</t>
  </si>
  <si>
    <t>трудоемкость, руб. с НДС</t>
  </si>
  <si>
    <t>Итого стоимость руб. без НДС</t>
  </si>
  <si>
    <t>Начиления (акты) / план</t>
  </si>
  <si>
    <t>Бюджет по оплатам / план</t>
  </si>
  <si>
    <t>до 2016 г. вкл</t>
  </si>
  <si>
    <t xml:space="preserve">НН-ОЦО </t>
  </si>
  <si>
    <t>Opex, т.р.</t>
  </si>
  <si>
    <t>Capex, т.р.</t>
  </si>
  <si>
    <t>Итого, т.р.:</t>
  </si>
  <si>
    <t>Итого т.р.:</t>
  </si>
  <si>
    <t>бюджет по оплатам, руб. без НДС</t>
  </si>
  <si>
    <t>Расчет стоимости работ по фазам:</t>
  </si>
  <si>
    <t>Бюджет подрядных работ по оплатам (план), тыс. руб. без НДС:</t>
  </si>
  <si>
    <t>без валютной составляющей</t>
  </si>
  <si>
    <t>с валютной составляющей</t>
  </si>
  <si>
    <t>Итого без в/с:</t>
  </si>
  <si>
    <t>Итого с в/с:</t>
  </si>
  <si>
    <t>2021 г. и далее</t>
  </si>
  <si>
    <t>год проведения оплат:</t>
  </si>
  <si>
    <t>Капитальные расходы</t>
  </si>
  <si>
    <t>Операционные расходы</t>
  </si>
  <si>
    <t>2.16.05 Страховые взносы в ПФ, ФСС, ФОМС</t>
  </si>
  <si>
    <t>4.06.02 Оборудование ОВИЗ и ОРЭП</t>
  </si>
  <si>
    <t>Руководитель по направлению (Служба Заказчика)</t>
  </si>
  <si>
    <t>Ширяева А.С.</t>
  </si>
  <si>
    <t>Руководитель по направлению (технологии и архитектура)</t>
  </si>
  <si>
    <t>Иванов А.В.</t>
  </si>
  <si>
    <t>Руководитель по направлению (ИТ- инфраструктура)</t>
  </si>
  <si>
    <t xml:space="preserve">Всего руб. c НДС. </t>
  </si>
  <si>
    <t xml:space="preserve">Всего руб. без НДС </t>
  </si>
  <si>
    <t>К0</t>
  </si>
  <si>
    <t xml:space="preserve">Кульпин А.А. </t>
  </si>
  <si>
    <t>Названия столбцов</t>
  </si>
  <si>
    <t xml:space="preserve">Бюджет по оплатам, руб. без НДС </t>
  </si>
  <si>
    <r>
      <t>Рассчет стоимости работ (</t>
    </r>
    <r>
      <rPr>
        <b/>
        <i/>
        <u/>
        <sz val="16"/>
        <color rgb="FFC00000"/>
        <rFont val="Arial Cyr"/>
        <charset val="204"/>
      </rPr>
      <t>не бюджет!!!</t>
    </r>
    <r>
      <rPr>
        <b/>
        <i/>
        <sz val="16"/>
        <color rgb="FFC00000"/>
        <rFont val="Arial Cyr"/>
        <charset val="204"/>
      </rPr>
      <t xml:space="preserve">) </t>
    </r>
  </si>
  <si>
    <t>Стоимость работ по фазам проекта (руб. без НДС):</t>
  </si>
  <si>
    <t>ОБЩАЯ СТОИМОСТЬ ПРОЕКТА (в текущих ценах)</t>
  </si>
  <si>
    <t>Бюджет подрядных работ по годам и контрагентам (рассчет бюджета осуществляется по предполагаемой дате проведения оплат)</t>
  </si>
  <si>
    <t xml:space="preserve">БЮДЖЕТ ПРОЕКТА ПО ГОДАМ, тыс. руб. без НДС </t>
  </si>
  <si>
    <t>Бюджетная оценка подрядных работ, руб. без НДС</t>
  </si>
  <si>
    <t>тыс.руб.</t>
  </si>
  <si>
    <t>03.2017</t>
  </si>
  <si>
    <t>01.2017</t>
  </si>
  <si>
    <t>02.2017</t>
  </si>
  <si>
    <t>04.2017</t>
  </si>
  <si>
    <t>05.2017</t>
  </si>
  <si>
    <t>06.2017</t>
  </si>
  <si>
    <t>07.2017</t>
  </si>
  <si>
    <t>08.2017</t>
  </si>
  <si>
    <t>09.2017</t>
  </si>
  <si>
    <t>10.2017</t>
  </si>
  <si>
    <t>11.2017</t>
  </si>
  <si>
    <t>12.2017</t>
  </si>
  <si>
    <t>01.2018</t>
  </si>
  <si>
    <t>02.2018</t>
  </si>
  <si>
    <t>04.2018</t>
  </si>
  <si>
    <t>03.2018</t>
  </si>
  <si>
    <t>05.2018</t>
  </si>
  <si>
    <t>06.2018</t>
  </si>
  <si>
    <t>07.2018</t>
  </si>
  <si>
    <t>08.2018</t>
  </si>
  <si>
    <t>10.2018</t>
  </si>
  <si>
    <t>11.2018</t>
  </si>
  <si>
    <t>12.2018</t>
  </si>
  <si>
    <t>09.2018</t>
  </si>
  <si>
    <t>Трудоемкость 2018</t>
  </si>
  <si>
    <t>Трудоемкость 2017</t>
  </si>
  <si>
    <t>01.2019</t>
  </si>
  <si>
    <t>02.2019</t>
  </si>
  <si>
    <t>03.2019</t>
  </si>
  <si>
    <t>04.2019</t>
  </si>
  <si>
    <t>05.2019</t>
  </si>
  <si>
    <t>06.2019</t>
  </si>
  <si>
    <t>07.2019</t>
  </si>
  <si>
    <t>08.2019</t>
  </si>
  <si>
    <t>09.2019</t>
  </si>
  <si>
    <t>10.2019</t>
  </si>
  <si>
    <t>11.2019</t>
  </si>
  <si>
    <t>12.2019</t>
  </si>
  <si>
    <t>Трудоемкость 2019</t>
  </si>
  <si>
    <t>01.2020</t>
  </si>
  <si>
    <t>02.2020</t>
  </si>
  <si>
    <t>03.2020</t>
  </si>
  <si>
    <t>04.2020</t>
  </si>
  <si>
    <t>05.2020</t>
  </si>
  <si>
    <t>06.2020</t>
  </si>
  <si>
    <t>07.2020</t>
  </si>
  <si>
    <t>08.2020</t>
  </si>
  <si>
    <t>09.2020</t>
  </si>
  <si>
    <t>10.2020</t>
  </si>
  <si>
    <t>11.2020</t>
  </si>
  <si>
    <t>12.2020</t>
  </si>
  <si>
    <t>Трудоемкость 2020</t>
  </si>
  <si>
    <t>Стоимость 2020, руб</t>
  </si>
  <si>
    <t>Стоимость 2019, руб</t>
  </si>
  <si>
    <t>Стоимость 2018, руб</t>
  </si>
  <si>
    <t>Стоимость 2017, руб</t>
  </si>
  <si>
    <t>01.2021</t>
  </si>
  <si>
    <t>02.2021</t>
  </si>
  <si>
    <t>03.2021</t>
  </si>
  <si>
    <t>04.2021</t>
  </si>
  <si>
    <t>05.2021</t>
  </si>
  <si>
    <t>06.2021</t>
  </si>
  <si>
    <t>07.2021</t>
  </si>
  <si>
    <t>08.2021</t>
  </si>
  <si>
    <t>09.2021</t>
  </si>
  <si>
    <t>10.2021</t>
  </si>
  <si>
    <t>11.2021</t>
  </si>
  <si>
    <t>12.2021</t>
  </si>
  <si>
    <t>Трудоемкость 2021</t>
  </si>
  <si>
    <t>Стоимость 2021, руб.</t>
  </si>
  <si>
    <t xml:space="preserve"> Стоимость до 2016 вкл., руб</t>
  </si>
  <si>
    <t>Итого Трудоемкость</t>
  </si>
  <si>
    <t>Итого Стоимость руб. без НДС</t>
  </si>
  <si>
    <t>Фвза 1. Инициирование. Этап № 1. Оценка</t>
  </si>
  <si>
    <r>
      <t>Фаза 2. Планирование. Этап № 4. Подготовка к реализации</t>
    </r>
    <r>
      <rPr>
        <b/>
        <sz val="11"/>
        <color rgb="FFFF0000"/>
        <rFont val="Calibri"/>
        <family val="2"/>
        <charset val="204"/>
        <scheme val="minor"/>
      </rPr>
      <t xml:space="preserve"> </t>
    </r>
  </si>
  <si>
    <t xml:space="preserve">Фаза  4. Завершение. Этап № 6. Завершение </t>
  </si>
  <si>
    <t xml:space="preserve">Фаза  3. Реализация.  Этап № 5. Реализация </t>
  </si>
  <si>
    <t>1. Лист "ДРП -свод"</t>
  </si>
  <si>
    <r>
      <rPr>
        <b/>
        <sz val="10"/>
        <rFont val="Arial Cyr"/>
        <charset val="204"/>
      </rPr>
      <t>Плановые сроки реализации проекта</t>
    </r>
    <r>
      <rPr>
        <sz val="10"/>
        <rFont val="Arial Cyr"/>
        <charset val="204"/>
      </rPr>
      <t xml:space="preserve">
заполняются путем ввода с клавиатуры</t>
    </r>
  </si>
  <si>
    <t xml:space="preserve">
</t>
  </si>
  <si>
    <r>
      <t xml:space="preserve">Сводная информация по стоимости проекта:
</t>
    </r>
    <r>
      <rPr>
        <sz val="10"/>
        <color rgb="FF2B2A29"/>
        <rFont val="Arial"/>
        <family val="2"/>
        <charset val="204"/>
      </rPr>
      <t>заполняется автоматически на основе данных, введенных на других листах ДРП:
- 4.03.01  Услуги по внедрению ИС и АС (ИД);
- 4.03.02  Расходы на приобретение ПО (ИД);
- 4.06.01  Оборудование в составе проектов;
- 2.02.10  Услуги по внедрению ИС и АС
заполняется путем ввода с клавиатуры:
- Прочие инвестиционные затраты;
- 2.02.18 Услуги по обслуживанию ИС и АС;;
- 2.04.01 Материалы;
- Прочие операционные затраты</t>
    </r>
  </si>
  <si>
    <t>изменений нет</t>
  </si>
  <si>
    <t>скорректирован состав ролей/должностей в соответствии с Положением по ДИТ и Положением по БИМ</t>
  </si>
  <si>
    <t>Руководитель проекта / Менеджер ИТ-инициативы</t>
  </si>
  <si>
    <r>
      <rPr>
        <b/>
        <sz val="10"/>
        <rFont val="Arial Cyr"/>
        <charset val="204"/>
      </rPr>
      <t>Выделение источника финансирования:</t>
    </r>
    <r>
      <rPr>
        <sz val="10"/>
        <rFont val="Arial Cyr"/>
        <charset val="204"/>
      </rPr>
      <t xml:space="preserve">
заполняется Финансовым контролером ДИТ</t>
    </r>
  </si>
  <si>
    <r>
      <rPr>
        <b/>
        <sz val="10"/>
        <rFont val="Arial Cyr"/>
        <charset val="204"/>
      </rPr>
      <t>Дополнительные согласующие:</t>
    </r>
    <r>
      <rPr>
        <sz val="10"/>
        <rFont val="Arial Cyr"/>
        <charset val="204"/>
      </rPr>
      <t xml:space="preserve">
заполняется путем ввода с клавиатуры в случае согласования с ДИАК, ЭД и др. подразделениями Компании</t>
    </r>
  </si>
  <si>
    <t>новый лист</t>
  </si>
  <si>
    <t>2. Бюджет проекта по оплатам</t>
  </si>
  <si>
    <t>3. Работы НН-ОЦО</t>
  </si>
  <si>
    <r>
      <t xml:space="preserve">Заполнение данных осуществляется путем ручного ввода с клавиатуры или встроенных справочников, расчет стоимостных показателей осуществляется на основе встроенных формул.
Данные, заполняемые на основе встроенных справочников:
- Роль в проекте (выбор из списка)
- Категория сотрудника (выбор из списка)
- Ставка за 1 чел/день (заполняется автоматически в зависимости от указанной категории)
- ФИО (выбор из справочника)
- Структурное подразделение (заполняется автоматически на основе введенной фамилии)
</t>
    </r>
    <r>
      <rPr>
        <b/>
        <sz val="10"/>
        <color rgb="FFFF0000"/>
        <rFont val="Arial Cyr"/>
        <charset val="204"/>
      </rPr>
      <t>Важно!!!</t>
    </r>
    <r>
      <rPr>
        <sz val="10"/>
        <rFont val="Arial Cyr"/>
        <charset val="204"/>
      </rPr>
      <t xml:space="preserve">
Каждой операции присвоен код вида работ CapEx или OpEx в соответствии со статьей затрат Положения о капитализации
Каждой операции присвоен уникальный код в формате 13.Х.ХХ, где 13 – номер узла операции в системе учета трудозатрат, Х – номер этапа жизненного цикла проекта, ХХ – порядковый номер операции в рамках этапа
</t>
    </r>
  </si>
  <si>
    <r>
      <rPr>
        <i/>
        <u/>
        <sz val="10"/>
        <rFont val="Arial Cyr"/>
        <charset val="204"/>
      </rPr>
      <t xml:space="preserve">Добавление строк для ввода трудозатрат
</t>
    </r>
    <r>
      <rPr>
        <sz val="10"/>
        <rFont val="Arial Cyr"/>
        <charset val="204"/>
      </rPr>
      <t xml:space="preserve">
Базово для каждой операции доступны для ввода трудозатрат 2 строки (базовые сроки раздела)
Для добавления срок в операцию необходимо выполнить следующую последовательность действий:
- Щелкните левой кнопкой мыши на наименовании операции
- Нажмите на кнопку «Добавление срок»
- В открывшемся окне введите количество добавляемых срок и нажмите на кнопку «ОК»
- В состав операции добавится введенное количество строк
</t>
    </r>
  </si>
  <si>
    <r>
      <rPr>
        <i/>
        <u/>
        <sz val="10"/>
        <rFont val="Arial Cyr"/>
        <charset val="204"/>
      </rPr>
      <t xml:space="preserve">Ввод данных в поля «Категория сотрудника», «Ставка за 1 чел/дн», «Роль в проекте»
</t>
    </r>
    <r>
      <rPr>
        <sz val="10"/>
        <rFont val="Arial Cyr"/>
        <charset val="204"/>
      </rPr>
      <t xml:space="preserve">
- Щелкните левой кнопкой мыши на поле «Категория сотрудника» и активируйте контекстное меню работы со справочником 
- В открывшемся списке выберите нужную категорию и щелкните левой кнопкой мыши
- Система заполнит поле «Категория сотрудника» выбранным значением и автоматически заполнит поле «Ставка за 1 чел/дн» 
- Щелкните левой кнопкой мыши на поле «Роль в проекте» и активируйте контекстное меню работы со справочником
- В открывшемся списке выберите нужную роль и щелкните левой кнопкой мыши
</t>
    </r>
  </si>
  <si>
    <t>нет изменений</t>
  </si>
  <si>
    <r>
      <rPr>
        <i/>
        <u/>
        <sz val="10"/>
        <rFont val="Arial Cyr"/>
        <charset val="204"/>
      </rPr>
      <t>Удаление строк</t>
    </r>
    <r>
      <rPr>
        <sz val="10"/>
        <rFont val="Arial Cyr"/>
        <charset val="204"/>
      </rPr>
      <t xml:space="preserve">
Для удаления строк из операции необходимо выполнить следующую последовательность действий
- Щелкните левой кнопкой мыши на сроку раздела, которую надо удалить
- Нажмите на кнопку «Удаление строк»
- Отмеченная строка будет удалена 
</t>
    </r>
    <r>
      <rPr>
        <b/>
        <sz val="10"/>
        <color rgb="FFFF0000"/>
        <rFont val="Arial Cyr"/>
        <charset val="204"/>
      </rPr>
      <t>Внимание!!!</t>
    </r>
    <r>
      <rPr>
        <sz val="10"/>
        <rFont val="Arial Cyr"/>
        <charset val="204"/>
      </rPr>
      <t xml:space="preserve">
Нельзя удалять базовые строки раздела.
При попытке выполнить процедуру удаления система выдаст сообщение об ошибке
</t>
    </r>
  </si>
  <si>
    <t>новая таблица</t>
  </si>
  <si>
    <r>
      <t xml:space="preserve">4. Командировочные расходы
</t>
    </r>
    <r>
      <rPr>
        <b/>
        <sz val="10"/>
        <rFont val="Arial Cyr"/>
        <charset val="204"/>
      </rPr>
      <t xml:space="preserve">
</t>
    </r>
  </si>
  <si>
    <t>Лист «Командировочные расходы» позволяет осуществлять расчет стоимости командировочных расходов сотрудников НН-ОЦО к привязке к этапу жизненного цикла проекта и виду операции, что позволяет соотносить затраты к CapEx или OpEx 
Лист содержит 2 справочника: «ФИО» и «Код операции в TS» (для активации справочников необходимо дважды щелкнуть левой кнопкой мыши на соответствующем поле
Добавление / Удаление строк осуществляется по аналогии с листом «Работы НН-ОЦО» 
Расчетные данные автоматически переносятся на листы "ДРП – свод", "Бюджет проекта по оплатам",  "Свод CapEx/OpEx"</t>
  </si>
  <si>
    <r>
      <rPr>
        <i/>
        <u/>
        <sz val="10"/>
        <rFont val="Arial Cyr"/>
        <charset val="204"/>
      </rPr>
      <t>Бюджет по оплатам</t>
    </r>
    <r>
      <rPr>
        <sz val="10"/>
        <rFont val="Arial Cyr"/>
        <charset val="204"/>
      </rPr>
      <t xml:space="preserve">
расчитывается автоматически на основе введенных данных в тыс. руб. по каждому месяцу в разрезе Opex/Capex</t>
    </r>
  </si>
  <si>
    <r>
      <rPr>
        <i/>
        <u/>
        <sz val="10"/>
        <rFont val="Arial Cyr"/>
        <charset val="204"/>
      </rPr>
      <t>Начисления / Акты</t>
    </r>
    <r>
      <rPr>
        <sz val="10"/>
        <rFont val="Arial Cyr"/>
        <charset val="204"/>
      </rPr>
      <t xml:space="preserve">
расчитывается автоматически на основе введенных данных в тыс. руб. по каждому месяцу в разрезе Opex/Capex</t>
    </r>
  </si>
  <si>
    <r>
      <t xml:space="preserve">Расчет бюджета осуществляется в текущих ценах (без учета инфляционной составляющей) по предполагаемой дате проведения оплат. 
Расчет бюджета по статьям, отмеченным зеленым цветом, осуществляется автоматически на нове заполненных листов ДРП.
Расчет стоимости по другим статьям осуществляется экспертным путем (в том числе, на основе результатов анализа рынка). Заполнение данных по таким статьям осуществляется путем ввода с клавиатуры.
</t>
    </r>
    <r>
      <rPr>
        <sz val="10"/>
        <color rgb="FFFF0000"/>
        <rFont val="Arial Cyr"/>
        <charset val="204"/>
      </rPr>
      <t xml:space="preserve">
</t>
    </r>
    <r>
      <rPr>
        <b/>
        <sz val="10"/>
        <color rgb="FFFF0000"/>
        <rFont val="Arial Cyr"/>
        <charset val="204"/>
      </rPr>
      <t>Важно!!!</t>
    </r>
    <r>
      <rPr>
        <b/>
        <sz val="10"/>
        <rFont val="Arial Cyr"/>
        <charset val="204"/>
      </rPr>
      <t xml:space="preserve"> </t>
    </r>
    <r>
      <rPr>
        <sz val="10"/>
        <rFont val="Arial Cyr"/>
        <charset val="204"/>
      </rPr>
      <t xml:space="preserve">
При заполнении ФЭМ может понадобиться выполнить процедуру перевода текущих цен в номинальные (зависит от наличия инфляционной составляющей на проекте). По вопросам заполнения ФЭМ просьба обращаться в Департамент стратегического планирования (Трегубова Анна, Шаров Максим).</t>
    </r>
  </si>
  <si>
    <r>
      <rPr>
        <b/>
        <sz val="10"/>
        <rFont val="Arial Cyr"/>
        <charset val="204"/>
      </rPr>
      <t>Согласовано:</t>
    </r>
    <r>
      <rPr>
        <sz val="10"/>
        <rFont val="Arial Cyr"/>
        <charset val="204"/>
      </rPr>
      <t xml:space="preserve">
список согласующих лиц от ГМК НН, НН-ОЦО заполняется путем ввода с клавиатуры
</t>
    </r>
    <r>
      <rPr>
        <sz val="10"/>
        <color rgb="FFFF0000"/>
        <rFont val="Arial Cyr"/>
        <charset val="204"/>
      </rPr>
      <t>Важно!!!</t>
    </r>
    <r>
      <rPr>
        <sz val="10"/>
        <rFont val="Arial Cyr"/>
        <charset val="204"/>
      </rPr>
      <t xml:space="preserve"> ДРП в обязательном порядке перед отсылкой на экспертизу в ИТ-ПМО должен быть согласован Руководителем сервисной линии, Руководителем по направлению ДИТ ГО, ПЭО НН-ОЦО. 
Если задействованы ресурсы нескольких сервисных линий, то ДРП должен быть согласован с Руководителями всех сервисных линий, чьи ресурсы планируется привлечь на проект/инициативу.
 </t>
    </r>
  </si>
  <si>
    <r>
      <t xml:space="preserve">Общая информация по проекту (бизнес-блок, ФЗ, сервисная линия, номер проекта 
</t>
    </r>
    <r>
      <rPr>
        <sz val="10"/>
        <rFont val="Arial Cyr"/>
        <charset val="204"/>
      </rPr>
      <t xml:space="preserve">заполняется путем ввода с клавиатуры           
- Блок / Подразделение ГО;
- Функциональный заказчик;
- Сервисная линия;
- ПФМ;
- Номер инициативы/проекта;
Заполняется путем выбора из выпадающего списка:
- Признак инвестиционного проекта
</t>
    </r>
    <r>
      <rPr>
        <b/>
        <sz val="10"/>
        <color rgb="FFFF0000"/>
        <rFont val="Arial Cyr"/>
        <charset val="204"/>
      </rPr>
      <t xml:space="preserve">Важно!!!
</t>
    </r>
    <r>
      <rPr>
        <sz val="10"/>
        <rFont val="Arial Cyr"/>
        <charset val="204"/>
      </rPr>
      <t>При выборе значения "нет" все операции с кодом "Capex" будут на сводном листе пересчитаны, как Опексные операции и с опексным кодом загружены в систему учета трудозатрат.</t>
    </r>
  </si>
  <si>
    <t>5. ФИО</t>
  </si>
  <si>
    <t xml:space="preserve">содержит расчет стоимости работ НН-ОЦО по реализации ИТ-инициативы / ИТ-проекта
Расчетные данные автоматически переносятся на листы "ДРП – свод", "Бюджет проекта по оплатам",  "ФИО", "Свод CapEx/OpEx"
</t>
  </si>
  <si>
    <t>Сводная таблица формируется на основе данных листа "Работы - НН-ОЦО"
Данные проверяются ПЭО НН-ОЦО</t>
  </si>
  <si>
    <t>6. Стоимость подрядных работ</t>
  </si>
  <si>
    <t xml:space="preserve">Для расчета бюджета необходимо заполнить поля "Дата актирования работ по этапу" и "Отсрочка платежа". При этом осуществляется автоматический расчет "Предполагаемой даты платежа". Данные поля необходимо заполнить для расчета бюджета. Для новых проектов рекомендуем указывать в качестве значения поля "Отсрочка платежа" - 60 кал. дней.
</t>
  </si>
  <si>
    <t>новые поля в таблице</t>
  </si>
  <si>
    <t>таблица расширена до 2021 года</t>
  </si>
  <si>
    <t>таблица расширена для расчета трудозатрат до 2021 года вкл.</t>
  </si>
  <si>
    <t xml:space="preserve">новая таблица </t>
  </si>
  <si>
    <t>Бюджет подрядных работ по оплатам (план), тыс. руб. без НДС:
осуществляется автоматический расчет бюджета по оплатам в разрезе Capex/Opex с учетом наличия валютной составляющей.</t>
  </si>
  <si>
    <t>7. Оборудование_ПО</t>
  </si>
  <si>
    <r>
      <t xml:space="preserve">Лист «Оборудование, ПО» содержит расчет стоимости оборудования и программного обеспечения, необходимых для реализации ИТ-проекта
Заполнение данных осуществляется путем ручного ввода с клавиатуры, расчет стоимостных показателей осуществляется на основе встроенных формул.
Предусмотрены 3 этапа жизненного цикла проекта, в рамках которых может быть выполнена закупка оборудования и лицензий:
Фаза 2. Планирование. Этап 3. Изучение и детализация – закупка для целей прототипирования в рамках архитектурной проработки ИТ-инициативы и принятия решения по выбору программно-аппаратной платформы реализации решения
Фаза 2. Планирование. Этап 4. Подготовка к реализации – закупка для целей старта работ по проекту (например, закупка лицензий для начала процесса разработки, поставка оборудования и базового ПО для формирования среды разработки и тестирования)
Фаза 3. Реализация. Этап 5. Реализация – закупка для целей прототипирования в рамках работ по проектированию системы; закупка ПАК продуктивной среды
</t>
    </r>
    <r>
      <rPr>
        <b/>
        <sz val="10"/>
        <color rgb="FFFF0000"/>
        <rFont val="Arial Cyr"/>
        <charset val="204"/>
      </rPr>
      <t>Важно!!!</t>
    </r>
    <r>
      <rPr>
        <sz val="10"/>
        <rFont val="Arial Cyr"/>
        <charset val="204"/>
      </rPr>
      <t xml:space="preserve">
Все затраты относятся к CapEx
Расчет стоимости лицензий – без НДС  (обязательно проверяйте формулы переноса  данных на сводный лист )
Расчетные данные автоматически переносятся на листы "ДРП – свод", "Бюджет проекта по оплатам" и "Свод CapEx/OpEx"
</t>
    </r>
  </si>
  <si>
    <r>
      <t xml:space="preserve">На листе «Стоимость подрядных работ» предусмотрены 2 этапа жизненного цикла проекта, в рамках которых могут быть привлечены внешние контрагенты:
Этап 3 «Изучение и детализация» – для расчета стоимости проработки ИТ-инициативы
Этап 5 «Реализация» – для расчета стоимости работ по ИТ-проекту
Данные заполняются путем ввода с клавиатуры (за исключением поля «Роль в проекте», которое заполняется путем выбора значения из выпадающего списка); расчет стоимостных показателей осуществляется на основе встроенных формул
Добавление/удаление строк разделов осуществляется аналогично листу «Работы НН-ОЦО»
Расчетные данные автоматически переносятся на листы "ДРП – свод", "Бюджет проекта по оплатам", "Свод CapEx/OpEx"
</t>
    </r>
    <r>
      <rPr>
        <b/>
        <sz val="10"/>
        <color rgb="FFFF0000"/>
        <rFont val="Arial Cyr"/>
        <charset val="204"/>
      </rPr>
      <t xml:space="preserve">Важно!!!
</t>
    </r>
    <r>
      <rPr>
        <sz val="10"/>
        <rFont val="Arial Cyr"/>
        <charset val="204"/>
      </rPr>
      <t>Для валютных контрактов необходимо в поле "Валютная составляющая" указатать тип валюты (путем выбора из выпадающего списка). При этом, все данные вводятся в рублях.</t>
    </r>
    <r>
      <rPr>
        <b/>
        <sz val="10"/>
        <color rgb="FFFF0000"/>
        <rFont val="Arial Cyr"/>
        <charset val="204"/>
      </rPr>
      <t xml:space="preserve">
</t>
    </r>
    <r>
      <rPr>
        <sz val="10"/>
        <rFont val="Arial Cyr"/>
        <charset val="204"/>
      </rPr>
      <t xml:space="preserve">
Поля, заголовки которых отмечены серым цветом, могут быть не заполнены.
Для новых ИТ-проектов/ИТ-инициатив ставка для новых проектов/инициатив расчитывается экспертным путем (в том числе на основе результатов анализа рынка).
Для текущих ИТ-проектов указывается ставка в соответствии с заключенными подрядными договорами.
</t>
    </r>
  </si>
  <si>
    <t>новое поле в таблице</t>
  </si>
  <si>
    <r>
      <rPr>
        <i/>
        <u/>
        <sz val="10"/>
        <rFont val="Arial Cyr"/>
        <charset val="204"/>
      </rPr>
      <t>Год проведения оплат</t>
    </r>
    <r>
      <rPr>
        <sz val="10"/>
        <rFont val="Arial Cyr"/>
        <charset val="204"/>
      </rPr>
      <t xml:space="preserve">
новое поле в Таблицах расчета - обязательно для заполнения (необходимо для расчета бюджета по оплатам.</t>
    </r>
  </si>
  <si>
    <r>
      <rPr>
        <i/>
        <u/>
        <sz val="10"/>
        <rFont val="Arial Cyr"/>
        <charset val="204"/>
      </rPr>
      <t>Бюджет по оплатам в тыс. руб.</t>
    </r>
    <r>
      <rPr>
        <sz val="10"/>
        <rFont val="Arial Cyr"/>
        <charset val="204"/>
      </rPr>
      <t xml:space="preserve">
содержит автоматический расчет бюджета по оплатам с учетом наличия валютной составлющей
Важно!!! Для расчета бюджета по оплатам необходимо заполнить поле "Год проведения оплат"</t>
    </r>
  </si>
  <si>
    <t>Отсрочка платежа</t>
  </si>
  <si>
    <t>НДС</t>
  </si>
  <si>
    <t>Идентификатор</t>
  </si>
  <si>
    <t>Описание</t>
  </si>
  <si>
    <t>Услуги по обслуживанию информационных систем и систем автоматизации производства</t>
  </si>
  <si>
    <t>2.07.01 Фонд заработной платы</t>
  </si>
  <si>
    <t>Фонд заработной платы</t>
  </si>
  <si>
    <t>Страховые взносы в ПФ,ФСС,ФОМС</t>
  </si>
  <si>
    <t>2.19.10 Расходы на информационно-консульт.услуги</t>
  </si>
  <si>
    <t>Расходы на информационно-консультационные услуги</t>
  </si>
  <si>
    <t>4.03.02 Расходы на приобретение ПО (ИД)</t>
  </si>
  <si>
    <t>Расходы на приобретение програмного обеспечения (ИД)</t>
  </si>
  <si>
    <t>4.06.01 Оборудование в составе проектов</t>
  </si>
  <si>
    <t>Оборудование в составе инвестиционных проектов</t>
  </si>
  <si>
    <t>Оборудование взамен изношенного</t>
  </si>
  <si>
    <t>4.06.03 Прочее оборудование</t>
  </si>
  <si>
    <t>Оборудование вне смет капстроя</t>
  </si>
  <si>
    <t>2017 руб. без НДС.</t>
  </si>
  <si>
    <t>2018 руб. без НДС.</t>
  </si>
  <si>
    <t>2019 руб. без НДС.</t>
  </si>
  <si>
    <t>2020 руб. без НДС.</t>
  </si>
  <si>
    <t>2021 руб. без НДС.</t>
  </si>
  <si>
    <t>4.03.02</t>
  </si>
  <si>
    <t>4.06.01</t>
  </si>
  <si>
    <t>Прочее</t>
  </si>
  <si>
    <t>2.02.18</t>
  </si>
  <si>
    <t>OPEX</t>
  </si>
  <si>
    <t>CAPEX</t>
  </si>
  <si>
    <t>Чей бюджет</t>
  </si>
  <si>
    <t>ДИТ</t>
  </si>
  <si>
    <t>Дата акта</t>
  </si>
  <si>
    <t>Дата</t>
  </si>
  <si>
    <t>ПРД</t>
  </si>
  <si>
    <t>ПРМ</t>
  </si>
  <si>
    <t>Выходные</t>
  </si>
  <si>
    <t>имя</t>
  </si>
  <si>
    <t>Этап</t>
  </si>
  <si>
    <t>Сумма</t>
  </si>
  <si>
    <t>Прочие СДЗ (начисления), руб. без НДС</t>
  </si>
  <si>
    <t>Раб дни</t>
  </si>
  <si>
    <t>Ком мес c 16</t>
  </si>
  <si>
    <t>Ком мес без 16</t>
  </si>
  <si>
    <t>Сумма без НДС</t>
  </si>
  <si>
    <t>Файл</t>
  </si>
  <si>
    <t>Подрядчик</t>
  </si>
  <si>
    <t>Расходы на приобретение ПО (ИД)</t>
  </si>
  <si>
    <t>Оборудование в составе проектов</t>
  </si>
  <si>
    <t>Услуги по внедрению ИС и АС (ИД)</t>
  </si>
  <si>
    <t xml:space="preserve"> 4.03.01</t>
  </si>
  <si>
    <t>Услуги по внедрению ИС и АС</t>
  </si>
  <si>
    <t>2.02.10</t>
  </si>
  <si>
    <t>Услуги по обслуживанию ИС и АС</t>
  </si>
  <si>
    <t>IT.P-18-03 "Электронный документооборот B2B"</t>
  </si>
  <si>
    <t>Чуланов Г.А.</t>
  </si>
  <si>
    <t>Юрченко Е.А.</t>
  </si>
  <si>
    <t>КСУД</t>
  </si>
  <si>
    <t>ДИТ ГО</t>
  </si>
  <si>
    <t>IT.P-18-03</t>
  </si>
  <si>
    <t>Директор департамента ИТ</t>
  </si>
  <si>
    <t>Шеховцов Ю.В.</t>
  </si>
  <si>
    <t>Главный бухгалтер - директор департамента ДБНУиФО</t>
  </si>
  <si>
    <t>Заместитель директора департамента ИТ</t>
  </si>
  <si>
    <t>Руководитель направления по бизнес-приложениям</t>
  </si>
  <si>
    <t>Киракосян Л.Х.</t>
  </si>
  <si>
    <t>Руководитель сервисной линии КСУД</t>
  </si>
  <si>
    <t>Разиньков А.И.</t>
  </si>
  <si>
    <t>Руководитель сервисной линии SAP</t>
  </si>
  <si>
    <t>Сысуев А.О.</t>
  </si>
  <si>
    <t>Васильев В.В.</t>
  </si>
  <si>
    <t>Начальник управление повышения эффективности и контроля</t>
  </si>
  <si>
    <t>Кондрашкин А.Н.</t>
  </si>
  <si>
    <t>Данные работы включены в состав других работ</t>
  </si>
  <si>
    <t>Данные работы включен в состав других работ</t>
  </si>
  <si>
    <t>2.07.01</t>
  </si>
  <si>
    <t>2.19.98</t>
  </si>
  <si>
    <t>2.19.98 Прочие затраты</t>
  </si>
  <si>
    <t>Прочие затраты</t>
  </si>
  <si>
    <t>Выполняются работы по получению ЭЦП, подключению аккаунтов на стороне оператора ЭДО, регистрация пользователей в ФНС</t>
  </si>
  <si>
    <t>Проведение технического тестирования</t>
  </si>
  <si>
    <t>Посмотреть АКТ-ы</t>
  </si>
  <si>
    <t xml:space="preserve">Регламент работы в разрабатываемой системе ЭДО 
</t>
  </si>
  <si>
    <t>Возможно опекс по системному ПО</t>
  </si>
  <si>
    <t>Проведение работ по тестированию тестового окружения, включая  проверку Кабинетов оргазиаций (тестовых) у оператора ЭДО, затем тоже самое по продуктиву</t>
  </si>
  <si>
    <t>A. Положение об использовании Электронной подписи
B. Регламент получения электронной подписи (включая разработку приложений: «Типовая форма доверенности») 
D. Будут проанализированы и при необходимости уточнены должностные инструкции работников складов (кладовщиков)</t>
  </si>
  <si>
    <t>Вакансия 1</t>
  </si>
  <si>
    <t>Вакансия 2</t>
  </si>
  <si>
    <t>Захарчев Александр Анатольевич</t>
  </si>
  <si>
    <t>TBD СЛ SAP</t>
  </si>
  <si>
    <t>Вакансия 3</t>
  </si>
  <si>
    <t>TBD Безопасность</t>
  </si>
  <si>
    <t>TBD Базис</t>
  </si>
  <si>
    <t>Вакансия 4</t>
  </si>
  <si>
    <t>Вакансия 5</t>
  </si>
  <si>
    <t>Вакансия 6</t>
  </si>
  <si>
    <t>Вакансия 7</t>
  </si>
  <si>
    <t>TBD Инфраструктура</t>
  </si>
  <si>
    <t>IT.P-18-03 ДРП-6.1 (для импорта) v2.xlsm</t>
  </si>
  <si>
    <t>IT.P-18-99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</si>
</sst>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41" formatCode="_-* #,##0\ _₽_-;\-* #,##0\ _₽_-;_-* &quot;-&quot;\ _₽_-;_-@_-"/>
    <numFmt numFmtId="43" formatCode="_-* #,##0.00\ _₽_-;\-* #,##0.00\ _₽_-;_-* &quot;-&quot;??\ _₽_-;_-@_-"/>
    <numFmt numFmtId="164" formatCode="_-* #,##0.00&quot;р.&quot;_-;\-* #,##0.00&quot;р.&quot;_-;_-* &quot;-&quot;??&quot;р.&quot;_-;_-@_-"/>
    <numFmt numFmtId="165" formatCode="_-[$$-409]* #,##0.00_ ;_-[$$-409]* \-#,##0.00\ ;_-[$$-409]* &quot;-&quot;??_ ;_-@_ "/>
    <numFmt numFmtId="166" formatCode="_-* #,##0\ &quot;руб&quot;_-;\-* #,##0\ &quot;руб&quot;_-;_-* &quot;-&quot;\ &quot;руб&quot;_-;_-@_-"/>
    <numFmt numFmtId="167" formatCode="_-* #,##0&quot;d.&quot;_-;\-* #,##0&quot;d.&quot;_-;_-* &quot;-&quot;&quot;d.&quot;_-;_-@_-"/>
    <numFmt numFmtId="168" formatCode="_-* #,##0&quot;đ.&quot;_-;\-* #,##0&quot;đ.&quot;_-;_-* &quot;-&quot;&quot;đ.&quot;_-;_-@_-"/>
    <numFmt numFmtId="169" formatCode="_(&quot;$&quot;* #,##0_);_(&quot;$&quot;* \(#,##0\);_(&quot;$&quot;* &quot;-&quot;_);_(@_)"/>
    <numFmt numFmtId="170" formatCode="_-* #,##0\ &quot;d.&quot;_-;\-* #,##0\ &quot;d.&quot;_-;_-* &quot;-&quot;\ &quot;d.&quot;_-;_-@_-"/>
    <numFmt numFmtId="171" formatCode="_-* #,##0\ &quot;đ.&quot;_-;\-* #,##0\ &quot;đ.&quot;_-;_-* &quot;-&quot;\ &quot;đ.&quot;_-;_-@_-"/>
    <numFmt numFmtId="172" formatCode="_-* #,##0.00\ &quot;d.&quot;_-;\-* #,##0.00\ &quot;d.&quot;_-;_-* &quot;-&quot;??\ &quot;d.&quot;_-;_-@_-"/>
    <numFmt numFmtId="173" formatCode="_-* #,##0.00\ &quot;đ.&quot;_-;\-* #,##0.00\ &quot;đ.&quot;_-;_-* &quot;-&quot;??\ &quot;đ.&quot;_-;_-@_-"/>
    <numFmt numFmtId="174" formatCode="_-* #,##0.00&quot;d.&quot;_-;\-* #,##0.00&quot;d.&quot;_-;_-* &quot;-&quot;??&quot;d.&quot;_-;_-@_-"/>
    <numFmt numFmtId="175" formatCode="_-* #,##0.00&quot;đ.&quot;_-;\-* #,##0.00&quot;đ.&quot;_-;_-* &quot;-&quot;??&quot;đ.&quot;_-;_-@_-"/>
    <numFmt numFmtId="176" formatCode="_(&quot;$&quot;* #,##0.00_);_(&quot;$&quot;* \(#,##0.00\);_(&quot;$&quot;* &quot;-&quot;??_);_(@_)"/>
    <numFmt numFmtId="177" formatCode="_-* #,##0.00_р_._-;_-* #,##0.00_р_.\-;_-* &quot;-&quot;??_р_._-;_-@_-"/>
    <numFmt numFmtId="178" formatCode="_-* #,##0\ _d_._-;\-* #,##0\ _d_._-;_-* &quot;-&quot;\ _d_._-;_-@_-"/>
    <numFmt numFmtId="179" formatCode="_-* #,##0\ _đ_._-;\-* #,##0\ _đ_._-;_-* &quot;-&quot;\ _đ_._-;_-@_-"/>
    <numFmt numFmtId="180" formatCode="_-* #,##0_d_._-;\-* #,##0_d_._-;_-* &quot;-&quot;_d_._-;_-@_-"/>
    <numFmt numFmtId="181" formatCode="_-* #,##0_đ_._-;\-* #,##0_đ_._-;_-* &quot;-&quot;_đ_._-;_-@_-"/>
    <numFmt numFmtId="182" formatCode="_(* #,##0_);_(* \(#,##0\);_(* &quot;-&quot;_);_(@_)"/>
    <numFmt numFmtId="183" formatCode="_-* #,##0.00\ _d_._-;\-* #,##0.00\ _d_._-;_-* &quot;-&quot;??\ _d_._-;_-@_-"/>
    <numFmt numFmtId="184" formatCode="_-* #,##0.00\ _đ_._-;\-* #,##0.00\ _đ_._-;_-* &quot;-&quot;??\ _đ_._-;_-@_-"/>
    <numFmt numFmtId="185" formatCode="_-* #,##0.00_d_._-;\-* #,##0.00_d_._-;_-* &quot;-&quot;??_d_._-;_-@_-"/>
    <numFmt numFmtId="186" formatCode="_-* #,##0.00_đ_._-;\-* #,##0.00_đ_._-;_-* &quot;-&quot;??_đ_._-;_-@_-"/>
    <numFmt numFmtId="187" formatCode="_(* #,##0.00_);_(* \(#,##0.00\);_(* &quot;-&quot;??_);_(@_)"/>
    <numFmt numFmtId="188" formatCode="_-* #,##0_р_._-;_-* #,##0_р_.\-;_-* &quot;-&quot;_р_._-;_-@_-"/>
    <numFmt numFmtId="189" formatCode="_-* #,##0\ _р_._-;\-* #,##0\ _р_._-;_-* &quot;-&quot;\ _р_._-;_-@_-"/>
    <numFmt numFmtId="190" formatCode="_-* #,##0.00\ _р_._-;\-* #,##0.00\ _р_._-;_-* &quot;-&quot;??\ _р_._-;_-@_-"/>
    <numFmt numFmtId="191" formatCode="[$-419]mmmm;@"/>
    <numFmt numFmtId="192" formatCode="0.000"/>
    <numFmt numFmtId="193" formatCode="#,##0.00,"/>
    <numFmt numFmtId="194" formatCode="[$-FC19]dd\ mmmm\ yyyy\ \г\.;@"/>
  </numFmts>
  <fonts count="95">
    <font>
      <sz val="10"/>
      <name val="Arial Cyr"/>
      <charset val="204"/>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name val="Arial Cyr"/>
      <charset val="204"/>
    </font>
    <font>
      <sz val="10"/>
      <name val="Arial"/>
      <family val="2"/>
      <charset val="204"/>
    </font>
    <font>
      <sz val="10"/>
      <name val="Arial Cyr"/>
      <family val="2"/>
      <charset val="204"/>
    </font>
    <font>
      <sz val="10"/>
      <name val="Helv"/>
      <charset val="204"/>
    </font>
    <font>
      <sz val="10"/>
      <name val="Helv"/>
    </font>
    <font>
      <sz val="10"/>
      <name val="NTHarmonica"/>
      <charset val="204"/>
    </font>
    <font>
      <b/>
      <sz val="10"/>
      <name val="Arial Cyr"/>
      <family val="2"/>
      <charset val="204"/>
    </font>
    <font>
      <b/>
      <i/>
      <sz val="10"/>
      <name val="Arial Cyr"/>
      <family val="2"/>
      <charset val="204"/>
    </font>
    <font>
      <b/>
      <sz val="8"/>
      <name val="Times New Roman"/>
      <family val="1"/>
      <charset val="204"/>
    </font>
    <font>
      <sz val="8"/>
      <name val="Arial"/>
      <family val="2"/>
      <charset val="204"/>
    </font>
    <font>
      <b/>
      <sz val="10"/>
      <name val="Times New Roman"/>
      <family val="1"/>
      <charset val="204"/>
    </font>
    <font>
      <b/>
      <sz val="18"/>
      <name val="Times New Roman"/>
      <family val="1"/>
      <charset val="204"/>
    </font>
    <font>
      <b/>
      <sz val="14"/>
      <name val="Times New Roman"/>
      <family val="1"/>
      <charset val="204"/>
    </font>
    <font>
      <sz val="14"/>
      <name val="Times New Roman"/>
      <family val="1"/>
      <charset val="204"/>
    </font>
    <font>
      <i/>
      <sz val="10"/>
      <name val="Times New Roman"/>
      <family val="1"/>
      <charset val="204"/>
    </font>
    <font>
      <sz val="8"/>
      <name val="Arial Cyr"/>
      <family val="2"/>
      <charset val="204"/>
    </font>
    <font>
      <b/>
      <i/>
      <sz val="10"/>
      <name val="Arial Cyr"/>
      <charset val="204"/>
    </font>
    <font>
      <sz val="9"/>
      <name val="Arial Cyr"/>
      <charset val="204"/>
    </font>
    <font>
      <sz val="12"/>
      <name val="Calibri"/>
      <family val="2"/>
      <charset val="204"/>
      <scheme val="minor"/>
    </font>
    <font>
      <b/>
      <sz val="12"/>
      <name val="Calibri"/>
      <family val="2"/>
      <charset val="204"/>
      <scheme val="minor"/>
    </font>
    <font>
      <sz val="12"/>
      <color indexed="12"/>
      <name val="Calibri"/>
      <family val="2"/>
      <charset val="204"/>
      <scheme val="minor"/>
    </font>
    <font>
      <sz val="10"/>
      <name val="Calibri"/>
      <family val="2"/>
      <charset val="204"/>
      <scheme val="minor"/>
    </font>
    <font>
      <sz val="10"/>
      <name val="Arial"/>
      <family val="2"/>
      <charset val="204"/>
    </font>
    <font>
      <b/>
      <sz val="10"/>
      <name val="Calibri"/>
      <family val="2"/>
      <charset val="204"/>
      <scheme val="minor"/>
    </font>
    <font>
      <b/>
      <sz val="14"/>
      <name val="Calibri"/>
      <family val="2"/>
      <charset val="204"/>
      <scheme val="minor"/>
    </font>
    <font>
      <sz val="11"/>
      <name val="Calibri"/>
      <family val="2"/>
      <charset val="204"/>
      <scheme val="minor"/>
    </font>
    <font>
      <b/>
      <sz val="10"/>
      <color theme="0" tint="-0.499984740745262"/>
      <name val="Calibri"/>
      <family val="2"/>
      <charset val="204"/>
      <scheme val="minor"/>
    </font>
    <font>
      <sz val="10"/>
      <color theme="0" tint="-0.499984740745262"/>
      <name val="Calibri"/>
      <family val="2"/>
      <charset val="204"/>
      <scheme val="minor"/>
    </font>
    <font>
      <b/>
      <sz val="16"/>
      <name val="Calibri"/>
      <family val="2"/>
      <charset val="204"/>
      <scheme val="minor"/>
    </font>
    <font>
      <b/>
      <sz val="10"/>
      <name val="Arial Cyr"/>
      <charset val="204"/>
    </font>
    <font>
      <b/>
      <sz val="11"/>
      <name val="Calibri"/>
      <family val="2"/>
      <charset val="204"/>
      <scheme val="minor"/>
    </font>
    <font>
      <i/>
      <sz val="12"/>
      <color theme="4"/>
      <name val="Calibri"/>
      <family val="2"/>
      <charset val="204"/>
      <scheme val="minor"/>
    </font>
    <font>
      <b/>
      <sz val="11"/>
      <color theme="1"/>
      <name val="Calibri"/>
      <family val="2"/>
      <charset val="204"/>
      <scheme val="minor"/>
    </font>
    <font>
      <u/>
      <sz val="12"/>
      <name val="Calibri"/>
      <family val="2"/>
      <charset val="204"/>
      <scheme val="minor"/>
    </font>
    <font>
      <sz val="12"/>
      <name val="Arial Cyr"/>
      <charset val="204"/>
    </font>
    <font>
      <sz val="12"/>
      <color rgb="FFFF0000"/>
      <name val="Calibri"/>
      <family val="2"/>
      <charset val="204"/>
      <scheme val="minor"/>
    </font>
    <font>
      <b/>
      <i/>
      <sz val="12"/>
      <color rgb="FFFF0000"/>
      <name val="Calibri"/>
      <family val="2"/>
      <charset val="204"/>
      <scheme val="minor"/>
    </font>
    <font>
      <i/>
      <sz val="9"/>
      <color theme="0" tint="-0.34998626667073579"/>
      <name val="Calibri"/>
      <family val="2"/>
      <charset val="204"/>
      <scheme val="minor"/>
    </font>
    <font>
      <i/>
      <sz val="14"/>
      <color theme="4"/>
      <name val="Calibri"/>
      <family val="2"/>
      <charset val="204"/>
      <scheme val="minor"/>
    </font>
    <font>
      <sz val="14"/>
      <color indexed="12"/>
      <name val="Calibri"/>
      <family val="2"/>
      <charset val="204"/>
      <scheme val="minor"/>
    </font>
    <font>
      <sz val="14"/>
      <name val="Calibri"/>
      <family val="2"/>
      <charset val="204"/>
      <scheme val="minor"/>
    </font>
    <font>
      <b/>
      <i/>
      <sz val="14"/>
      <color theme="4"/>
      <name val="Calibri"/>
      <family val="2"/>
      <charset val="204"/>
      <scheme val="minor"/>
    </font>
    <font>
      <sz val="14"/>
      <name val="Arial Cyr"/>
      <charset val="204"/>
    </font>
    <font>
      <b/>
      <sz val="20"/>
      <name val="Calibri"/>
      <family val="2"/>
      <charset val="204"/>
      <scheme val="minor"/>
    </font>
    <font>
      <sz val="9"/>
      <color theme="1"/>
      <name val="Calibri"/>
      <family val="2"/>
      <charset val="204"/>
      <scheme val="minor"/>
    </font>
    <font>
      <sz val="9"/>
      <name val="Calibri"/>
      <family val="2"/>
      <charset val="204"/>
      <scheme val="minor"/>
    </font>
    <font>
      <b/>
      <sz val="14"/>
      <color theme="1"/>
      <name val="Calibri"/>
      <family val="2"/>
      <charset val="204"/>
      <scheme val="minor"/>
    </font>
    <font>
      <b/>
      <sz val="14"/>
      <color rgb="FFFF0000"/>
      <name val="Calibri"/>
      <family val="2"/>
      <charset val="204"/>
      <scheme val="minor"/>
    </font>
    <font>
      <b/>
      <sz val="9"/>
      <color theme="0"/>
      <name val="Calibri"/>
      <family val="2"/>
      <charset val="204"/>
      <scheme val="minor"/>
    </font>
    <font>
      <b/>
      <i/>
      <sz val="12"/>
      <color indexed="9"/>
      <name val="Calibri"/>
      <family val="2"/>
      <charset val="204"/>
    </font>
    <font>
      <b/>
      <u/>
      <sz val="14"/>
      <color indexed="9"/>
      <name val="Calibri"/>
      <family val="2"/>
      <charset val="204"/>
    </font>
    <font>
      <b/>
      <sz val="14"/>
      <color indexed="56"/>
      <name val="Calibri"/>
      <family val="2"/>
      <charset val="204"/>
    </font>
    <font>
      <b/>
      <i/>
      <sz val="12"/>
      <name val="Calibri"/>
      <family val="2"/>
      <charset val="204"/>
      <scheme val="minor"/>
    </font>
    <font>
      <b/>
      <sz val="10"/>
      <color theme="1"/>
      <name val="Arial Cyr"/>
      <charset val="204"/>
    </font>
    <font>
      <b/>
      <sz val="14"/>
      <color theme="0" tint="-0.34998626667073579"/>
      <name val="Calibri"/>
      <family val="2"/>
      <charset val="204"/>
      <scheme val="minor"/>
    </font>
    <font>
      <sz val="14"/>
      <color theme="0" tint="-0.499984740745262"/>
      <name val="Calibri"/>
      <family val="2"/>
      <charset val="204"/>
      <scheme val="minor"/>
    </font>
    <font>
      <i/>
      <sz val="12"/>
      <color rgb="FFFF0000"/>
      <name val="Calibri"/>
      <family val="2"/>
      <charset val="204"/>
      <scheme val="minor"/>
    </font>
    <font>
      <b/>
      <sz val="11"/>
      <color rgb="FFFF0000"/>
      <name val="Calibri"/>
      <family val="2"/>
      <charset val="204"/>
      <scheme val="minor"/>
    </font>
    <font>
      <b/>
      <sz val="10"/>
      <name val="Arial"/>
      <family val="2"/>
      <charset val="204"/>
    </font>
    <font>
      <b/>
      <sz val="12"/>
      <name val="Arial"/>
      <family val="2"/>
      <charset val="204"/>
    </font>
    <font>
      <b/>
      <sz val="8"/>
      <name val="Arial Cyr"/>
      <charset val="204"/>
    </font>
    <font>
      <b/>
      <sz val="11"/>
      <name val="Arial Cyr"/>
      <charset val="204"/>
    </font>
    <font>
      <sz val="8"/>
      <name val="Arial Cyr"/>
      <charset val="204"/>
    </font>
    <font>
      <sz val="11"/>
      <name val="Arial Cyr"/>
      <charset val="204"/>
    </font>
    <font>
      <b/>
      <i/>
      <sz val="16"/>
      <color rgb="FFC00000"/>
      <name val="Arial Cyr"/>
      <charset val="204"/>
    </font>
    <font>
      <sz val="8"/>
      <name val="Calibri"/>
      <family val="2"/>
      <charset val="204"/>
      <scheme val="minor"/>
    </font>
    <font>
      <b/>
      <i/>
      <sz val="8"/>
      <color rgb="FFFF0000"/>
      <name val="Calibri"/>
      <family val="2"/>
      <charset val="204"/>
      <scheme val="minor"/>
    </font>
    <font>
      <sz val="8"/>
      <color rgb="FFFF0000"/>
      <name val="Calibri"/>
      <family val="2"/>
      <charset val="204"/>
      <scheme val="minor"/>
    </font>
    <font>
      <i/>
      <sz val="9"/>
      <color rgb="FFFF0000"/>
      <name val="Calibri"/>
      <family val="2"/>
      <charset val="204"/>
      <scheme val="minor"/>
    </font>
    <font>
      <b/>
      <sz val="10"/>
      <color theme="0" tint="-0.34998626667073579"/>
      <name val="Calibri"/>
      <family val="2"/>
      <charset val="204"/>
      <scheme val="minor"/>
    </font>
    <font>
      <b/>
      <i/>
      <u/>
      <sz val="16"/>
      <color rgb="FFC00000"/>
      <name val="Arial Cyr"/>
      <charset val="204"/>
    </font>
    <font>
      <sz val="10"/>
      <color rgb="FF2B2A29"/>
      <name val="Arial"/>
      <family val="2"/>
      <charset val="204"/>
    </font>
    <font>
      <b/>
      <sz val="10"/>
      <color rgb="FF2B2A29"/>
      <name val="Arial"/>
      <family val="2"/>
      <charset val="204"/>
    </font>
    <font>
      <sz val="10"/>
      <color rgb="FFFF0000"/>
      <name val="Arial Cyr"/>
      <charset val="204"/>
    </font>
    <font>
      <i/>
      <sz val="10"/>
      <name val="Arial Cyr"/>
      <charset val="204"/>
    </font>
    <font>
      <b/>
      <sz val="10"/>
      <color rgb="FFFF0000"/>
      <name val="Arial Cyr"/>
      <charset val="204"/>
    </font>
    <font>
      <i/>
      <u/>
      <sz val="10"/>
      <name val="Arial Cyr"/>
      <charset val="204"/>
    </font>
    <font>
      <b/>
      <sz val="10"/>
      <color theme="1"/>
      <name val="Calibri"/>
      <family val="2"/>
      <charset val="204"/>
      <scheme val="minor"/>
    </font>
    <font>
      <sz val="10"/>
      <color theme="1"/>
      <name val="Calibri"/>
      <family val="2"/>
      <charset val="204"/>
      <scheme val="minor"/>
    </font>
    <font>
      <sz val="10"/>
      <color rgb="FFFF0000"/>
      <name val="Calibri"/>
      <family val="2"/>
      <charset val="204"/>
      <scheme val="minor"/>
    </font>
    <font>
      <sz val="14"/>
      <color rgb="FFFFC000"/>
      <name val="Calibri"/>
      <family val="2"/>
      <charset val="204"/>
      <scheme val="minor"/>
    </font>
    <font>
      <sz val="10"/>
      <color theme="3" tint="0.39997558519241921"/>
      <name val="Calibri"/>
      <family val="2"/>
      <charset val="204"/>
      <scheme val="minor"/>
    </font>
    <font>
      <sz val="14"/>
      <color rgb="FFFF0000"/>
      <name val="Calibri"/>
      <family val="2"/>
      <charset val="204"/>
      <scheme val="minor"/>
    </font>
    <font>
      <sz val="14"/>
      <color theme="1"/>
      <name val="Calibri"/>
      <family val="2"/>
      <charset val="204"/>
      <scheme val="minor"/>
    </font>
    <font>
      <sz val="14"/>
      <color theme="1"/>
      <name val="Arial Cyr"/>
      <charset val="204"/>
    </font>
    <font>
      <b/>
      <sz val="20"/>
      <color theme="1"/>
      <name val="Calibri"/>
      <family val="2"/>
      <charset val="204"/>
      <scheme val="minor"/>
    </font>
  </fonts>
  <fills count="33">
    <fill>
      <patternFill patternType="none"/>
    </fill>
    <fill>
      <patternFill patternType="gray125"/>
    </fill>
    <fill>
      <patternFill patternType="solid">
        <fgColor theme="0" tint="-4.9989318521683403E-2"/>
        <bgColor indexed="64"/>
      </patternFill>
    </fill>
    <fill>
      <patternFill patternType="solid">
        <fgColor indexed="42"/>
        <bgColor indexed="64"/>
      </patternFill>
    </fill>
    <fill>
      <patternFill patternType="solid">
        <fgColor indexed="22"/>
        <bgColor indexed="64"/>
      </patternFill>
    </fill>
    <fill>
      <patternFill patternType="lightGray"/>
    </fill>
    <fill>
      <patternFill patternType="gray0625"/>
    </fill>
    <fill>
      <patternFill patternType="solid">
        <fgColor indexed="26"/>
        <bgColor indexed="64"/>
      </patternFill>
    </fill>
    <fill>
      <patternFill patternType="solid">
        <fgColor indexed="26"/>
      </patternFill>
    </fill>
    <fill>
      <patternFill patternType="solid">
        <fgColor theme="0"/>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rgb="FF92D050"/>
        <bgColor indexed="64"/>
      </patternFill>
    </fill>
    <fill>
      <patternFill patternType="solid">
        <fgColor rgb="FFFF0000"/>
        <bgColor indexed="64"/>
      </patternFill>
    </fill>
    <fill>
      <patternFill patternType="solid">
        <fgColor indexed="9"/>
        <bgColor indexed="64"/>
      </patternFill>
    </fill>
    <fill>
      <patternFill patternType="solid">
        <fgColor indexed="62"/>
        <bgColor indexed="64"/>
      </patternFill>
    </fill>
    <fill>
      <patternFill patternType="solid">
        <fgColor indexed="49"/>
        <bgColor indexed="64"/>
      </patternFill>
    </fill>
    <fill>
      <patternFill patternType="solid">
        <fgColor rgb="FF00B0F0"/>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rgb="FFFFFF00"/>
        <bgColor indexed="64"/>
      </patternFill>
    </fill>
    <fill>
      <patternFill patternType="solid">
        <fgColor theme="0" tint="-0.499984740745262"/>
        <bgColor indexed="64"/>
      </patternFill>
    </fill>
    <fill>
      <patternFill patternType="solid">
        <fgColor rgb="FFFFC000"/>
        <bgColor indexed="64"/>
      </patternFill>
    </fill>
    <fill>
      <patternFill patternType="solid">
        <fgColor theme="3" tint="0.39997558519241921"/>
        <bgColor indexed="64"/>
      </patternFill>
    </fill>
    <fill>
      <patternFill patternType="solid">
        <fgColor rgb="FF00B05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8" tint="0.79998168889431442"/>
        <bgColor indexed="64"/>
      </patternFill>
    </fill>
  </fills>
  <borders count="77">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hair">
        <color indexed="64"/>
      </right>
      <top style="thin">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double">
        <color indexed="64"/>
      </top>
      <bottom style="double">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top/>
      <bottom style="thin">
        <color indexed="64"/>
      </bottom>
      <diagonal/>
    </border>
    <border>
      <left style="thin">
        <color indexed="22"/>
      </left>
      <right style="thin">
        <color indexed="22"/>
      </right>
      <top style="thin">
        <color indexed="22"/>
      </top>
      <bottom style="thin">
        <color indexed="22"/>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bottom/>
      <diagonal/>
    </border>
    <border>
      <left/>
      <right/>
      <top/>
      <bottom style="medium">
        <color indexed="64"/>
      </bottom>
      <diagonal/>
    </border>
    <border>
      <left style="medium">
        <color indexed="64"/>
      </left>
      <right/>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2"/>
      </left>
      <right style="thin">
        <color indexed="62"/>
      </right>
      <top style="thin">
        <color indexed="62"/>
      </top>
      <bottom style="thin">
        <color indexed="62"/>
      </bottom>
      <diagonal/>
    </border>
    <border>
      <left/>
      <right style="thin">
        <color indexed="64"/>
      </right>
      <top style="medium">
        <color indexed="64"/>
      </top>
      <bottom/>
      <diagonal/>
    </border>
    <border>
      <left/>
      <right/>
      <top/>
      <bottom style="thin">
        <color theme="4" tint="0.39997558519241921"/>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thin">
        <color indexed="62"/>
      </left>
      <right/>
      <top/>
      <bottom/>
      <diagonal/>
    </border>
    <border>
      <left/>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2"/>
      </left>
      <right style="thin">
        <color indexed="62"/>
      </right>
      <top/>
      <bottom/>
      <diagonal/>
    </border>
  </borders>
  <cellStyleXfs count="831">
    <xf numFmtId="0" fontId="0" fillId="0" borderId="0"/>
    <xf numFmtId="0" fontId="9" fillId="0" borderId="0"/>
    <xf numFmtId="0" fontId="11" fillId="0" borderId="0"/>
    <xf numFmtId="0" fontId="12" fillId="0" borderId="0"/>
    <xf numFmtId="0" fontId="12" fillId="0" borderId="0"/>
    <xf numFmtId="0" fontId="13"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applyFont="0" applyFill="0" applyBorder="0" applyAlignment="0" applyProtection="0"/>
    <xf numFmtId="0" fontId="10" fillId="0" borderId="0" applyFont="0" applyFill="0" applyBorder="0" applyAlignment="0" applyProtection="0"/>
    <xf numFmtId="0" fontId="10" fillId="0" borderId="0"/>
    <xf numFmtId="0" fontId="10" fillId="0" borderId="0"/>
    <xf numFmtId="166" fontId="9" fillId="0" borderId="0">
      <alignment horizontal="center"/>
    </xf>
    <xf numFmtId="0" fontId="9" fillId="0" borderId="5">
      <alignment horizontal="left" wrapText="1"/>
    </xf>
    <xf numFmtId="0" fontId="9" fillId="0" borderId="5">
      <alignment horizontal="left" wrapText="1"/>
    </xf>
    <xf numFmtId="0" fontId="9" fillId="0" borderId="5">
      <alignment horizontal="left" wrapText="1"/>
    </xf>
    <xf numFmtId="0" fontId="9" fillId="0" borderId="5">
      <alignment horizontal="left" wrapText="1"/>
    </xf>
    <xf numFmtId="167" fontId="14" fillId="0" borderId="0" applyFont="0" applyFill="0" applyBorder="0" applyAlignment="0" applyProtection="0"/>
    <xf numFmtId="168" fontId="14"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70" fontId="9" fillId="0" borderId="0" applyFont="0" applyFill="0" applyBorder="0" applyAlignment="0" applyProtection="0"/>
    <xf numFmtId="171" fontId="9" fillId="0" borderId="0" applyFont="0" applyFill="0" applyBorder="0" applyAlignment="0" applyProtection="0"/>
    <xf numFmtId="170" fontId="9" fillId="0" borderId="0" applyFont="0" applyFill="0" applyBorder="0" applyAlignment="0" applyProtection="0"/>
    <xf numFmtId="171" fontId="9"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70" fontId="9" fillId="0" borderId="0" applyFont="0" applyFill="0" applyBorder="0" applyAlignment="0" applyProtection="0"/>
    <xf numFmtId="171" fontId="9" fillId="0" borderId="0" applyFont="0" applyFill="0" applyBorder="0" applyAlignment="0" applyProtection="0"/>
    <xf numFmtId="167" fontId="9" fillId="0" borderId="0" applyFont="0" applyFill="0" applyBorder="0" applyAlignment="0" applyProtection="0"/>
    <xf numFmtId="168" fontId="9"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4" fontId="14" fillId="0" borderId="0" applyFont="0" applyFill="0" applyBorder="0" applyAlignment="0" applyProtection="0"/>
    <xf numFmtId="175" fontId="14"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4" fontId="9" fillId="0" borderId="0" applyFont="0" applyFill="0" applyBorder="0" applyAlignment="0" applyProtection="0"/>
    <xf numFmtId="175" fontId="9" fillId="0" borderId="0" applyFont="0" applyFill="0" applyBorder="0" applyAlignment="0" applyProtection="0"/>
    <xf numFmtId="3" fontId="15" fillId="3" borderId="14" applyFill="0">
      <alignment vertical="center"/>
    </xf>
    <xf numFmtId="164" fontId="8" fillId="0" borderId="0" applyFont="0" applyFill="0" applyBorder="0" applyAlignment="0" applyProtection="0"/>
    <xf numFmtId="0" fontId="16" fillId="3" borderId="15" applyFill="0">
      <alignment horizontal="center" vertical="center" wrapText="1"/>
    </xf>
    <xf numFmtId="0" fontId="17" fillId="0" borderId="0"/>
    <xf numFmtId="38" fontId="18" fillId="4" borderId="0" applyNumberFormat="0" applyBorder="0" applyAlignment="0" applyProtection="0"/>
    <xf numFmtId="1" fontId="16" fillId="0" borderId="0" applyNumberFormat="0" applyAlignment="0">
      <alignment vertical="top"/>
    </xf>
    <xf numFmtId="3" fontId="19" fillId="0" borderId="0">
      <alignment vertical="top"/>
    </xf>
    <xf numFmtId="0" fontId="20" fillId="5" borderId="0"/>
    <xf numFmtId="0" fontId="21" fillId="6" borderId="0"/>
    <xf numFmtId="0" fontId="22" fillId="0" borderId="0"/>
    <xf numFmtId="0" fontId="14" fillId="0" borderId="0"/>
    <xf numFmtId="0" fontId="14" fillId="0" borderId="0"/>
    <xf numFmtId="0" fontId="11" fillId="0" borderId="16" applyNumberFormat="0">
      <alignment vertical="center" wrapText="1"/>
    </xf>
    <xf numFmtId="10" fontId="18" fillId="7" borderId="5" applyNumberFormat="0" applyBorder="0" applyAlignment="0" applyProtection="0"/>
    <xf numFmtId="0" fontId="16" fillId="3" borderId="14" applyNumberFormat="0" applyFill="0">
      <alignment horizontal="center" vertical="center" wrapText="1"/>
    </xf>
    <xf numFmtId="177" fontId="10" fillId="0" borderId="0"/>
    <xf numFmtId="0" fontId="8" fillId="0" borderId="0"/>
    <xf numFmtId="0" fontId="10" fillId="0" borderId="0"/>
    <xf numFmtId="0" fontId="12" fillId="0" borderId="0"/>
    <xf numFmtId="178" fontId="9" fillId="0" borderId="0" applyFont="0" applyFill="0" applyBorder="0" applyAlignment="0" applyProtection="0"/>
    <xf numFmtId="179" fontId="9" fillId="0" borderId="0" applyFont="0" applyFill="0" applyBorder="0" applyAlignment="0" applyProtection="0"/>
    <xf numFmtId="180" fontId="14" fillId="0" borderId="0" applyFont="0" applyFill="0" applyBorder="0" applyAlignment="0" applyProtection="0"/>
    <xf numFmtId="181" fontId="14"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82" fontId="9" fillId="0" borderId="0" applyFont="0" applyFill="0" applyBorder="0" applyAlignment="0" applyProtection="0"/>
    <xf numFmtId="178" fontId="9" fillId="0" borderId="0" applyFont="0" applyFill="0" applyBorder="0" applyAlignment="0" applyProtection="0"/>
    <xf numFmtId="179" fontId="9" fillId="0" borderId="0" applyFont="0" applyFill="0" applyBorder="0" applyAlignment="0" applyProtection="0"/>
    <xf numFmtId="178" fontId="9" fillId="0" borderId="0" applyFont="0" applyFill="0" applyBorder="0" applyAlignment="0" applyProtection="0"/>
    <xf numFmtId="179" fontId="9" fillId="0" borderId="0" applyFont="0" applyFill="0" applyBorder="0" applyAlignment="0" applyProtection="0"/>
    <xf numFmtId="182" fontId="10" fillId="0" borderId="0" applyFont="0" applyFill="0" applyBorder="0" applyAlignment="0" applyProtection="0"/>
    <xf numFmtId="182" fontId="10" fillId="0" borderId="0" applyFont="0" applyFill="0" applyBorder="0" applyAlignment="0" applyProtection="0"/>
    <xf numFmtId="178" fontId="9" fillId="0" borderId="0" applyFont="0" applyFill="0" applyBorder="0" applyAlignment="0" applyProtection="0"/>
    <xf numFmtId="179" fontId="9" fillId="0" borderId="0" applyFont="0" applyFill="0" applyBorder="0" applyAlignment="0" applyProtection="0"/>
    <xf numFmtId="180" fontId="9" fillId="0" borderId="0" applyFont="0" applyFill="0" applyBorder="0" applyAlignment="0" applyProtection="0"/>
    <xf numFmtId="181" fontId="9"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5" fontId="14" fillId="0" borderId="0" applyFont="0" applyFill="0" applyBorder="0" applyAlignment="0" applyProtection="0"/>
    <xf numFmtId="186" fontId="14"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7" fontId="9"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7" fontId="10" fillId="0" borderId="0" applyFont="0" applyFill="0" applyBorder="0" applyAlignment="0" applyProtection="0"/>
    <xf numFmtId="187" fontId="10"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5" fontId="9" fillId="0" borderId="0" applyFont="0" applyFill="0" applyBorder="0" applyAlignment="0" applyProtection="0"/>
    <xf numFmtId="186" fontId="9" fillId="0" borderId="0" applyFont="0" applyFill="0" applyBorder="0" applyAlignment="0" applyProtection="0"/>
    <xf numFmtId="0" fontId="10" fillId="0" borderId="0"/>
    <xf numFmtId="3" fontId="23" fillId="0" borderId="0">
      <alignment vertical="top"/>
    </xf>
    <xf numFmtId="10" fontId="10" fillId="0" borderId="0" applyFont="0" applyFill="0" applyBorder="0" applyAlignment="0" applyProtection="0"/>
    <xf numFmtId="3" fontId="24" fillId="0" borderId="16" applyNumberFormat="0" applyAlignment="0">
      <alignment vertical="top"/>
    </xf>
    <xf numFmtId="188" fontId="10" fillId="0" borderId="0">
      <alignment horizontal="left"/>
    </xf>
    <xf numFmtId="0" fontId="25" fillId="0" borderId="17">
      <alignment horizontal="centerContinuous" vertical="center" wrapText="1"/>
    </xf>
    <xf numFmtId="3" fontId="15" fillId="3" borderId="14" applyFill="0">
      <alignment vertical="center"/>
    </xf>
    <xf numFmtId="0" fontId="15" fillId="0" borderId="14">
      <alignment wrapText="1"/>
    </xf>
    <xf numFmtId="0" fontId="9" fillId="0" borderId="0"/>
    <xf numFmtId="0" fontId="8" fillId="0" borderId="0"/>
    <xf numFmtId="0" fontId="11" fillId="0" borderId="16" applyNumberFormat="0">
      <alignment vertical="center" wrapText="1"/>
    </xf>
    <xf numFmtId="0" fontId="16" fillId="3" borderId="15" applyFill="0">
      <alignment horizontal="center" vertical="center" wrapText="1"/>
    </xf>
    <xf numFmtId="3" fontId="16" fillId="3" borderId="18" applyFill="0">
      <alignment wrapText="1"/>
    </xf>
    <xf numFmtId="0" fontId="25" fillId="0" borderId="17">
      <alignment horizontal="centerContinuous" vertical="center" wrapText="1"/>
    </xf>
    <xf numFmtId="0" fontId="16" fillId="3" borderId="14" applyNumberFormat="0" applyFill="0">
      <alignment horizontal="center" vertical="center" wrapText="1"/>
    </xf>
    <xf numFmtId="0" fontId="11" fillId="0" borderId="0"/>
    <xf numFmtId="189" fontId="9" fillId="0" borderId="0" applyFont="0" applyFill="0" applyBorder="0" applyAlignment="0" applyProtection="0"/>
    <xf numFmtId="3" fontId="26" fillId="0" borderId="19" applyFont="0" applyBorder="0">
      <alignment horizontal="right"/>
      <protection locked="0"/>
    </xf>
    <xf numFmtId="190" fontId="9" fillId="0" borderId="0" applyFont="0" applyFill="0" applyBorder="0" applyAlignment="0" applyProtection="0"/>
    <xf numFmtId="0" fontId="31" fillId="0" borderId="0"/>
    <xf numFmtId="0" fontId="13" fillId="0" borderId="0"/>
    <xf numFmtId="0" fontId="10" fillId="8" borderId="23" applyNumberFormat="0" applyFont="0" applyAlignment="0" applyProtection="0"/>
    <xf numFmtId="0" fontId="12" fillId="0" borderId="0"/>
    <xf numFmtId="164" fontId="7" fillId="0" borderId="0" applyFont="0" applyFill="0" applyBorder="0" applyAlignment="0" applyProtection="0"/>
    <xf numFmtId="0" fontId="7" fillId="0" borderId="0"/>
    <xf numFmtId="0" fontId="7" fillId="0" borderId="0"/>
    <xf numFmtId="0" fontId="10" fillId="0" borderId="0"/>
    <xf numFmtId="164"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0" borderId="0"/>
    <xf numFmtId="0" fontId="6" fillId="0" borderId="0"/>
    <xf numFmtId="0" fontId="5" fillId="0" borderId="0"/>
    <xf numFmtId="0" fontId="10" fillId="0" borderId="0"/>
    <xf numFmtId="0" fontId="12" fillId="0" borderId="0"/>
    <xf numFmtId="0" fontId="4" fillId="0" borderId="0"/>
    <xf numFmtId="0" fontId="3" fillId="0" borderId="0"/>
    <xf numFmtId="41" fontId="10"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164" fontId="1"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0" fontId="1" fillId="0" borderId="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43" fontId="9"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10"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cellStyleXfs>
  <cellXfs count="1128">
    <xf numFmtId="0" fontId="0" fillId="0" borderId="0" xfId="0"/>
    <xf numFmtId="0" fontId="27" fillId="0" borderId="0" xfId="0" applyFont="1"/>
    <xf numFmtId="0" fontId="30" fillId="0" borderId="0" xfId="0" applyFont="1" applyAlignment="1">
      <alignment horizontal="center"/>
    </xf>
    <xf numFmtId="0" fontId="30" fillId="0" borderId="0" xfId="0" applyFont="1" applyFill="1"/>
    <xf numFmtId="0" fontId="30" fillId="0" borderId="0" xfId="0" applyFont="1" applyFill="1" applyAlignment="1">
      <alignment horizontal="center"/>
    </xf>
    <xf numFmtId="0" fontId="30" fillId="0" borderId="0" xfId="0" applyFont="1" applyFill="1" applyBorder="1" applyAlignment="1">
      <alignment horizontal="center"/>
    </xf>
    <xf numFmtId="0" fontId="32" fillId="0" borderId="0" xfId="0" applyFont="1" applyFill="1" applyBorder="1" applyAlignment="1">
      <alignment vertical="center" wrapText="1"/>
    </xf>
    <xf numFmtId="0" fontId="30" fillId="0" borderId="0" xfId="0" applyFont="1" applyAlignment="1">
      <alignment horizontal="center" vertical="center"/>
    </xf>
    <xf numFmtId="0" fontId="0" fillId="0" borderId="0" xfId="0"/>
    <xf numFmtId="0" fontId="30" fillId="0" borderId="0" xfId="0" applyFont="1"/>
    <xf numFmtId="0" fontId="0" fillId="0" borderId="5" xfId="0" applyBorder="1"/>
    <xf numFmtId="0" fontId="0" fillId="0" borderId="5" xfId="0" applyFill="1" applyBorder="1"/>
    <xf numFmtId="0" fontId="34" fillId="0" borderId="0" xfId="0" applyFont="1"/>
    <xf numFmtId="0" fontId="0" fillId="0" borderId="0" xfId="0" applyFont="1"/>
    <xf numFmtId="0" fontId="0" fillId="0" borderId="0" xfId="0" applyAlignment="1">
      <alignment horizontal="left"/>
    </xf>
    <xf numFmtId="0" fontId="28" fillId="0" borderId="0" xfId="0" applyFont="1" applyFill="1" applyAlignment="1" applyProtection="1">
      <alignment horizontal="left"/>
      <protection locked="0"/>
    </xf>
    <xf numFmtId="0" fontId="27" fillId="0" borderId="0" xfId="0" applyFont="1" applyProtection="1">
      <protection locked="0"/>
    </xf>
    <xf numFmtId="4" fontId="27" fillId="0" borderId="0" xfId="0" applyNumberFormat="1" applyFont="1" applyAlignment="1" applyProtection="1">
      <alignment wrapText="1"/>
      <protection locked="0"/>
    </xf>
    <xf numFmtId="4" fontId="27" fillId="0" borderId="0" xfId="0" applyNumberFormat="1" applyFont="1" applyProtection="1">
      <protection locked="0"/>
    </xf>
    <xf numFmtId="0" fontId="46" fillId="0" borderId="0" xfId="0" applyFont="1" applyFill="1" applyAlignment="1" applyProtection="1">
      <alignment horizontal="left"/>
      <protection locked="0"/>
    </xf>
    <xf numFmtId="0" fontId="27" fillId="0" borderId="0" xfId="0" applyFont="1" applyFill="1" applyProtection="1">
      <protection locked="0"/>
    </xf>
    <xf numFmtId="0" fontId="45" fillId="0" borderId="0" xfId="0" applyFont="1" applyAlignment="1" applyProtection="1">
      <alignment horizontal="center"/>
      <protection locked="0"/>
    </xf>
    <xf numFmtId="0" fontId="45" fillId="0" borderId="0" xfId="0" applyFont="1" applyProtection="1">
      <protection locked="0"/>
    </xf>
    <xf numFmtId="0" fontId="45" fillId="0" borderId="0" xfId="0" applyFont="1" applyFill="1" applyProtection="1">
      <protection locked="0"/>
    </xf>
    <xf numFmtId="0" fontId="46" fillId="0" borderId="0" xfId="0" applyNumberFormat="1" applyFont="1" applyAlignment="1" applyProtection="1">
      <alignment horizontal="center" vertical="center"/>
      <protection locked="0"/>
    </xf>
    <xf numFmtId="0" fontId="46" fillId="0" borderId="0" xfId="0" applyNumberFormat="1" applyFont="1" applyFill="1" applyAlignment="1" applyProtection="1">
      <alignment horizontal="center" vertical="center"/>
      <protection locked="0"/>
    </xf>
    <xf numFmtId="4" fontId="45" fillId="0" borderId="0" xfId="0" applyNumberFormat="1" applyFont="1" applyFill="1" applyProtection="1">
      <protection locked="0"/>
    </xf>
    <xf numFmtId="0" fontId="45" fillId="0" borderId="0" xfId="0" applyFont="1" applyFill="1" applyAlignment="1" applyProtection="1">
      <alignment horizontal="center" vertical="center" wrapText="1"/>
      <protection locked="0"/>
    </xf>
    <xf numFmtId="0" fontId="27" fillId="0" borderId="0" xfId="0" applyFont="1" applyFill="1" applyAlignment="1" applyProtection="1">
      <alignment horizontal="center"/>
      <protection locked="0"/>
    </xf>
    <xf numFmtId="1" fontId="30" fillId="0" borderId="25" xfId="1" applyNumberFormat="1" applyFont="1" applyFill="1" applyBorder="1" applyAlignment="1" applyProtection="1">
      <alignment vertical="center" wrapText="1"/>
      <protection locked="0"/>
    </xf>
    <xf numFmtId="0" fontId="30" fillId="0" borderId="5" xfId="0" applyFont="1" applyFill="1" applyBorder="1" applyAlignment="1" applyProtection="1">
      <alignment horizontal="left" vertical="center" wrapText="1"/>
      <protection locked="0"/>
    </xf>
    <xf numFmtId="0" fontId="30" fillId="0" borderId="5" xfId="0" applyFont="1" applyFill="1" applyBorder="1" applyAlignment="1" applyProtection="1">
      <alignment horizontal="center" vertical="center" wrapText="1"/>
      <protection locked="0"/>
    </xf>
    <xf numFmtId="0" fontId="30" fillId="0" borderId="12" xfId="0" applyFont="1" applyFill="1" applyBorder="1" applyAlignment="1" applyProtection="1">
      <alignment horizontal="center" vertical="center" wrapText="1"/>
      <protection locked="0"/>
    </xf>
    <xf numFmtId="0" fontId="27" fillId="0" borderId="0" xfId="0" applyFont="1" applyAlignment="1" applyProtection="1">
      <alignment horizontal="center" vertical="center"/>
      <protection locked="0"/>
    </xf>
    <xf numFmtId="1" fontId="30" fillId="0" borderId="10" xfId="1" applyNumberFormat="1" applyFont="1" applyFill="1" applyBorder="1" applyAlignment="1" applyProtection="1">
      <alignment horizontal="center" vertical="center" wrapText="1"/>
      <protection locked="0"/>
    </xf>
    <xf numFmtId="0" fontId="44" fillId="0" borderId="0" xfId="0" applyFont="1" applyProtection="1">
      <protection locked="0"/>
    </xf>
    <xf numFmtId="0" fontId="34" fillId="0" borderId="0" xfId="0" applyFont="1" applyProtection="1">
      <protection locked="0"/>
    </xf>
    <xf numFmtId="0" fontId="34" fillId="0" borderId="0" xfId="0" applyFont="1" applyFill="1" applyProtection="1">
      <protection locked="0"/>
    </xf>
    <xf numFmtId="0" fontId="34" fillId="0" borderId="0" xfId="0" applyFont="1" applyAlignment="1" applyProtection="1">
      <alignment wrapText="1"/>
      <protection locked="0"/>
    </xf>
    <xf numFmtId="0" fontId="30" fillId="0" borderId="0" xfId="0" applyFont="1" applyFill="1" applyProtection="1">
      <protection locked="0"/>
    </xf>
    <xf numFmtId="0" fontId="30" fillId="0" borderId="0" xfId="0" applyFont="1" applyAlignment="1" applyProtection="1">
      <alignment wrapText="1"/>
      <protection locked="0"/>
    </xf>
    <xf numFmtId="0" fontId="30" fillId="0" borderId="0" xfId="0" applyFont="1" applyProtection="1">
      <protection locked="0"/>
    </xf>
    <xf numFmtId="4" fontId="30" fillId="0" borderId="0" xfId="0" applyNumberFormat="1" applyFont="1" applyFill="1" applyProtection="1">
      <protection locked="0"/>
    </xf>
    <xf numFmtId="4" fontId="30" fillId="0" borderId="0" xfId="0" applyNumberFormat="1" applyFont="1" applyProtection="1">
      <protection locked="0"/>
    </xf>
    <xf numFmtId="0" fontId="30" fillId="0" borderId="0" xfId="0" applyFont="1" applyAlignment="1" applyProtection="1">
      <alignment horizontal="left" vertical="center"/>
      <protection locked="0"/>
    </xf>
    <xf numFmtId="0" fontId="30" fillId="0" borderId="0" xfId="0" applyFont="1" applyAlignment="1" applyProtection="1">
      <protection locked="0"/>
    </xf>
    <xf numFmtId="0" fontId="27" fillId="0" borderId="0" xfId="0" applyFont="1" applyAlignment="1" applyProtection="1">
      <alignment horizontal="center"/>
      <protection locked="0"/>
    </xf>
    <xf numFmtId="0" fontId="27" fillId="0" borderId="0" xfId="0" applyFont="1" applyAlignment="1" applyProtection="1">
      <alignment vertical="center"/>
      <protection locked="0"/>
    </xf>
    <xf numFmtId="0" fontId="27" fillId="0" borderId="0" xfId="0" applyFont="1" applyAlignment="1" applyProtection="1">
      <alignment horizontal="left" wrapText="1"/>
      <protection locked="0"/>
    </xf>
    <xf numFmtId="0" fontId="55" fillId="0" borderId="0" xfId="349" applyFont="1" applyAlignment="1">
      <alignment horizontal="left" vertical="center"/>
    </xf>
    <xf numFmtId="0" fontId="33" fillId="0" borderId="0" xfId="349" applyFont="1" applyAlignment="1">
      <alignment horizontal="left" vertical="center"/>
    </xf>
    <xf numFmtId="3" fontId="56" fillId="0" borderId="0" xfId="349" applyNumberFormat="1" applyFont="1" applyAlignment="1">
      <alignment horizontal="center" vertical="center"/>
    </xf>
    <xf numFmtId="0" fontId="5" fillId="0" borderId="0" xfId="349" applyAlignment="1">
      <alignment wrapText="1"/>
    </xf>
    <xf numFmtId="49" fontId="5" fillId="0" borderId="0" xfId="349" applyNumberFormat="1"/>
    <xf numFmtId="0" fontId="5" fillId="0" borderId="0" xfId="349"/>
    <xf numFmtId="0" fontId="34" fillId="0" borderId="0" xfId="349" applyFont="1"/>
    <xf numFmtId="192" fontId="5" fillId="0" borderId="0" xfId="349" applyNumberFormat="1"/>
    <xf numFmtId="0" fontId="53" fillId="0" borderId="45" xfId="349" applyFont="1" applyBorder="1" applyAlignment="1">
      <alignment vertical="center" wrapText="1"/>
    </xf>
    <xf numFmtId="0" fontId="54" fillId="0" borderId="0" xfId="349" applyFont="1" applyAlignment="1">
      <alignment vertical="center" wrapText="1"/>
    </xf>
    <xf numFmtId="0" fontId="53" fillId="0" borderId="0" xfId="349" applyFont="1" applyAlignment="1">
      <alignment vertical="center" wrapText="1"/>
    </xf>
    <xf numFmtId="49" fontId="53" fillId="0" borderId="0" xfId="349" applyNumberFormat="1" applyFont="1" applyAlignment="1">
      <alignment vertical="center" wrapText="1"/>
    </xf>
    <xf numFmtId="0" fontId="54" fillId="0" borderId="45" xfId="349" applyFont="1" applyBorder="1" applyAlignment="1">
      <alignment vertical="center" wrapText="1"/>
    </xf>
    <xf numFmtId="0" fontId="57" fillId="11" borderId="41" xfId="349" applyFont="1" applyFill="1" applyBorder="1" applyAlignment="1">
      <alignment horizontal="center" vertical="center" wrapText="1"/>
    </xf>
    <xf numFmtId="0" fontId="57" fillId="11" borderId="40" xfId="349" applyFont="1" applyFill="1" applyBorder="1" applyAlignment="1">
      <alignment horizontal="center" vertical="center" wrapText="1"/>
    </xf>
    <xf numFmtId="49" fontId="57" fillId="11" borderId="40" xfId="349" applyNumberFormat="1" applyFont="1" applyFill="1" applyBorder="1" applyAlignment="1">
      <alignment horizontal="center" vertical="center" wrapText="1"/>
    </xf>
    <xf numFmtId="0" fontId="54" fillId="0" borderId="38" xfId="324" applyFont="1" applyFill="1" applyBorder="1" applyAlignment="1">
      <alignment horizontal="center" vertical="center" wrapText="1"/>
    </xf>
    <xf numFmtId="0" fontId="54" fillId="0" borderId="53" xfId="324" applyFont="1" applyFill="1" applyBorder="1" applyAlignment="1">
      <alignment horizontal="center" vertical="center" wrapText="1"/>
    </xf>
    <xf numFmtId="0" fontId="54" fillId="0" borderId="10" xfId="324" applyFont="1" applyFill="1" applyBorder="1" applyAlignment="1">
      <alignment horizontal="center" vertical="center" wrapText="1"/>
    </xf>
    <xf numFmtId="49" fontId="53" fillId="0" borderId="5" xfId="324" applyNumberFormat="1" applyFont="1" applyFill="1" applyBorder="1" applyAlignment="1">
      <alignment horizontal="center" vertical="center" wrapText="1"/>
    </xf>
    <xf numFmtId="0" fontId="54" fillId="0" borderId="5" xfId="324" applyFont="1" applyFill="1" applyBorder="1" applyAlignment="1">
      <alignment horizontal="center" vertical="center" wrapText="1"/>
    </xf>
    <xf numFmtId="3" fontId="54" fillId="0" borderId="10" xfId="349" applyNumberFormat="1" applyFont="1" applyFill="1" applyBorder="1" applyAlignment="1">
      <alignment horizontal="center" vertical="center"/>
    </xf>
    <xf numFmtId="0" fontId="54" fillId="0" borderId="4" xfId="324" applyFont="1" applyFill="1" applyBorder="1" applyAlignment="1">
      <alignment horizontal="center" vertical="center" wrapText="1"/>
    </xf>
    <xf numFmtId="0" fontId="54" fillId="0" borderId="13" xfId="324" applyFont="1" applyFill="1" applyBorder="1" applyAlignment="1">
      <alignment horizontal="center" vertical="center" wrapText="1"/>
    </xf>
    <xf numFmtId="49" fontId="53" fillId="0" borderId="13" xfId="324" applyNumberFormat="1" applyFont="1" applyFill="1" applyBorder="1" applyAlignment="1">
      <alignment horizontal="center" vertical="center" wrapText="1"/>
    </xf>
    <xf numFmtId="0" fontId="54" fillId="12" borderId="10" xfId="324" applyFont="1" applyFill="1" applyBorder="1" applyAlignment="1">
      <alignment horizontal="center" vertical="center" wrapText="1"/>
    </xf>
    <xf numFmtId="49" fontId="53" fillId="0" borderId="53" xfId="324" applyNumberFormat="1" applyFont="1" applyFill="1" applyBorder="1" applyAlignment="1">
      <alignment horizontal="center" vertical="center" wrapText="1"/>
    </xf>
    <xf numFmtId="49" fontId="53" fillId="0" borderId="10" xfId="324" applyNumberFormat="1" applyFont="1" applyFill="1" applyBorder="1" applyAlignment="1">
      <alignment horizontal="center" vertical="center" wrapText="1"/>
    </xf>
    <xf numFmtId="0" fontId="53" fillId="0" borderId="5" xfId="324" applyFont="1" applyFill="1" applyBorder="1" applyAlignment="1">
      <alignment horizontal="center" vertical="center" wrapText="1"/>
    </xf>
    <xf numFmtId="49" fontId="54" fillId="0" borderId="10" xfId="324" applyNumberFormat="1" applyFont="1" applyFill="1" applyBorder="1" applyAlignment="1">
      <alignment horizontal="center" vertical="center" wrapText="1"/>
    </xf>
    <xf numFmtId="0" fontId="53" fillId="0" borderId="10" xfId="324" applyFont="1" applyFill="1" applyBorder="1" applyAlignment="1">
      <alignment horizontal="center" vertical="center" wrapText="1"/>
    </xf>
    <xf numFmtId="49" fontId="54" fillId="0" borderId="5" xfId="324" applyNumberFormat="1" applyFont="1" applyFill="1" applyBorder="1" applyAlignment="1">
      <alignment horizontal="center" vertical="center" wrapText="1"/>
    </xf>
    <xf numFmtId="3" fontId="54" fillId="0" borderId="5" xfId="349" applyNumberFormat="1" applyFont="1" applyFill="1" applyBorder="1" applyAlignment="1">
      <alignment horizontal="center" vertical="center" wrapText="1"/>
    </xf>
    <xf numFmtId="49" fontId="54" fillId="0" borderId="5" xfId="349" applyNumberFormat="1" applyFont="1" applyFill="1" applyBorder="1" applyAlignment="1">
      <alignment horizontal="center" vertical="center"/>
    </xf>
    <xf numFmtId="49" fontId="54" fillId="0" borderId="13" xfId="324" applyNumberFormat="1" applyFont="1" applyFill="1" applyBorder="1" applyAlignment="1">
      <alignment horizontal="center" vertical="center" wrapText="1"/>
    </xf>
    <xf numFmtId="0" fontId="53" fillId="0" borderId="13" xfId="324" applyFont="1" applyFill="1" applyBorder="1" applyAlignment="1">
      <alignment horizontal="center" vertical="center" wrapText="1"/>
    </xf>
    <xf numFmtId="0" fontId="53" fillId="0" borderId="53" xfId="324" applyFont="1" applyFill="1" applyBorder="1" applyAlignment="1">
      <alignment horizontal="center" vertical="center" wrapText="1"/>
    </xf>
    <xf numFmtId="49" fontId="54" fillId="0" borderId="53" xfId="324" applyNumberFormat="1" applyFont="1" applyFill="1" applyBorder="1" applyAlignment="1">
      <alignment horizontal="center" vertical="center" wrapText="1"/>
    </xf>
    <xf numFmtId="0" fontId="54" fillId="13" borderId="10" xfId="324" applyFont="1" applyFill="1" applyBorder="1" applyAlignment="1">
      <alignment horizontal="center" vertical="center" wrapText="1"/>
    </xf>
    <xf numFmtId="3" fontId="54" fillId="0" borderId="13" xfId="349" applyNumberFormat="1" applyFont="1" applyFill="1" applyBorder="1" applyAlignment="1">
      <alignment horizontal="center" vertical="center" wrapText="1"/>
    </xf>
    <xf numFmtId="49" fontId="54" fillId="0" borderId="13" xfId="349" applyNumberFormat="1" applyFont="1" applyFill="1" applyBorder="1" applyAlignment="1">
      <alignment horizontal="center" vertical="center"/>
    </xf>
    <xf numFmtId="3" fontId="54" fillId="0" borderId="10" xfId="349" applyNumberFormat="1" applyFont="1" applyFill="1" applyBorder="1" applyAlignment="1">
      <alignment horizontal="center" vertical="center" wrapText="1"/>
    </xf>
    <xf numFmtId="3" fontId="53" fillId="0" borderId="5" xfId="349" applyNumberFormat="1" applyFont="1" applyFill="1" applyBorder="1" applyAlignment="1">
      <alignment horizontal="center" vertical="center" wrapText="1"/>
    </xf>
    <xf numFmtId="49" fontId="53" fillId="0" borderId="5" xfId="349" applyNumberFormat="1" applyFont="1" applyFill="1" applyBorder="1" applyAlignment="1">
      <alignment horizontal="center" vertical="center"/>
    </xf>
    <xf numFmtId="3" fontId="53" fillId="0" borderId="13" xfId="349" applyNumberFormat="1" applyFont="1" applyFill="1" applyBorder="1" applyAlignment="1">
      <alignment horizontal="center" vertical="center" wrapText="1"/>
    </xf>
    <xf numFmtId="49" fontId="53" fillId="0" borderId="13" xfId="349" applyNumberFormat="1" applyFont="1" applyFill="1" applyBorder="1" applyAlignment="1">
      <alignment horizontal="center" vertical="center"/>
    </xf>
    <xf numFmtId="3" fontId="54" fillId="0" borderId="53" xfId="349" applyNumberFormat="1" applyFont="1" applyFill="1" applyBorder="1" applyAlignment="1">
      <alignment horizontal="center" vertical="center" wrapText="1"/>
    </xf>
    <xf numFmtId="3" fontId="53" fillId="0" borderId="10" xfId="349" applyNumberFormat="1" applyFont="1" applyFill="1" applyBorder="1" applyAlignment="1">
      <alignment horizontal="center" vertical="center" wrapText="1"/>
    </xf>
    <xf numFmtId="0" fontId="54" fillId="0" borderId="0" xfId="324" applyFont="1" applyFill="1" applyBorder="1" applyAlignment="1">
      <alignment horizontal="center" vertical="center" wrapText="1"/>
    </xf>
    <xf numFmtId="0" fontId="53" fillId="0" borderId="0" xfId="349" applyFont="1" applyAlignment="1">
      <alignment vertical="center"/>
    </xf>
    <xf numFmtId="0" fontId="53" fillId="0" borderId="0" xfId="349" applyFont="1" applyAlignment="1">
      <alignment horizontal="left" vertical="center" wrapText="1"/>
    </xf>
    <xf numFmtId="0" fontId="54" fillId="0" borderId="0" xfId="349" applyFont="1" applyAlignment="1">
      <alignment horizontal="left" vertical="center" wrapText="1"/>
    </xf>
    <xf numFmtId="0" fontId="0" fillId="14" borderId="55" xfId="0" applyFill="1" applyBorder="1"/>
    <xf numFmtId="0" fontId="59" fillId="16" borderId="55" xfId="351" applyFont="1" applyFill="1" applyBorder="1" applyAlignment="1" applyProtection="1">
      <alignment horizontal="center" vertical="center" wrapText="1"/>
      <protection locked="0"/>
    </xf>
    <xf numFmtId="0" fontId="60" fillId="0" borderId="55" xfId="0" applyFont="1" applyBorder="1" applyAlignment="1">
      <alignment horizontal="center"/>
    </xf>
    <xf numFmtId="3" fontId="60" fillId="0" borderId="55" xfId="0" applyNumberFormat="1" applyFont="1" applyBorder="1" applyAlignment="1">
      <alignment horizontal="center"/>
    </xf>
    <xf numFmtId="3" fontId="53" fillId="0" borderId="53" xfId="349" applyNumberFormat="1" applyFont="1" applyFill="1" applyBorder="1" applyAlignment="1">
      <alignment horizontal="center" vertical="center" wrapText="1"/>
    </xf>
    <xf numFmtId="49" fontId="54" fillId="0" borderId="53" xfId="349" applyNumberFormat="1" applyFont="1" applyFill="1" applyBorder="1" applyAlignment="1">
      <alignment horizontal="center" vertical="center"/>
    </xf>
    <xf numFmtId="49" fontId="54" fillId="0" borderId="10" xfId="349" applyNumberFormat="1" applyFont="1" applyFill="1" applyBorder="1" applyAlignment="1">
      <alignment horizontal="center" vertical="center"/>
    </xf>
    <xf numFmtId="49" fontId="53" fillId="0" borderId="10" xfId="349" applyNumberFormat="1" applyFont="1" applyFill="1" applyBorder="1" applyAlignment="1">
      <alignment horizontal="center" vertical="center"/>
    </xf>
    <xf numFmtId="0" fontId="54" fillId="0" borderId="10" xfId="349" applyFont="1" applyBorder="1" applyAlignment="1">
      <alignment horizontal="left" vertical="center" wrapText="1"/>
    </xf>
    <xf numFmtId="0" fontId="30" fillId="0" borderId="47" xfId="0" applyFont="1" applyFill="1" applyBorder="1" applyAlignment="1" applyProtection="1">
      <alignment horizontal="center" vertical="center" wrapText="1"/>
      <protection locked="0"/>
    </xf>
    <xf numFmtId="0" fontId="28" fillId="0" borderId="0" xfId="0" applyNumberFormat="1" applyFont="1" applyFill="1" applyAlignment="1" applyProtection="1">
      <alignment horizontal="left"/>
      <protection locked="0"/>
    </xf>
    <xf numFmtId="0" fontId="61" fillId="0" borderId="0" xfId="0" applyNumberFormat="1" applyFont="1" applyProtection="1">
      <protection locked="0"/>
    </xf>
    <xf numFmtId="0" fontId="34" fillId="0" borderId="0" xfId="0" applyNumberFormat="1" applyFont="1" applyProtection="1">
      <protection locked="0"/>
    </xf>
    <xf numFmtId="0" fontId="34" fillId="0" borderId="0" xfId="0" applyNumberFormat="1" applyFont="1" applyFill="1" applyProtection="1">
      <protection locked="0"/>
    </xf>
    <xf numFmtId="0" fontId="34" fillId="0" borderId="0" xfId="0" applyNumberFormat="1" applyFont="1" applyFill="1" applyAlignment="1" applyProtection="1">
      <alignment wrapText="1"/>
      <protection locked="0"/>
    </xf>
    <xf numFmtId="0" fontId="27" fillId="0" borderId="0" xfId="0" applyNumberFormat="1" applyFont="1" applyProtection="1">
      <protection locked="0"/>
    </xf>
    <xf numFmtId="0" fontId="27" fillId="0" borderId="0" xfId="0" applyFont="1" applyAlignment="1" applyProtection="1">
      <alignment wrapText="1"/>
      <protection locked="0"/>
    </xf>
    <xf numFmtId="0" fontId="27" fillId="0" borderId="0" xfId="0" applyFont="1" applyAlignment="1" applyProtection="1">
      <alignment vertical="center" wrapText="1"/>
      <protection locked="0"/>
    </xf>
    <xf numFmtId="0" fontId="45" fillId="0" borderId="0" xfId="0" applyFont="1" applyFill="1" applyAlignment="1" applyProtection="1">
      <alignment horizontal="left" wrapText="1"/>
      <protection locked="0"/>
    </xf>
    <xf numFmtId="0" fontId="30" fillId="0" borderId="0" xfId="0" applyFont="1" applyFill="1" applyAlignment="1" applyProtection="1">
      <alignment horizontal="left" wrapText="1"/>
      <protection locked="0"/>
    </xf>
    <xf numFmtId="0" fontId="30" fillId="0" borderId="0" xfId="0" applyFont="1" applyAlignment="1" applyProtection="1">
      <alignment horizontal="left" wrapText="1"/>
      <protection locked="0"/>
    </xf>
    <xf numFmtId="0" fontId="34" fillId="0" borderId="0" xfId="0" applyFont="1" applyFill="1" applyAlignment="1" applyProtection="1">
      <alignment horizontal="left" wrapText="1"/>
      <protection locked="0"/>
    </xf>
    <xf numFmtId="0" fontId="45" fillId="0" borderId="0" xfId="0" applyFont="1" applyAlignment="1" applyProtection="1">
      <alignment wrapText="1"/>
      <protection locked="0"/>
    </xf>
    <xf numFmtId="4" fontId="30" fillId="0" borderId="0" xfId="0" applyNumberFormat="1" applyFont="1" applyAlignment="1" applyProtection="1">
      <alignment wrapText="1"/>
      <protection locked="0"/>
    </xf>
    <xf numFmtId="1" fontId="32" fillId="0" borderId="10" xfId="1" applyNumberFormat="1" applyFont="1" applyFill="1" applyBorder="1" applyAlignment="1" applyProtection="1">
      <alignment horizontal="center" vertical="center" wrapText="1"/>
    </xf>
    <xf numFmtId="1" fontId="30" fillId="10" borderId="5" xfId="1" applyNumberFormat="1" applyFont="1" applyFill="1" applyBorder="1" applyAlignment="1" applyProtection="1">
      <alignment horizontal="center" vertical="center" wrapText="1"/>
    </xf>
    <xf numFmtId="0" fontId="32" fillId="17" borderId="12" xfId="0" applyFont="1" applyFill="1" applyBorder="1" applyAlignment="1" applyProtection="1">
      <alignment horizontal="left" vertical="top"/>
    </xf>
    <xf numFmtId="1" fontId="32" fillId="0" borderId="5" xfId="1" applyNumberFormat="1" applyFont="1" applyFill="1" applyBorder="1" applyAlignment="1" applyProtection="1">
      <alignment horizontal="center" vertical="center" wrapText="1"/>
    </xf>
    <xf numFmtId="49" fontId="32" fillId="17" borderId="28" xfId="0" applyNumberFormat="1" applyFont="1" applyFill="1" applyBorder="1" applyAlignment="1" applyProtection="1">
      <alignment horizontal="center" vertical="center" wrapText="1"/>
    </xf>
    <xf numFmtId="0" fontId="34" fillId="0" borderId="0" xfId="0" applyNumberFormat="1" applyFont="1" applyFill="1" applyAlignment="1" applyProtection="1">
      <alignment horizontal="left" vertical="center" wrapText="1"/>
    </xf>
    <xf numFmtId="0" fontId="34" fillId="0" borderId="0" xfId="0" applyNumberFormat="1" applyFont="1" applyFill="1" applyAlignment="1" applyProtection="1">
      <alignment wrapText="1"/>
    </xf>
    <xf numFmtId="3" fontId="32" fillId="17" borderId="28" xfId="0" applyNumberFormat="1" applyFont="1" applyFill="1" applyBorder="1" applyAlignment="1" applyProtection="1">
      <alignment horizontal="left" vertical="top" wrapText="1"/>
    </xf>
    <xf numFmtId="0" fontId="32" fillId="17" borderId="12" xfId="0" applyFont="1" applyFill="1" applyBorder="1" applyAlignment="1" applyProtection="1">
      <alignment horizontal="left" vertical="center"/>
    </xf>
    <xf numFmtId="0" fontId="30" fillId="10" borderId="5" xfId="0" applyFont="1" applyFill="1" applyBorder="1" applyAlignment="1" applyProtection="1">
      <alignment horizontal="left" vertical="center"/>
    </xf>
    <xf numFmtId="0" fontId="30" fillId="10" borderId="5" xfId="0" applyFont="1" applyFill="1" applyBorder="1" applyAlignment="1" applyProtection="1">
      <alignment horizontal="center" vertical="center" wrapText="1"/>
    </xf>
    <xf numFmtId="0" fontId="32" fillId="17" borderId="28" xfId="0" applyFont="1" applyFill="1" applyBorder="1" applyAlignment="1" applyProtection="1">
      <alignment horizontal="left" vertical="top" wrapText="1"/>
    </xf>
    <xf numFmtId="0" fontId="32" fillId="17" borderId="28" xfId="0" applyFont="1" applyFill="1" applyBorder="1" applyAlignment="1" applyProtection="1">
      <alignment horizontal="left" vertical="center" wrapText="1"/>
    </xf>
    <xf numFmtId="1" fontId="32" fillId="17" borderId="28" xfId="0" applyNumberFormat="1" applyFont="1" applyFill="1" applyBorder="1" applyAlignment="1" applyProtection="1">
      <alignment horizontal="left" vertical="top" wrapText="1"/>
    </xf>
    <xf numFmtId="1" fontId="32" fillId="17" borderId="28" xfId="0" applyNumberFormat="1" applyFont="1" applyFill="1" applyBorder="1" applyAlignment="1" applyProtection="1">
      <alignment horizontal="center" vertical="top" wrapText="1"/>
    </xf>
    <xf numFmtId="3" fontId="35" fillId="17" borderId="28" xfId="0" applyNumberFormat="1" applyFont="1" applyFill="1" applyBorder="1" applyAlignment="1" applyProtection="1">
      <alignment horizontal="left" vertical="top" wrapText="1"/>
    </xf>
    <xf numFmtId="0" fontId="32" fillId="17" borderId="5" xfId="0" applyFont="1" applyFill="1" applyBorder="1" applyAlignment="1" applyProtection="1">
      <alignment horizontal="left" vertical="center"/>
    </xf>
    <xf numFmtId="0" fontId="34" fillId="0" borderId="0" xfId="0" applyFont="1" applyAlignment="1" applyProtection="1">
      <alignment horizontal="center"/>
    </xf>
    <xf numFmtId="0" fontId="34" fillId="0" borderId="0" xfId="0" applyNumberFormat="1" applyFont="1" applyAlignment="1" applyProtection="1">
      <alignment horizontal="center"/>
    </xf>
    <xf numFmtId="0" fontId="34" fillId="0" borderId="0" xfId="0" applyFont="1" applyProtection="1"/>
    <xf numFmtId="0" fontId="34" fillId="0" borderId="0" xfId="0" applyFont="1" applyFill="1" applyProtection="1"/>
    <xf numFmtId="0" fontId="34" fillId="0" borderId="0" xfId="0" applyFont="1" applyFill="1" applyAlignment="1" applyProtection="1">
      <alignment wrapText="1"/>
    </xf>
    <xf numFmtId="0" fontId="34" fillId="0" borderId="0" xfId="0" applyFont="1" applyFill="1" applyAlignment="1" applyProtection="1">
      <alignment horizontal="left"/>
    </xf>
    <xf numFmtId="0" fontId="34" fillId="0" borderId="0" xfId="0" applyFont="1" applyAlignment="1" applyProtection="1">
      <alignment wrapText="1"/>
    </xf>
    <xf numFmtId="1" fontId="30" fillId="17" borderId="28" xfId="0" applyNumberFormat="1" applyFont="1" applyFill="1" applyBorder="1" applyAlignment="1" applyProtection="1">
      <alignment horizontal="center" vertical="center"/>
    </xf>
    <xf numFmtId="0" fontId="32" fillId="17" borderId="28" xfId="0" applyFont="1" applyFill="1" applyBorder="1" applyAlignment="1" applyProtection="1">
      <alignment horizontal="left" vertical="top"/>
    </xf>
    <xf numFmtId="0" fontId="32" fillId="0" borderId="21" xfId="0" applyFont="1" applyFill="1" applyBorder="1" applyAlignment="1" applyProtection="1">
      <alignment horizontal="center" vertical="center" wrapText="1"/>
    </xf>
    <xf numFmtId="0" fontId="32" fillId="0" borderId="56" xfId="0" applyNumberFormat="1" applyFont="1" applyFill="1" applyBorder="1" applyAlignment="1" applyProtection="1">
      <alignment horizontal="center" vertical="center" wrapText="1"/>
    </xf>
    <xf numFmtId="0" fontId="32" fillId="0" borderId="20" xfId="0" applyFont="1" applyFill="1" applyBorder="1" applyAlignment="1" applyProtection="1">
      <alignment horizontal="center" vertical="center" wrapText="1"/>
    </xf>
    <xf numFmtId="4" fontId="32" fillId="0" borderId="27" xfId="0" applyNumberFormat="1" applyFont="1" applyFill="1" applyBorder="1" applyAlignment="1" applyProtection="1">
      <alignment horizontal="center" vertical="center" wrapText="1"/>
    </xf>
    <xf numFmtId="191" fontId="32" fillId="0" borderId="44" xfId="0" applyNumberFormat="1" applyFont="1" applyFill="1" applyBorder="1" applyAlignment="1" applyProtection="1">
      <alignment horizontal="center" vertical="center" textRotation="90" wrapText="1"/>
    </xf>
    <xf numFmtId="4" fontId="32" fillId="0" borderId="50" xfId="0" applyNumberFormat="1" applyFont="1" applyFill="1" applyBorder="1" applyAlignment="1" applyProtection="1">
      <alignment horizontal="center" vertical="center" textRotation="90" wrapText="1"/>
    </xf>
    <xf numFmtId="4" fontId="32" fillId="0" borderId="20" xfId="0" applyNumberFormat="1" applyFont="1" applyFill="1" applyBorder="1" applyAlignment="1" applyProtection="1">
      <alignment horizontal="center" vertical="center" textRotation="90" wrapText="1"/>
    </xf>
    <xf numFmtId="4" fontId="32" fillId="0" borderId="11" xfId="0" applyNumberFormat="1" applyFont="1" applyFill="1" applyBorder="1" applyAlignment="1" applyProtection="1">
      <alignment horizontal="center" vertical="center" textRotation="90" wrapText="1"/>
    </xf>
    <xf numFmtId="4" fontId="32" fillId="0" borderId="54" xfId="0" applyNumberFormat="1" applyFont="1" applyFill="1" applyBorder="1" applyAlignment="1" applyProtection="1">
      <alignment horizontal="center" vertical="center" textRotation="90" wrapText="1"/>
    </xf>
    <xf numFmtId="4" fontId="32" fillId="0" borderId="51" xfId="0" applyNumberFormat="1" applyFont="1" applyFill="1" applyBorder="1" applyAlignment="1" applyProtection="1">
      <alignment horizontal="center" vertical="center" textRotation="90" wrapText="1"/>
    </xf>
    <xf numFmtId="4" fontId="32" fillId="0" borderId="2" xfId="0" applyNumberFormat="1" applyFont="1" applyFill="1" applyBorder="1" applyAlignment="1" applyProtection="1">
      <alignment horizontal="center" vertical="center" textRotation="90" wrapText="1"/>
    </xf>
    <xf numFmtId="4" fontId="32" fillId="0" borderId="3" xfId="0" applyNumberFormat="1" applyFont="1" applyFill="1" applyBorder="1" applyAlignment="1" applyProtection="1">
      <alignment horizontal="center" vertical="center" textRotation="90" wrapText="1"/>
    </xf>
    <xf numFmtId="0" fontId="62" fillId="18" borderId="57" xfId="0" applyFont="1" applyFill="1" applyBorder="1"/>
    <xf numFmtId="0" fontId="0" fillId="0" borderId="0" xfId="0" applyNumberFormat="1"/>
    <xf numFmtId="0" fontId="0" fillId="0" borderId="0" xfId="0" applyFont="1" applyAlignment="1">
      <alignment horizontal="center"/>
    </xf>
    <xf numFmtId="0" fontId="39" fillId="0" borderId="0" xfId="0" applyFont="1" applyFill="1" applyAlignment="1"/>
    <xf numFmtId="0" fontId="38" fillId="17" borderId="5" xfId="0" applyFont="1" applyFill="1" applyBorder="1" applyAlignment="1">
      <alignment horizontal="center" vertical="center"/>
    </xf>
    <xf numFmtId="0" fontId="28" fillId="0" borderId="21" xfId="0" applyFont="1" applyFill="1" applyBorder="1" applyAlignment="1" applyProtection="1">
      <alignment horizontal="center" vertical="center" wrapText="1"/>
    </xf>
    <xf numFmtId="0" fontId="28" fillId="0" borderId="56" xfId="0" applyNumberFormat="1" applyFont="1" applyFill="1" applyBorder="1" applyAlignment="1" applyProtection="1">
      <alignment horizontal="center" vertical="center" wrapText="1"/>
    </xf>
    <xf numFmtId="0" fontId="28" fillId="0" borderId="20" xfId="0" applyFont="1" applyFill="1" applyBorder="1" applyAlignment="1" applyProtection="1">
      <alignment horizontal="center" vertical="center" wrapText="1"/>
    </xf>
    <xf numFmtId="49" fontId="28" fillId="17" borderId="4" xfId="0" applyNumberFormat="1" applyFont="1" applyFill="1" applyBorder="1" applyAlignment="1" applyProtection="1">
      <alignment horizontal="center" vertical="top" wrapText="1"/>
    </xf>
    <xf numFmtId="0" fontId="43" fillId="0" borderId="0" xfId="0" applyFont="1" applyAlignment="1">
      <alignment horizontal="center"/>
    </xf>
    <xf numFmtId="0" fontId="28" fillId="17" borderId="28" xfId="0" applyNumberFormat="1" applyFont="1" applyFill="1" applyBorder="1" applyAlignment="1" applyProtection="1">
      <alignment horizontal="center" vertical="top" wrapText="1"/>
    </xf>
    <xf numFmtId="49" fontId="28" fillId="17" borderId="28" xfId="0" applyNumberFormat="1" applyFont="1" applyFill="1" applyBorder="1" applyAlignment="1" applyProtection="1">
      <alignment horizontal="center" vertical="top" wrapText="1"/>
    </xf>
    <xf numFmtId="191" fontId="32" fillId="0" borderId="0" xfId="0" applyNumberFormat="1" applyFont="1" applyFill="1" applyBorder="1" applyAlignment="1" applyProtection="1">
      <alignment horizontal="center" vertical="center" textRotation="90" wrapText="1"/>
    </xf>
    <xf numFmtId="4" fontId="32" fillId="0" borderId="27" xfId="0" applyNumberFormat="1" applyFont="1" applyFill="1" applyBorder="1" applyAlignment="1" applyProtection="1">
      <alignment horizontal="center" vertical="center" textRotation="90" wrapText="1"/>
    </xf>
    <xf numFmtId="0" fontId="32" fillId="0" borderId="41" xfId="0" applyFont="1" applyFill="1" applyBorder="1" applyAlignment="1">
      <alignment horizontal="center" vertical="center" wrapText="1"/>
    </xf>
    <xf numFmtId="0" fontId="59" fillId="16" borderId="70" xfId="351" applyFont="1" applyFill="1" applyBorder="1" applyAlignment="1" applyProtection="1">
      <alignment horizontal="center" vertical="center" wrapText="1"/>
      <protection locked="0"/>
    </xf>
    <xf numFmtId="0" fontId="0" fillId="0" borderId="0" xfId="0" applyFill="1" applyBorder="1"/>
    <xf numFmtId="49" fontId="32" fillId="17" borderId="13" xfId="0" applyNumberFormat="1" applyFont="1" applyFill="1" applyBorder="1" applyAlignment="1" applyProtection="1">
      <alignment horizontal="center" vertical="center" wrapText="1"/>
    </xf>
    <xf numFmtId="0" fontId="0" fillId="0" borderId="0" xfId="0" applyProtection="1">
      <protection locked="0"/>
    </xf>
    <xf numFmtId="4" fontId="30" fillId="0" borderId="66" xfId="0" applyNumberFormat="1" applyFont="1" applyFill="1" applyBorder="1" applyAlignment="1" applyProtection="1">
      <alignment horizontal="right" vertical="center" wrapText="1"/>
      <protection locked="0"/>
    </xf>
    <xf numFmtId="3" fontId="0" fillId="0" borderId="0" xfId="0" applyNumberFormat="1"/>
    <xf numFmtId="0" fontId="30" fillId="10" borderId="12" xfId="0" applyFont="1" applyFill="1" applyBorder="1" applyAlignment="1" applyProtection="1">
      <alignment horizontal="center" vertical="center" wrapText="1"/>
      <protection locked="0"/>
    </xf>
    <xf numFmtId="0" fontId="30" fillId="10" borderId="28" xfId="0" applyFont="1" applyFill="1" applyBorder="1" applyAlignment="1" applyProtection="1">
      <alignment horizontal="center" vertical="center" wrapText="1"/>
      <protection locked="0"/>
    </xf>
    <xf numFmtId="1" fontId="30" fillId="10" borderId="5" xfId="1" applyNumberFormat="1" applyFont="1" applyFill="1" applyBorder="1" applyAlignment="1" applyProtection="1">
      <alignment horizontal="center" vertical="center" wrapText="1"/>
      <protection locked="0"/>
    </xf>
    <xf numFmtId="0" fontId="30" fillId="10" borderId="5" xfId="0" applyFont="1" applyFill="1" applyBorder="1" applyAlignment="1" applyProtection="1">
      <alignment horizontal="left" vertical="center"/>
      <protection locked="0"/>
    </xf>
    <xf numFmtId="0" fontId="30" fillId="10" borderId="5" xfId="0" applyFont="1" applyFill="1" applyBorder="1" applyAlignment="1" applyProtection="1">
      <alignment horizontal="center" vertical="center" wrapText="1"/>
      <protection locked="0"/>
    </xf>
    <xf numFmtId="0" fontId="29" fillId="0" borderId="0" xfId="1" applyFont="1" applyFill="1" applyBorder="1" applyAlignment="1" applyProtection="1">
      <alignment horizontal="center" wrapText="1"/>
      <protection locked="0"/>
    </xf>
    <xf numFmtId="0" fontId="33" fillId="0" borderId="0" xfId="0" applyFont="1" applyFill="1" applyBorder="1" applyAlignment="1" applyProtection="1">
      <protection locked="0"/>
    </xf>
    <xf numFmtId="0" fontId="27" fillId="0" borderId="0" xfId="1" applyFont="1" applyProtection="1">
      <protection locked="0"/>
    </xf>
    <xf numFmtId="4" fontId="37" fillId="17" borderId="0" xfId="0" applyNumberFormat="1" applyFont="1" applyFill="1" applyBorder="1" applyAlignment="1" applyProtection="1">
      <alignment vertical="center"/>
      <protection locked="0"/>
    </xf>
    <xf numFmtId="0" fontId="33" fillId="17" borderId="0" xfId="1" applyFont="1" applyFill="1" applyProtection="1">
      <protection locked="0"/>
    </xf>
    <xf numFmtId="14" fontId="48" fillId="0" borderId="0" xfId="1" applyNumberFormat="1" applyFont="1" applyFill="1" applyBorder="1" applyAlignment="1" applyProtection="1">
      <alignment horizontal="center" wrapText="1"/>
      <protection locked="0"/>
    </xf>
    <xf numFmtId="0" fontId="47" fillId="0" borderId="0" xfId="1" applyFont="1" applyAlignment="1" applyProtection="1">
      <protection locked="0"/>
    </xf>
    <xf numFmtId="0" fontId="47" fillId="0" borderId="0" xfId="1" applyFont="1" applyAlignment="1" applyProtection="1">
      <alignment vertical="center"/>
      <protection locked="0"/>
    </xf>
    <xf numFmtId="0" fontId="47" fillId="0" borderId="0" xfId="1" applyFont="1" applyAlignment="1" applyProtection="1">
      <alignment horizontal="center" vertical="center"/>
      <protection locked="0"/>
    </xf>
    <xf numFmtId="14" fontId="48" fillId="0" borderId="0" xfId="1" applyNumberFormat="1" applyFont="1" applyFill="1" applyBorder="1" applyAlignment="1" applyProtection="1">
      <alignment horizontal="right" wrapText="1"/>
      <protection locked="0"/>
    </xf>
    <xf numFmtId="0" fontId="30" fillId="0" borderId="0" xfId="1" applyFont="1" applyAlignment="1" applyProtection="1">
      <alignment horizontal="center" vertical="top"/>
      <protection locked="0"/>
    </xf>
    <xf numFmtId="4" fontId="49" fillId="0" borderId="0" xfId="0" applyNumberFormat="1" applyFont="1" applyFill="1" applyBorder="1" applyProtection="1">
      <protection locked="0"/>
    </xf>
    <xf numFmtId="0" fontId="30" fillId="0" borderId="22" xfId="1" applyFont="1" applyBorder="1" applyProtection="1">
      <protection locked="0"/>
    </xf>
    <xf numFmtId="0" fontId="49" fillId="0" borderId="0" xfId="1" applyFont="1" applyAlignment="1" applyProtection="1">
      <alignment horizontal="center" vertical="center"/>
      <protection locked="0"/>
    </xf>
    <xf numFmtId="49" fontId="33" fillId="0" borderId="0" xfId="1" applyNumberFormat="1" applyFont="1" applyFill="1" applyBorder="1" applyAlignment="1" applyProtection="1">
      <alignment horizontal="left" vertical="center"/>
      <protection locked="0"/>
    </xf>
    <xf numFmtId="4" fontId="49" fillId="0" borderId="0" xfId="0" applyNumberFormat="1" applyFont="1" applyFill="1" applyBorder="1" applyAlignment="1" applyProtection="1">
      <alignment vertical="top"/>
      <protection locked="0"/>
    </xf>
    <xf numFmtId="0" fontId="33" fillId="0" borderId="0" xfId="0" applyFont="1" applyAlignment="1" applyProtection="1">
      <alignment horizontal="right"/>
      <protection locked="0"/>
    </xf>
    <xf numFmtId="0" fontId="33" fillId="0" borderId="0" xfId="0" applyFont="1" applyFill="1" applyAlignment="1" applyProtection="1">
      <alignment horizontal="left"/>
      <protection locked="0"/>
    </xf>
    <xf numFmtId="165" fontId="33" fillId="0" borderId="0" xfId="0" applyNumberFormat="1" applyFont="1" applyFill="1" applyBorder="1" applyProtection="1">
      <protection locked="0"/>
    </xf>
    <xf numFmtId="14" fontId="50" fillId="0" borderId="3" xfId="0" applyNumberFormat="1" applyFont="1" applyFill="1" applyBorder="1" applyAlignment="1" applyProtection="1">
      <alignment horizontal="center" vertical="center"/>
      <protection locked="0"/>
    </xf>
    <xf numFmtId="14" fontId="50" fillId="0" borderId="9" xfId="0" applyNumberFormat="1" applyFont="1" applyFill="1" applyBorder="1" applyAlignment="1" applyProtection="1">
      <alignment horizontal="center" vertical="center"/>
      <protection locked="0"/>
    </xf>
    <xf numFmtId="0" fontId="33" fillId="0" borderId="0" xfId="1" applyFont="1" applyAlignment="1" applyProtection="1">
      <alignment vertical="center"/>
      <protection locked="0"/>
    </xf>
    <xf numFmtId="0" fontId="33" fillId="0" borderId="0" xfId="1" applyFont="1" applyAlignment="1" applyProtection="1">
      <alignment horizontal="center" vertical="center"/>
      <protection locked="0"/>
    </xf>
    <xf numFmtId="0" fontId="49" fillId="0" borderId="0" xfId="0" applyFont="1" applyAlignment="1" applyProtection="1">
      <alignment horizontal="center"/>
      <protection locked="0"/>
    </xf>
    <xf numFmtId="0" fontId="49" fillId="0" borderId="0" xfId="0" applyFont="1" applyProtection="1">
      <protection locked="0"/>
    </xf>
    <xf numFmtId="4" fontId="33" fillId="0" borderId="0" xfId="0" applyNumberFormat="1" applyFont="1" applyFill="1" applyBorder="1" applyProtection="1">
      <protection locked="0"/>
    </xf>
    <xf numFmtId="0" fontId="33" fillId="0" borderId="0" xfId="0" applyFont="1" applyProtection="1">
      <protection locked="0"/>
    </xf>
    <xf numFmtId="10" fontId="33" fillId="0" borderId="0" xfId="0" applyNumberFormat="1" applyFont="1" applyProtection="1">
      <protection locked="0"/>
    </xf>
    <xf numFmtId="0" fontId="47" fillId="0" borderId="0" xfId="1" applyFont="1" applyAlignment="1" applyProtection="1">
      <alignment vertical="center" wrapText="1"/>
      <protection locked="0"/>
    </xf>
    <xf numFmtId="0" fontId="49" fillId="0" borderId="12" xfId="0" applyFont="1" applyFill="1" applyBorder="1" applyAlignment="1" applyProtection="1">
      <alignment horizontal="left" vertical="center" indent="1"/>
      <protection locked="0"/>
    </xf>
    <xf numFmtId="0" fontId="49" fillId="17" borderId="0" xfId="0" applyFont="1" applyFill="1" applyBorder="1" applyProtection="1">
      <protection locked="0"/>
    </xf>
    <xf numFmtId="0" fontId="30" fillId="17" borderId="0" xfId="0" applyFont="1" applyFill="1" applyBorder="1" applyProtection="1">
      <protection locked="0"/>
    </xf>
    <xf numFmtId="0" fontId="49" fillId="17" borderId="0" xfId="0" applyFont="1" applyFill="1" applyBorder="1" applyAlignment="1" applyProtection="1">
      <alignment vertical="top" wrapText="1"/>
      <protection locked="0"/>
    </xf>
    <xf numFmtId="0" fontId="51" fillId="0" borderId="0" xfId="0" applyFont="1" applyAlignment="1" applyProtection="1">
      <alignment vertical="center"/>
      <protection locked="0"/>
    </xf>
    <xf numFmtId="4" fontId="49" fillId="0" borderId="0" xfId="0" applyNumberFormat="1" applyFont="1" applyFill="1" applyBorder="1" applyAlignment="1" applyProtection="1">
      <alignment vertical="center"/>
      <protection locked="0"/>
    </xf>
    <xf numFmtId="0" fontId="30" fillId="0" borderId="22" xfId="1" applyFont="1" applyFill="1" applyBorder="1" applyAlignment="1" applyProtection="1">
      <alignment horizontal="right" vertical="center" wrapText="1"/>
      <protection locked="0"/>
    </xf>
    <xf numFmtId="4" fontId="27" fillId="0" borderId="0" xfId="0" applyNumberFormat="1" applyFont="1" applyFill="1" applyBorder="1" applyAlignment="1" applyProtection="1">
      <protection locked="0"/>
    </xf>
    <xf numFmtId="0" fontId="40" fillId="0" borderId="0" xfId="1" applyFont="1" applyAlignment="1" applyProtection="1">
      <alignment horizontal="center"/>
      <protection locked="0"/>
    </xf>
    <xf numFmtId="4" fontId="27" fillId="9" borderId="0" xfId="0" applyNumberFormat="1" applyFont="1" applyFill="1" applyBorder="1" applyAlignment="1" applyProtection="1">
      <alignment horizontal="left"/>
      <protection locked="0"/>
    </xf>
    <xf numFmtId="0" fontId="27" fillId="0" borderId="0" xfId="1" applyFont="1" applyFill="1" applyProtection="1">
      <protection locked="0"/>
    </xf>
    <xf numFmtId="0" fontId="27" fillId="0" borderId="0" xfId="1" applyFont="1" applyAlignment="1" applyProtection="1">
      <alignment horizontal="center"/>
      <protection locked="0"/>
    </xf>
    <xf numFmtId="4" fontId="30" fillId="0" borderId="0" xfId="0" applyNumberFormat="1" applyFont="1" applyFill="1" applyBorder="1" applyAlignment="1" applyProtection="1">
      <alignment vertical="top"/>
      <protection locked="0"/>
    </xf>
    <xf numFmtId="4" fontId="27" fillId="0" borderId="0" xfId="0" applyNumberFormat="1" applyFont="1" applyFill="1" applyBorder="1" applyAlignment="1" applyProtection="1">
      <alignment vertical="center"/>
      <protection locked="0"/>
    </xf>
    <xf numFmtId="0" fontId="43" fillId="0" borderId="0" xfId="0" applyFont="1" applyProtection="1">
      <protection locked="0"/>
    </xf>
    <xf numFmtId="0" fontId="49" fillId="0" borderId="28" xfId="0" applyFont="1" applyFill="1" applyBorder="1" applyAlignment="1" applyProtection="1">
      <alignment horizontal="left" vertical="center" indent="1"/>
      <protection locked="0"/>
    </xf>
    <xf numFmtId="0" fontId="49" fillId="0" borderId="0" xfId="0" applyFont="1" applyFill="1" applyBorder="1" applyAlignment="1" applyProtection="1">
      <alignment horizontal="center"/>
      <protection locked="0"/>
    </xf>
    <xf numFmtId="0" fontId="33" fillId="0" borderId="0" xfId="0" applyFont="1" applyFill="1" applyBorder="1" applyAlignment="1" applyProtection="1">
      <alignment horizontal="right" vertical="center" wrapText="1"/>
      <protection locked="0"/>
    </xf>
    <xf numFmtId="9" fontId="33" fillId="0" borderId="0" xfId="0" applyNumberFormat="1" applyFont="1" applyFill="1" applyBorder="1" applyAlignment="1" applyProtection="1">
      <alignment horizontal="center" vertical="center"/>
      <protection locked="0"/>
    </xf>
    <xf numFmtId="10" fontId="33" fillId="0" borderId="0" xfId="0" applyNumberFormat="1" applyFont="1" applyFill="1" applyBorder="1" applyAlignment="1" applyProtection="1">
      <protection locked="0"/>
    </xf>
    <xf numFmtId="0" fontId="49" fillId="0" borderId="0" xfId="0" applyFont="1" applyFill="1" applyAlignment="1" applyProtection="1">
      <alignment horizontal="center" vertical="center" wrapText="1"/>
      <protection locked="0"/>
    </xf>
    <xf numFmtId="0" fontId="51" fillId="0" borderId="0" xfId="0" applyFont="1" applyProtection="1">
      <protection locked="0"/>
    </xf>
    <xf numFmtId="0" fontId="27" fillId="0" borderId="0" xfId="0" applyFont="1" applyAlignment="1" applyProtection="1">
      <alignment horizontal="left" vertical="center" indent="8"/>
      <protection locked="0"/>
    </xf>
    <xf numFmtId="0" fontId="27" fillId="0" borderId="0" xfId="0" applyFont="1" applyAlignment="1" applyProtection="1">
      <alignment horizontal="left" vertical="center" indent="4"/>
      <protection locked="0"/>
    </xf>
    <xf numFmtId="0" fontId="27" fillId="0" borderId="0" xfId="0" applyFont="1" applyAlignment="1" applyProtection="1">
      <protection locked="0"/>
    </xf>
    <xf numFmtId="4" fontId="33" fillId="0" borderId="62" xfId="0" applyNumberFormat="1" applyFont="1" applyFill="1" applyBorder="1" applyAlignment="1" applyProtection="1">
      <alignment horizontal="right" vertical="center"/>
    </xf>
    <xf numFmtId="4" fontId="33" fillId="0" borderId="24" xfId="0" applyNumberFormat="1" applyFont="1" applyFill="1" applyBorder="1" applyAlignment="1" applyProtection="1">
      <alignment horizontal="right" vertical="center"/>
    </xf>
    <xf numFmtId="4" fontId="33" fillId="0" borderId="0" xfId="0" applyNumberFormat="1" applyFont="1" applyFill="1" applyBorder="1" applyAlignment="1" applyProtection="1">
      <alignment horizontal="right" vertical="center"/>
    </xf>
    <xf numFmtId="0" fontId="61" fillId="0" borderId="0" xfId="0" applyFont="1" applyProtection="1">
      <protection locked="0"/>
    </xf>
    <xf numFmtId="0" fontId="34" fillId="0" borderId="0" xfId="0" applyFont="1" applyFill="1" applyAlignment="1" applyProtection="1">
      <alignment horizontal="left" vertical="center" wrapText="1"/>
    </xf>
    <xf numFmtId="0" fontId="34" fillId="0" borderId="0" xfId="0" applyFont="1" applyFill="1" applyAlignment="1" applyProtection="1">
      <alignment wrapText="1"/>
      <protection locked="0"/>
    </xf>
    <xf numFmtId="4" fontId="30" fillId="0" borderId="2" xfId="0" applyNumberFormat="1" applyFont="1" applyFill="1" applyBorder="1" applyAlignment="1" applyProtection="1">
      <alignment horizontal="center"/>
      <protection locked="0"/>
    </xf>
    <xf numFmtId="4" fontId="30" fillId="0" borderId="29" xfId="0" applyNumberFormat="1" applyFont="1" applyFill="1" applyBorder="1" applyAlignment="1" applyProtection="1">
      <alignment horizontal="center"/>
      <protection locked="0"/>
    </xf>
    <xf numFmtId="4" fontId="30" fillId="0" borderId="30" xfId="0" applyNumberFormat="1" applyFont="1" applyFill="1" applyBorder="1" applyAlignment="1" applyProtection="1">
      <alignment horizontal="center"/>
    </xf>
    <xf numFmtId="4" fontId="30" fillId="0" borderId="10" xfId="0" applyNumberFormat="1" applyFont="1" applyFill="1" applyBorder="1" applyAlignment="1" applyProtection="1">
      <alignment horizontal="center"/>
      <protection locked="0"/>
    </xf>
    <xf numFmtId="4" fontId="30" fillId="0" borderId="47" xfId="0" applyNumberFormat="1" applyFont="1" applyFill="1" applyBorder="1" applyAlignment="1" applyProtection="1">
      <alignment horizontal="center"/>
      <protection locked="0"/>
    </xf>
    <xf numFmtId="4" fontId="30" fillId="0" borderId="67" xfId="0" applyNumberFormat="1" applyFont="1" applyFill="1" applyBorder="1" applyAlignment="1" applyProtection="1">
      <alignment horizontal="center"/>
    </xf>
    <xf numFmtId="4" fontId="30" fillId="0" borderId="58" xfId="0" applyNumberFormat="1" applyFont="1" applyFill="1" applyBorder="1" applyAlignment="1" applyProtection="1">
      <alignment horizontal="center"/>
      <protection locked="0"/>
    </xf>
    <xf numFmtId="4" fontId="30" fillId="0" borderId="59" xfId="0" applyNumberFormat="1" applyFont="1" applyFill="1" applyBorder="1" applyAlignment="1" applyProtection="1">
      <alignment horizontal="center"/>
      <protection locked="0"/>
    </xf>
    <xf numFmtId="4" fontId="30" fillId="0" borderId="60" xfId="0" applyNumberFormat="1" applyFont="1" applyFill="1" applyBorder="1" applyAlignment="1" applyProtection="1">
      <alignment horizontal="center"/>
    </xf>
    <xf numFmtId="4" fontId="30" fillId="0" borderId="8" xfId="0" applyNumberFormat="1" applyFont="1" applyFill="1" applyBorder="1" applyAlignment="1" applyProtection="1">
      <alignment horizontal="center"/>
      <protection locked="0"/>
    </xf>
    <xf numFmtId="4" fontId="30" fillId="0" borderId="43" xfId="0" applyNumberFormat="1" applyFont="1" applyFill="1" applyBorder="1" applyAlignment="1" applyProtection="1">
      <alignment horizontal="center"/>
      <protection locked="0"/>
    </xf>
    <xf numFmtId="4" fontId="30" fillId="0" borderId="48" xfId="0" applyNumberFormat="1" applyFont="1" applyFill="1" applyBorder="1" applyAlignment="1" applyProtection="1">
      <alignment horizontal="center"/>
    </xf>
    <xf numFmtId="0" fontId="39" fillId="0" borderId="0" xfId="0" applyFont="1" applyFill="1" applyAlignment="1">
      <alignment horizontal="left" vertical="center"/>
    </xf>
    <xf numFmtId="0" fontId="37" fillId="0" borderId="0" xfId="0" applyFont="1" applyFill="1" applyAlignment="1">
      <alignment horizontal="left" vertical="center"/>
    </xf>
    <xf numFmtId="0" fontId="28" fillId="0" borderId="0" xfId="0" applyFont="1" applyAlignment="1" applyProtection="1">
      <alignment horizontal="center" vertical="center"/>
      <protection locked="0"/>
    </xf>
    <xf numFmtId="0" fontId="45" fillId="0" borderId="0" xfId="0" applyFont="1" applyAlignment="1" applyProtection="1">
      <alignment horizontal="center" vertical="center"/>
      <protection locked="0"/>
    </xf>
    <xf numFmtId="49" fontId="32" fillId="17" borderId="4" xfId="0" applyNumberFormat="1" applyFont="1" applyFill="1" applyBorder="1" applyAlignment="1" applyProtection="1">
      <alignment horizontal="center" vertical="center" wrapText="1"/>
    </xf>
    <xf numFmtId="0" fontId="39" fillId="0" borderId="0" xfId="0" applyFont="1" applyAlignment="1" applyProtection="1">
      <alignment horizontal="center" vertical="center"/>
    </xf>
    <xf numFmtId="0" fontId="39" fillId="0" borderId="0" xfId="0" applyFont="1" applyAlignment="1" applyProtection="1">
      <alignment horizontal="center" vertical="center"/>
      <protection locked="0"/>
    </xf>
    <xf numFmtId="0" fontId="41" fillId="0" borderId="0" xfId="0" applyFont="1" applyFill="1" applyAlignment="1" applyProtection="1">
      <alignment horizontal="center" vertical="center"/>
      <protection locked="0"/>
    </xf>
    <xf numFmtId="0" fontId="41" fillId="0" borderId="0" xfId="0" applyFont="1" applyFill="1" applyAlignment="1" applyProtection="1">
      <alignment horizontal="center" vertical="center" wrapText="1"/>
      <protection locked="0"/>
    </xf>
    <xf numFmtId="4" fontId="27" fillId="0" borderId="0" xfId="0" applyNumberFormat="1" applyFont="1" applyAlignment="1" applyProtection="1">
      <alignment horizontal="center"/>
      <protection locked="0"/>
    </xf>
    <xf numFmtId="4" fontId="45" fillId="0" borderId="0" xfId="0" applyNumberFormat="1" applyFont="1" applyFill="1" applyAlignment="1" applyProtection="1">
      <alignment horizontal="center"/>
      <protection locked="0"/>
    </xf>
    <xf numFmtId="4" fontId="32" fillId="17" borderId="28" xfId="0" applyNumberFormat="1" applyFont="1" applyFill="1" applyBorder="1" applyAlignment="1" applyProtection="1">
      <alignment horizontal="center" vertical="top" wrapText="1"/>
    </xf>
    <xf numFmtId="4" fontId="30" fillId="0" borderId="0" xfId="0" applyNumberFormat="1" applyFont="1" applyFill="1" applyAlignment="1" applyProtection="1">
      <alignment horizontal="center"/>
      <protection locked="0"/>
    </xf>
    <xf numFmtId="4" fontId="27" fillId="0" borderId="0" xfId="0" applyNumberFormat="1" applyFont="1" applyAlignment="1" applyProtection="1">
      <alignment horizontal="center" vertical="center" wrapText="1"/>
      <protection locked="0"/>
    </xf>
    <xf numFmtId="4" fontId="27" fillId="0" borderId="0" xfId="0" applyNumberFormat="1" applyFont="1" applyAlignment="1" applyProtection="1">
      <alignment horizontal="center" vertical="center"/>
      <protection locked="0"/>
    </xf>
    <xf numFmtId="4" fontId="45" fillId="0" borderId="0" xfId="0" applyNumberFormat="1" applyFont="1" applyFill="1" applyAlignment="1" applyProtection="1">
      <alignment horizontal="center" vertical="center" wrapText="1"/>
      <protection locked="0"/>
    </xf>
    <xf numFmtId="4" fontId="30" fillId="17" borderId="28" xfId="0" applyNumberFormat="1" applyFont="1" applyFill="1" applyBorder="1" applyAlignment="1" applyProtection="1">
      <alignment horizontal="center" vertical="center"/>
    </xf>
    <xf numFmtId="4" fontId="32" fillId="17" borderId="28" xfId="0" applyNumberFormat="1" applyFont="1" applyFill="1" applyBorder="1" applyAlignment="1" applyProtection="1">
      <alignment horizontal="center" vertical="center" wrapText="1"/>
    </xf>
    <xf numFmtId="4" fontId="30" fillId="0" borderId="0" xfId="0" applyNumberFormat="1" applyFont="1" applyAlignment="1" applyProtection="1">
      <alignment horizontal="center"/>
      <protection locked="0"/>
    </xf>
    <xf numFmtId="4" fontId="45" fillId="0" borderId="0" xfId="0" applyNumberFormat="1" applyFont="1" applyAlignment="1" applyProtection="1">
      <alignment horizontal="center"/>
      <protection locked="0"/>
    </xf>
    <xf numFmtId="4" fontId="27" fillId="0" borderId="0" xfId="0" applyNumberFormat="1" applyFont="1" applyAlignment="1" applyProtection="1">
      <alignment horizontal="center" wrapText="1"/>
      <protection locked="0"/>
    </xf>
    <xf numFmtId="0" fontId="27" fillId="0" borderId="0" xfId="0" applyFont="1" applyFill="1" applyAlignment="1" applyProtection="1">
      <alignment horizontal="center" vertical="center"/>
      <protection locked="0"/>
    </xf>
    <xf numFmtId="4" fontId="27" fillId="0" borderId="0" xfId="0" applyNumberFormat="1" applyFont="1" applyFill="1" applyAlignment="1" applyProtection="1">
      <alignment horizontal="center" vertical="center" wrapText="1"/>
      <protection locked="0"/>
    </xf>
    <xf numFmtId="4" fontId="27" fillId="0" borderId="0" xfId="0" applyNumberFormat="1" applyFont="1" applyFill="1" applyAlignment="1" applyProtection="1">
      <alignment horizontal="center" vertical="center"/>
      <protection locked="0"/>
    </xf>
    <xf numFmtId="4" fontId="27" fillId="0" borderId="27" xfId="0" applyNumberFormat="1" applyFont="1" applyFill="1" applyBorder="1" applyAlignment="1" applyProtection="1">
      <alignment horizontal="center" vertical="center"/>
    </xf>
    <xf numFmtId="1" fontId="32" fillId="0" borderId="51" xfId="0" applyNumberFormat="1" applyFont="1" applyFill="1" applyBorder="1" applyAlignment="1" applyProtection="1">
      <alignment horizontal="center" vertical="center" textRotation="90" wrapText="1"/>
    </xf>
    <xf numFmtId="1" fontId="32" fillId="0" borderId="2" xfId="0" applyNumberFormat="1" applyFont="1" applyFill="1" applyBorder="1" applyAlignment="1" applyProtection="1">
      <alignment horizontal="center" vertical="center" textRotation="90" wrapText="1"/>
    </xf>
    <xf numFmtId="1" fontId="27" fillId="0" borderId="0" xfId="0" applyNumberFormat="1" applyFont="1" applyAlignment="1" applyProtection="1">
      <alignment horizontal="center"/>
      <protection locked="0"/>
    </xf>
    <xf numFmtId="1" fontId="45" fillId="0" borderId="0" xfId="0" applyNumberFormat="1" applyFont="1" applyFill="1" applyAlignment="1" applyProtection="1">
      <alignment horizontal="center" vertical="center" wrapText="1"/>
      <protection locked="0"/>
    </xf>
    <xf numFmtId="1" fontId="30" fillId="0" borderId="0" xfId="0" applyNumberFormat="1" applyFont="1" applyFill="1" applyAlignment="1" applyProtection="1">
      <alignment horizontal="center"/>
      <protection locked="0"/>
    </xf>
    <xf numFmtId="1" fontId="27" fillId="0" borderId="0" xfId="0" applyNumberFormat="1" applyFont="1" applyFill="1" applyAlignment="1" applyProtection="1">
      <alignment horizontal="center"/>
      <protection locked="0"/>
    </xf>
    <xf numFmtId="1" fontId="27" fillId="0" borderId="0" xfId="0" applyNumberFormat="1" applyFont="1" applyAlignment="1" applyProtection="1">
      <alignment horizontal="center" vertical="center" wrapText="1"/>
      <protection locked="0"/>
    </xf>
    <xf numFmtId="1" fontId="27" fillId="0" borderId="0" xfId="0" applyNumberFormat="1" applyFont="1" applyAlignment="1" applyProtection="1">
      <alignment horizontal="center" vertical="center"/>
      <protection locked="0"/>
    </xf>
    <xf numFmtId="0" fontId="41" fillId="0" borderId="0" xfId="0" applyFont="1" applyFill="1" applyAlignment="1" applyProtection="1">
      <alignment horizontal="left" vertical="center"/>
    </xf>
    <xf numFmtId="0" fontId="39" fillId="0" borderId="0" xfId="0" applyFont="1" applyFill="1" applyAlignment="1">
      <alignment horizontal="center" vertical="center"/>
    </xf>
    <xf numFmtId="0" fontId="32" fillId="0" borderId="2" xfId="0" applyFont="1" applyFill="1" applyBorder="1" applyProtection="1"/>
    <xf numFmtId="0" fontId="32" fillId="0" borderId="5" xfId="0" applyFont="1" applyFill="1" applyBorder="1" applyProtection="1"/>
    <xf numFmtId="0" fontId="32" fillId="0" borderId="8" xfId="0" applyFont="1" applyFill="1" applyBorder="1" applyProtection="1"/>
    <xf numFmtId="4" fontId="28" fillId="17" borderId="33" xfId="0" applyNumberFormat="1" applyFont="1" applyFill="1" applyBorder="1" applyAlignment="1">
      <alignment horizontal="center" vertical="center" wrapText="1"/>
    </xf>
    <xf numFmtId="4" fontId="30" fillId="0" borderId="0" xfId="0" applyNumberFormat="1" applyFont="1" applyAlignment="1">
      <alignment horizontal="center" wrapText="1"/>
    </xf>
    <xf numFmtId="4" fontId="30" fillId="0" borderId="0" xfId="0" applyNumberFormat="1" applyFont="1" applyAlignment="1">
      <alignment horizontal="center"/>
    </xf>
    <xf numFmtId="0" fontId="39" fillId="0" borderId="0" xfId="0" applyFont="1" applyFill="1" applyAlignment="1">
      <alignment horizontal="center"/>
    </xf>
    <xf numFmtId="4" fontId="32" fillId="19" borderId="33" xfId="0" applyNumberFormat="1" applyFont="1" applyFill="1" applyBorder="1" applyAlignment="1">
      <alignment horizontal="center"/>
    </xf>
    <xf numFmtId="4" fontId="32" fillId="19" borderId="26" xfId="0" applyNumberFormat="1" applyFont="1" applyFill="1" applyBorder="1" applyAlignment="1">
      <alignment horizontal="center"/>
    </xf>
    <xf numFmtId="0" fontId="32" fillId="0" borderId="0" xfId="0" applyFont="1" applyFill="1" applyBorder="1" applyAlignment="1">
      <alignment horizontal="center" vertical="center" wrapText="1"/>
    </xf>
    <xf numFmtId="4" fontId="30" fillId="0" borderId="0" xfId="0" applyNumberFormat="1" applyFont="1" applyFill="1" applyBorder="1" applyAlignment="1">
      <alignment horizontal="center"/>
    </xf>
    <xf numFmtId="0" fontId="32" fillId="0" borderId="0" xfId="0" applyFont="1" applyFill="1" applyBorder="1" applyAlignment="1">
      <alignment horizontal="center" wrapText="1"/>
    </xf>
    <xf numFmtId="4" fontId="32" fillId="0" borderId="0" xfId="0" applyNumberFormat="1" applyFont="1" applyFill="1" applyBorder="1" applyAlignment="1">
      <alignment horizontal="center"/>
    </xf>
    <xf numFmtId="4" fontId="30" fillId="0" borderId="30" xfId="0" applyNumberFormat="1" applyFont="1" applyFill="1" applyBorder="1" applyAlignment="1" applyProtection="1">
      <alignment horizontal="center"/>
      <protection locked="0"/>
    </xf>
    <xf numFmtId="4" fontId="30" fillId="0" borderId="67" xfId="0" applyNumberFormat="1" applyFont="1" applyFill="1" applyBorder="1" applyAlignment="1" applyProtection="1">
      <alignment horizontal="center"/>
      <protection locked="0"/>
    </xf>
    <xf numFmtId="0" fontId="46" fillId="0" borderId="0" xfId="0" applyFont="1" applyFill="1" applyAlignment="1" applyProtection="1">
      <alignment horizontal="center"/>
      <protection locked="0"/>
    </xf>
    <xf numFmtId="3" fontId="32" fillId="17" borderId="28" xfId="0" applyNumberFormat="1" applyFont="1" applyFill="1" applyBorder="1" applyAlignment="1" applyProtection="1">
      <alignment horizontal="center" vertical="top" wrapText="1"/>
    </xf>
    <xf numFmtId="3" fontId="35" fillId="17" borderId="28" xfId="0" applyNumberFormat="1" applyFont="1" applyFill="1" applyBorder="1" applyAlignment="1" applyProtection="1">
      <alignment horizontal="center" vertical="top" wrapText="1"/>
    </xf>
    <xf numFmtId="0" fontId="30" fillId="0" borderId="0" xfId="0" applyFont="1" applyAlignment="1" applyProtection="1">
      <alignment horizontal="center"/>
      <protection locked="0"/>
    </xf>
    <xf numFmtId="0" fontId="30" fillId="0" borderId="0" xfId="0" applyFont="1" applyFill="1" applyAlignment="1" applyProtection="1">
      <alignment horizontal="center"/>
      <protection locked="0"/>
    </xf>
    <xf numFmtId="0" fontId="27" fillId="0" borderId="0" xfId="0" applyFont="1" applyAlignment="1" applyProtection="1">
      <alignment horizontal="center" vertical="center" wrapText="1"/>
      <protection locked="0"/>
    </xf>
    <xf numFmtId="0" fontId="61" fillId="0" borderId="0" xfId="0" applyFont="1" applyAlignment="1" applyProtection="1">
      <alignment horizontal="center" vertical="center"/>
      <protection locked="0"/>
    </xf>
    <xf numFmtId="0" fontId="39" fillId="0" borderId="0" xfId="0" applyFont="1" applyFill="1" applyAlignment="1" applyProtection="1">
      <alignment horizontal="center" vertical="center"/>
      <protection locked="0"/>
    </xf>
    <xf numFmtId="0" fontId="39" fillId="0" borderId="0" xfId="0" applyFont="1" applyFill="1" applyAlignment="1" applyProtection="1">
      <alignment horizontal="center" vertical="center" wrapText="1"/>
      <protection locked="0"/>
    </xf>
    <xf numFmtId="0" fontId="27" fillId="0" borderId="0" xfId="0" applyFont="1" applyAlignment="1">
      <alignment horizontal="center" vertical="center"/>
    </xf>
    <xf numFmtId="1" fontId="46" fillId="0" borderId="0" xfId="0" applyNumberFormat="1" applyFont="1" applyAlignment="1" applyProtection="1">
      <alignment horizontal="center" vertical="center"/>
      <protection locked="0"/>
    </xf>
    <xf numFmtId="1" fontId="46" fillId="0" borderId="0" xfId="0" applyNumberFormat="1" applyFont="1" applyFill="1" applyAlignment="1" applyProtection="1">
      <alignment horizontal="center"/>
      <protection locked="0"/>
    </xf>
    <xf numFmtId="0" fontId="61" fillId="0" borderId="0" xfId="0" applyFont="1" applyAlignment="1" applyProtection="1">
      <alignment wrapText="1"/>
      <protection locked="0"/>
    </xf>
    <xf numFmtId="1" fontId="49" fillId="0" borderId="5" xfId="0" applyNumberFormat="1" applyFont="1" applyFill="1" applyBorder="1" applyAlignment="1" applyProtection="1">
      <alignment horizontal="center" vertical="center" wrapText="1"/>
      <protection locked="0"/>
    </xf>
    <xf numFmtId="1" fontId="49" fillId="0" borderId="12" xfId="0" applyNumberFormat="1" applyFont="1" applyFill="1" applyBorder="1" applyAlignment="1" applyProtection="1">
      <alignment horizontal="center" vertical="center" wrapText="1"/>
      <protection locked="0"/>
    </xf>
    <xf numFmtId="3" fontId="49" fillId="0" borderId="31" xfId="0" applyNumberFormat="1" applyFont="1" applyFill="1" applyBorder="1" applyAlignment="1" applyProtection="1">
      <alignment horizontal="center" vertical="center" wrapText="1"/>
      <protection locked="0"/>
    </xf>
    <xf numFmtId="3" fontId="49" fillId="2" borderId="53" xfId="0" applyNumberFormat="1" applyFont="1" applyFill="1" applyBorder="1" applyAlignment="1" applyProtection="1">
      <alignment horizontal="center" vertical="center" wrapText="1"/>
    </xf>
    <xf numFmtId="4" fontId="49" fillId="2" borderId="47" xfId="0" applyNumberFormat="1" applyFont="1" applyFill="1" applyBorder="1" applyAlignment="1" applyProtection="1">
      <alignment horizontal="center" vertical="center" wrapText="1"/>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2" borderId="4" xfId="0" applyNumberFormat="1" applyFont="1" applyFill="1" applyBorder="1" applyAlignment="1" applyProtection="1">
      <alignment horizontal="center" vertical="center" wrapText="1"/>
    </xf>
    <xf numFmtId="4" fontId="49" fillId="2" borderId="6" xfId="0" applyNumberFormat="1" applyFont="1" applyFill="1" applyBorder="1" applyAlignment="1" applyProtection="1">
      <alignment horizontal="center" vertical="center" wrapText="1"/>
    </xf>
    <xf numFmtId="1" fontId="49" fillId="2" borderId="13" xfId="0" applyNumberFormat="1" applyFont="1" applyFill="1" applyBorder="1" applyAlignment="1" applyProtection="1">
      <alignment horizontal="center" vertical="center"/>
    </xf>
    <xf numFmtId="1" fontId="49" fillId="2" borderId="5" xfId="0" applyNumberFormat="1" applyFont="1" applyFill="1" applyBorder="1" applyAlignment="1" applyProtection="1">
      <alignment horizontal="center" vertical="center"/>
    </xf>
    <xf numFmtId="4" fontId="49" fillId="2" borderId="6" xfId="0" applyNumberFormat="1" applyFont="1" applyFill="1" applyBorder="1" applyAlignment="1" applyProtection="1">
      <alignment horizontal="center" vertical="center"/>
    </xf>
    <xf numFmtId="0" fontId="49" fillId="10" borderId="12" xfId="0" applyFont="1" applyFill="1" applyBorder="1" applyAlignment="1" applyProtection="1">
      <alignment horizontal="center" vertical="center" wrapText="1"/>
    </xf>
    <xf numFmtId="4" fontId="33" fillId="10" borderId="25" xfId="0" applyNumberFormat="1" applyFont="1" applyFill="1" applyBorder="1" applyAlignment="1" applyProtection="1">
      <alignment horizontal="center" vertical="center" wrapText="1"/>
    </xf>
    <xf numFmtId="4" fontId="33" fillId="10" borderId="5" xfId="0" applyNumberFormat="1" applyFont="1" applyFill="1" applyBorder="1" applyAlignment="1" applyProtection="1">
      <alignment horizontal="center" vertical="center" wrapText="1"/>
    </xf>
    <xf numFmtId="1" fontId="49" fillId="0" borderId="47" xfId="0" applyNumberFormat="1" applyFont="1" applyFill="1" applyBorder="1" applyAlignment="1" applyProtection="1">
      <alignment horizontal="center" vertical="center" wrapText="1"/>
      <protection locked="0"/>
    </xf>
    <xf numFmtId="3" fontId="49" fillId="0" borderId="67" xfId="0" applyNumberFormat="1" applyFont="1" applyFill="1" applyBorder="1" applyAlignment="1" applyProtection="1">
      <alignment horizontal="center" vertical="center" wrapText="1"/>
      <protection locked="0"/>
    </xf>
    <xf numFmtId="3" fontId="49" fillId="0" borderId="38" xfId="0" applyNumberFormat="1" applyFont="1" applyFill="1" applyBorder="1" applyAlignment="1" applyProtection="1">
      <alignment horizontal="center" vertical="center" wrapText="1"/>
      <protection locked="0"/>
    </xf>
    <xf numFmtId="3" fontId="49" fillId="0" borderId="10" xfId="0" applyNumberFormat="1" applyFont="1" applyFill="1" applyBorder="1" applyAlignment="1" applyProtection="1">
      <alignment horizontal="center" vertical="center" wrapText="1"/>
      <protection locked="0"/>
    </xf>
    <xf numFmtId="4" fontId="49" fillId="2" borderId="24" xfId="0" applyNumberFormat="1" applyFont="1" applyFill="1" applyBorder="1" applyAlignment="1" applyProtection="1">
      <alignment horizontal="center" vertical="center" wrapText="1"/>
    </xf>
    <xf numFmtId="3" fontId="49" fillId="0" borderId="13" xfId="0" applyNumberFormat="1" applyFont="1" applyFill="1" applyBorder="1" applyAlignment="1" applyProtection="1">
      <alignment horizontal="center" vertical="center" wrapText="1"/>
      <protection locked="0"/>
    </xf>
    <xf numFmtId="4" fontId="49" fillId="2" borderId="39" xfId="0" applyNumberFormat="1" applyFont="1" applyFill="1" applyBorder="1" applyAlignment="1" applyProtection="1">
      <alignment horizontal="center" vertical="center" wrapText="1"/>
    </xf>
    <xf numFmtId="3" fontId="49" fillId="0" borderId="49" xfId="0" applyNumberFormat="1" applyFont="1" applyFill="1" applyBorder="1" applyAlignment="1" applyProtection="1">
      <alignment horizontal="center" vertical="center" wrapText="1"/>
      <protection locked="0"/>
    </xf>
    <xf numFmtId="0" fontId="49" fillId="10" borderId="25" xfId="0" applyFont="1" applyFill="1" applyBorder="1" applyAlignment="1" applyProtection="1">
      <alignment horizontal="center" vertical="center" wrapText="1"/>
    </xf>
    <xf numFmtId="2" fontId="33" fillId="17" borderId="26" xfId="0" applyNumberFormat="1" applyFont="1" applyFill="1" applyBorder="1" applyAlignment="1" applyProtection="1">
      <alignment horizontal="center" vertical="center"/>
    </xf>
    <xf numFmtId="4" fontId="33" fillId="17" borderId="32" xfId="0" applyNumberFormat="1" applyFont="1" applyFill="1" applyBorder="1" applyAlignment="1" applyProtection="1">
      <alignment horizontal="center" vertical="center" wrapText="1"/>
    </xf>
    <xf numFmtId="4" fontId="33" fillId="17" borderId="26" xfId="0" applyNumberFormat="1" applyFont="1" applyFill="1" applyBorder="1" applyAlignment="1" applyProtection="1">
      <alignment horizontal="center" vertical="center" wrapText="1"/>
    </xf>
    <xf numFmtId="1" fontId="49" fillId="0" borderId="10" xfId="0" applyNumberFormat="1" applyFont="1" applyFill="1" applyBorder="1" applyAlignment="1" applyProtection="1">
      <alignment horizontal="center" vertical="center" wrapText="1"/>
      <protection locked="0"/>
    </xf>
    <xf numFmtId="1" fontId="49" fillId="10" borderId="5" xfId="0" applyNumberFormat="1" applyFont="1" applyFill="1" applyBorder="1" applyAlignment="1" applyProtection="1">
      <alignment horizontal="center" vertical="center" wrapText="1"/>
    </xf>
    <xf numFmtId="1" fontId="49" fillId="10" borderId="25" xfId="0" applyNumberFormat="1" applyFont="1" applyFill="1" applyBorder="1" applyAlignment="1" applyProtection="1">
      <alignment horizontal="center" vertical="center" wrapText="1"/>
    </xf>
    <xf numFmtId="1" fontId="49" fillId="10" borderId="52" xfId="0" applyNumberFormat="1" applyFont="1" applyFill="1" applyBorder="1" applyAlignment="1" applyProtection="1">
      <alignment horizontal="center" vertical="center" wrapText="1"/>
    </xf>
    <xf numFmtId="3" fontId="49" fillId="10" borderId="52" xfId="0" applyNumberFormat="1" applyFont="1" applyFill="1" applyBorder="1" applyAlignment="1" applyProtection="1">
      <alignment horizontal="center" vertical="center" wrapText="1"/>
    </xf>
    <xf numFmtId="3" fontId="49" fillId="10" borderId="25" xfId="0" applyNumberFormat="1" applyFont="1" applyFill="1" applyBorder="1" applyAlignment="1" applyProtection="1">
      <alignment horizontal="center" vertical="center" wrapText="1"/>
    </xf>
    <xf numFmtId="3" fontId="49" fillId="10" borderId="5" xfId="0" applyNumberFormat="1" applyFont="1" applyFill="1" applyBorder="1" applyAlignment="1" applyProtection="1">
      <alignment horizontal="center" vertical="center" wrapText="1"/>
    </xf>
    <xf numFmtId="1" fontId="49" fillId="10" borderId="4" xfId="0" applyNumberFormat="1" applyFont="1" applyFill="1" applyBorder="1" applyAlignment="1" applyProtection="1">
      <alignment horizontal="center" vertical="center" wrapText="1"/>
    </xf>
    <xf numFmtId="3" fontId="49" fillId="10" borderId="4" xfId="0" applyNumberFormat="1" applyFont="1" applyFill="1" applyBorder="1" applyAlignment="1" applyProtection="1">
      <alignment horizontal="center" vertical="center" wrapText="1"/>
    </xf>
    <xf numFmtId="4" fontId="49" fillId="10" borderId="5" xfId="0" applyNumberFormat="1" applyFont="1" applyFill="1" applyBorder="1" applyAlignment="1" applyProtection="1">
      <alignment horizontal="center" vertical="center" wrapText="1"/>
    </xf>
    <xf numFmtId="1" fontId="49" fillId="10" borderId="13" xfId="0" applyNumberFormat="1" applyFont="1" applyFill="1" applyBorder="1" applyAlignment="1" applyProtection="1">
      <alignment horizontal="center" vertical="center"/>
    </xf>
    <xf numFmtId="1" fontId="49" fillId="17" borderId="28" xfId="0" applyNumberFormat="1" applyFont="1" applyFill="1" applyBorder="1" applyAlignment="1" applyProtection="1">
      <alignment horizontal="center" vertical="top" wrapText="1"/>
    </xf>
    <xf numFmtId="1" fontId="49" fillId="17" borderId="28" xfId="0" applyNumberFormat="1" applyFont="1" applyFill="1" applyBorder="1" applyAlignment="1" applyProtection="1">
      <alignment horizontal="left" vertical="top" wrapText="1"/>
    </xf>
    <xf numFmtId="1" fontId="49" fillId="17" borderId="28" xfId="0" applyNumberFormat="1" applyFont="1" applyFill="1" applyBorder="1" applyAlignment="1" applyProtection="1">
      <alignment horizontal="left" vertical="top"/>
    </xf>
    <xf numFmtId="3" fontId="49" fillId="17" borderId="28" xfId="0" applyNumberFormat="1" applyFont="1" applyFill="1" applyBorder="1" applyAlignment="1" applyProtection="1">
      <alignment horizontal="left" vertical="top" wrapText="1"/>
    </xf>
    <xf numFmtId="3" fontId="64" fillId="17" borderId="28" xfId="0" applyNumberFormat="1" applyFont="1" applyFill="1" applyBorder="1" applyAlignment="1" applyProtection="1">
      <alignment horizontal="left" vertical="top" wrapText="1"/>
    </xf>
    <xf numFmtId="4" fontId="49" fillId="17" borderId="28" xfId="0" applyNumberFormat="1" applyFont="1" applyFill="1" applyBorder="1" applyAlignment="1" applyProtection="1">
      <alignment horizontal="center" vertical="center" wrapText="1"/>
    </xf>
    <xf numFmtId="1" fontId="49" fillId="17" borderId="32" xfId="0" applyNumberFormat="1" applyFont="1" applyFill="1" applyBorder="1" applyAlignment="1" applyProtection="1">
      <alignment horizontal="center" vertical="center" wrapText="1"/>
    </xf>
    <xf numFmtId="3" fontId="49" fillId="17" borderId="32" xfId="0" applyNumberFormat="1" applyFont="1" applyFill="1" applyBorder="1" applyAlignment="1" applyProtection="1">
      <alignment horizontal="center" vertical="center" wrapText="1"/>
    </xf>
    <xf numFmtId="4" fontId="49" fillId="17" borderId="32" xfId="0" applyNumberFormat="1" applyFont="1" applyFill="1" applyBorder="1" applyAlignment="1" applyProtection="1">
      <alignment horizontal="center" vertical="center" wrapText="1"/>
    </xf>
    <xf numFmtId="1" fontId="49" fillId="17" borderId="26" xfId="0" applyNumberFormat="1" applyFont="1" applyFill="1" applyBorder="1" applyAlignment="1" applyProtection="1">
      <alignment horizontal="center" vertical="center" wrapText="1"/>
    </xf>
    <xf numFmtId="0" fontId="35" fillId="17" borderId="28" xfId="0" applyFont="1" applyFill="1" applyBorder="1" applyAlignment="1" applyProtection="1">
      <alignment horizontal="center" vertical="top" wrapText="1"/>
    </xf>
    <xf numFmtId="4" fontId="49" fillId="0" borderId="31" xfId="0" applyNumberFormat="1" applyFont="1" applyFill="1" applyBorder="1" applyAlignment="1" applyProtection="1">
      <alignment horizontal="center" vertical="center" wrapText="1"/>
    </xf>
    <xf numFmtId="0" fontId="64" fillId="17" borderId="28" xfId="0" applyFont="1" applyFill="1" applyBorder="1" applyAlignment="1" applyProtection="1">
      <alignment horizontal="center" vertical="top" wrapText="1"/>
    </xf>
    <xf numFmtId="4" fontId="33" fillId="0" borderId="0" xfId="0" applyNumberFormat="1" applyFont="1" applyAlignment="1" applyProtection="1">
      <alignment horizontal="left" vertical="center"/>
    </xf>
    <xf numFmtId="4" fontId="33" fillId="0" borderId="0" xfId="0" applyNumberFormat="1" applyFont="1" applyAlignment="1" applyProtection="1">
      <alignment horizontal="left"/>
    </xf>
    <xf numFmtId="4" fontId="30" fillId="0" borderId="31" xfId="0" applyNumberFormat="1" applyFont="1" applyFill="1" applyBorder="1" applyAlignment="1" applyProtection="1">
      <alignment horizontal="center" vertical="center" wrapText="1"/>
      <protection locked="0"/>
    </xf>
    <xf numFmtId="4" fontId="65" fillId="0" borderId="0" xfId="0" applyNumberFormat="1" applyFont="1" applyFill="1" applyAlignment="1" applyProtection="1">
      <alignment horizontal="center"/>
      <protection locked="0"/>
    </xf>
    <xf numFmtId="191" fontId="30" fillId="0" borderId="44" xfId="0" applyNumberFormat="1" applyFont="1" applyFill="1" applyBorder="1" applyAlignment="1" applyProtection="1">
      <alignment horizontal="center" vertical="center" textRotation="90" wrapText="1"/>
    </xf>
    <xf numFmtId="4" fontId="30" fillId="0" borderId="50" xfId="0" applyNumberFormat="1" applyFont="1" applyFill="1" applyBorder="1" applyAlignment="1" applyProtection="1">
      <alignment horizontal="center" vertical="center" textRotation="90" wrapText="1"/>
    </xf>
    <xf numFmtId="1" fontId="30" fillId="17" borderId="28" xfId="0" applyNumberFormat="1" applyFont="1" applyFill="1" applyBorder="1" applyAlignment="1" applyProtection="1">
      <alignment horizontal="center" vertical="top" wrapText="1"/>
    </xf>
    <xf numFmtId="1" fontId="30" fillId="17" borderId="28" xfId="0" applyNumberFormat="1" applyFont="1" applyFill="1" applyBorder="1" applyAlignment="1" applyProtection="1">
      <alignment horizontal="center" vertical="top"/>
    </xf>
    <xf numFmtId="0" fontId="28" fillId="0" borderId="0" xfId="0" applyFont="1" applyFill="1" applyAlignment="1" applyProtection="1">
      <alignment horizontal="left" vertical="center"/>
      <protection locked="0"/>
    </xf>
    <xf numFmtId="1" fontId="49" fillId="0" borderId="38" xfId="0" applyNumberFormat="1" applyFont="1" applyFill="1" applyBorder="1" applyAlignment="1" applyProtection="1">
      <alignment horizontal="center" vertical="center" wrapText="1"/>
      <protection locked="0"/>
    </xf>
    <xf numFmtId="1" fontId="33" fillId="10" borderId="4" xfId="0" applyNumberFormat="1" applyFont="1" applyFill="1" applyBorder="1" applyAlignment="1" applyProtection="1">
      <alignment horizontal="center" vertical="center" wrapText="1"/>
    </xf>
    <xf numFmtId="4" fontId="33" fillId="10" borderId="4" xfId="0" applyNumberFormat="1" applyFont="1" applyFill="1" applyBorder="1" applyAlignment="1" applyProtection="1">
      <alignment horizontal="center" vertical="center" wrapText="1"/>
    </xf>
    <xf numFmtId="1" fontId="33" fillId="10" borderId="35" xfId="0" applyNumberFormat="1" applyFont="1" applyFill="1" applyBorder="1" applyAlignment="1" applyProtection="1">
      <alignment horizontal="center" vertical="center" wrapText="1"/>
    </xf>
    <xf numFmtId="1" fontId="33" fillId="10" borderId="31" xfId="0" applyNumberFormat="1" applyFont="1" applyFill="1" applyBorder="1" applyAlignment="1" applyProtection="1">
      <alignment horizontal="center" vertical="center" wrapText="1"/>
    </xf>
    <xf numFmtId="1" fontId="33" fillId="10" borderId="13" xfId="0" applyNumberFormat="1" applyFont="1" applyFill="1" applyBorder="1" applyAlignment="1" applyProtection="1">
      <alignment horizontal="center" vertical="center" wrapText="1"/>
    </xf>
    <xf numFmtId="2" fontId="33" fillId="10" borderId="4" xfId="0" applyNumberFormat="1" applyFont="1" applyFill="1" applyBorder="1" applyAlignment="1" applyProtection="1">
      <alignment horizontal="center" vertical="center" wrapText="1"/>
    </xf>
    <xf numFmtId="3" fontId="49" fillId="17" borderId="26" xfId="0" applyNumberFormat="1" applyFont="1" applyFill="1" applyBorder="1" applyAlignment="1" applyProtection="1">
      <alignment horizontal="center" vertical="center" wrapText="1"/>
    </xf>
    <xf numFmtId="3" fontId="33" fillId="17" borderId="26" xfId="0" applyNumberFormat="1" applyFont="1" applyFill="1" applyBorder="1" applyAlignment="1" applyProtection="1">
      <alignment horizontal="center" vertical="center" wrapText="1"/>
    </xf>
    <xf numFmtId="1" fontId="49" fillId="0" borderId="22" xfId="0" applyNumberFormat="1" applyFont="1" applyFill="1" applyBorder="1" applyAlignment="1" applyProtection="1">
      <alignment horizontal="center" vertical="center" wrapText="1"/>
      <protection locked="0"/>
    </xf>
    <xf numFmtId="0" fontId="32" fillId="0" borderId="44" xfId="0" applyFont="1" applyFill="1" applyBorder="1" applyAlignment="1" applyProtection="1">
      <alignment horizontal="center" vertical="center" wrapText="1"/>
    </xf>
    <xf numFmtId="0" fontId="28" fillId="17" borderId="0" xfId="0" applyFont="1" applyFill="1" applyBorder="1" applyAlignment="1">
      <alignment horizontal="left" vertical="center" wrapText="1"/>
    </xf>
    <xf numFmtId="0" fontId="28" fillId="17" borderId="0" xfId="0" applyFont="1" applyFill="1" applyBorder="1" applyAlignment="1" applyProtection="1">
      <alignment horizontal="left" vertical="center" wrapText="1"/>
    </xf>
    <xf numFmtId="0" fontId="27" fillId="0" borderId="0" xfId="0" applyFont="1" applyAlignment="1" applyProtection="1">
      <alignment horizontal="center"/>
    </xf>
    <xf numFmtId="3" fontId="49" fillId="2" borderId="53" xfId="0" applyNumberFormat="1" applyFont="1" applyFill="1" applyBorder="1" applyAlignment="1" applyProtection="1">
      <alignment horizontal="center" vertical="center" wrapText="1"/>
      <protection locked="0"/>
    </xf>
    <xf numFmtId="4" fontId="49" fillId="10" borderId="13" xfId="0" applyNumberFormat="1" applyFont="1" applyFill="1" applyBorder="1" applyAlignment="1" applyProtection="1">
      <alignment horizontal="center" vertical="center" wrapText="1"/>
    </xf>
    <xf numFmtId="0" fontId="30" fillId="0" borderId="22" xfId="0" applyFont="1" applyFill="1" applyBorder="1" applyAlignment="1" applyProtection="1">
      <alignment horizontal="center" vertical="center" wrapText="1"/>
      <protection locked="0"/>
    </xf>
    <xf numFmtId="0" fontId="36" fillId="0" borderId="22" xfId="0" applyFont="1" applyFill="1" applyBorder="1" applyAlignment="1" applyProtection="1">
      <alignment horizontal="center" vertical="center" wrapText="1"/>
      <protection locked="0"/>
    </xf>
    <xf numFmtId="0" fontId="32" fillId="0" borderId="45" xfId="0" applyFont="1" applyBorder="1" applyAlignment="1" applyProtection="1">
      <alignment horizontal="right"/>
      <protection locked="0"/>
    </xf>
    <xf numFmtId="0" fontId="32" fillId="0" borderId="0" xfId="0" applyFont="1" applyProtection="1">
      <protection locked="0"/>
    </xf>
    <xf numFmtId="0" fontId="32" fillId="17" borderId="26" xfId="0" applyFont="1" applyFill="1" applyBorder="1" applyAlignment="1" applyProtection="1">
      <alignment horizontal="center" vertical="center" wrapText="1"/>
      <protection locked="0"/>
    </xf>
    <xf numFmtId="49" fontId="32" fillId="0" borderId="4" xfId="0" applyNumberFormat="1" applyFont="1" applyFill="1" applyBorder="1" applyAlignment="1" applyProtection="1">
      <alignment horizontal="center" vertical="center"/>
      <protection locked="0"/>
    </xf>
    <xf numFmtId="0" fontId="30" fillId="0" borderId="12" xfId="0" applyFont="1" applyFill="1" applyBorder="1" applyAlignment="1" applyProtection="1">
      <alignment horizontal="left" vertical="center" indent="1"/>
      <protection locked="0"/>
    </xf>
    <xf numFmtId="0" fontId="30" fillId="0" borderId="5" xfId="0" applyFont="1" applyFill="1" applyBorder="1" applyAlignment="1" applyProtection="1">
      <alignment horizontal="right" vertical="center"/>
      <protection locked="0"/>
    </xf>
    <xf numFmtId="0" fontId="30" fillId="0" borderId="5" xfId="0" applyFont="1" applyFill="1" applyBorder="1" applyAlignment="1" applyProtection="1">
      <alignment horizontal="right" vertical="center" indent="1"/>
      <protection locked="0"/>
    </xf>
    <xf numFmtId="4" fontId="30" fillId="0" borderId="66" xfId="0" applyNumberFormat="1" applyFont="1" applyFill="1" applyBorder="1" applyAlignment="1" applyProtection="1">
      <alignment horizontal="right" vertical="center"/>
    </xf>
    <xf numFmtId="4" fontId="30" fillId="0" borderId="67" xfId="0" applyNumberFormat="1" applyFont="1" applyFill="1" applyBorder="1" applyAlignment="1" applyProtection="1">
      <alignment horizontal="right" vertical="center"/>
    </xf>
    <xf numFmtId="0" fontId="30" fillId="0" borderId="0" xfId="0" applyFont="1" applyFill="1" applyBorder="1" applyAlignment="1" applyProtection="1">
      <alignment horizontal="center"/>
      <protection locked="0"/>
    </xf>
    <xf numFmtId="0" fontId="32" fillId="0" borderId="0" xfId="0" applyFont="1" applyFill="1" applyBorder="1" applyAlignment="1" applyProtection="1">
      <alignment horizontal="right" vertical="center" wrapText="1"/>
      <protection locked="0"/>
    </xf>
    <xf numFmtId="4" fontId="32" fillId="0" borderId="0" xfId="0" applyNumberFormat="1" applyFont="1" applyFill="1" applyBorder="1" applyAlignment="1" applyProtection="1">
      <alignment horizontal="right" vertical="center"/>
    </xf>
    <xf numFmtId="0" fontId="27" fillId="0" borderId="0" xfId="0" applyNumberFormat="1" applyFont="1" applyAlignment="1" applyProtection="1">
      <alignment wrapText="1"/>
      <protection locked="0"/>
    </xf>
    <xf numFmtId="0" fontId="33" fillId="0" borderId="0" xfId="0" applyFont="1" applyFill="1" applyAlignment="1" applyProtection="1">
      <alignment wrapText="1"/>
      <protection locked="0"/>
    </xf>
    <xf numFmtId="4" fontId="49" fillId="2" borderId="12" xfId="0" applyNumberFormat="1" applyFont="1" applyFill="1" applyBorder="1" applyAlignment="1" applyProtection="1">
      <alignment horizontal="center" vertical="center"/>
    </xf>
    <xf numFmtId="0" fontId="27" fillId="20" borderId="0" xfId="0" applyFont="1" applyFill="1" applyAlignment="1" applyProtection="1">
      <alignment horizontal="center"/>
      <protection locked="0"/>
    </xf>
    <xf numFmtId="0" fontId="38" fillId="20" borderId="0" xfId="0" applyFont="1" applyFill="1"/>
    <xf numFmtId="0" fontId="67" fillId="21" borderId="0" xfId="0" applyFont="1" applyFill="1" applyBorder="1" applyAlignment="1">
      <alignment vertical="center" wrapText="1"/>
    </xf>
    <xf numFmtId="0" fontId="38" fillId="20" borderId="74" xfId="0" applyFont="1" applyFill="1" applyBorder="1" applyAlignment="1">
      <alignment horizontal="center"/>
    </xf>
    <xf numFmtId="17" fontId="38" fillId="20" borderId="27" xfId="0" applyNumberFormat="1" applyFont="1" applyFill="1" applyBorder="1" applyAlignment="1" applyProtection="1">
      <alignment horizontal="center"/>
    </xf>
    <xf numFmtId="0" fontId="10" fillId="0" borderId="0" xfId="0" applyFont="1" applyFill="1" applyBorder="1" applyAlignment="1">
      <alignment horizontal="center"/>
    </xf>
    <xf numFmtId="0" fontId="67" fillId="0" borderId="27" xfId="0" applyFont="1" applyFill="1" applyBorder="1" applyAlignment="1">
      <alignment horizontal="center" vertical="center" wrapText="1"/>
    </xf>
    <xf numFmtId="0" fontId="67" fillId="0" borderId="73" xfId="0" applyFont="1" applyFill="1" applyBorder="1" applyAlignment="1">
      <alignment horizontal="center" vertical="center" wrapText="1"/>
    </xf>
    <xf numFmtId="0" fontId="67" fillId="21" borderId="74" xfId="0" applyFont="1" applyFill="1" applyBorder="1" applyAlignment="1">
      <alignment horizontal="center" vertical="center" wrapText="1"/>
    </xf>
    <xf numFmtId="4" fontId="10" fillId="0" borderId="73" xfId="0" applyNumberFormat="1" applyFont="1" applyFill="1" applyBorder="1" applyAlignment="1">
      <alignment horizontal="center"/>
    </xf>
    <xf numFmtId="0" fontId="67" fillId="21" borderId="74" xfId="0" applyFont="1" applyFill="1" applyBorder="1" applyAlignment="1">
      <alignment horizontal="center"/>
    </xf>
    <xf numFmtId="0" fontId="10" fillId="0" borderId="0" xfId="0" applyFont="1"/>
    <xf numFmtId="0" fontId="38" fillId="0" borderId="0" xfId="0" applyFont="1"/>
    <xf numFmtId="0" fontId="38" fillId="10" borderId="27" xfId="0" applyFont="1" applyFill="1" applyBorder="1" applyAlignment="1">
      <alignment horizontal="center"/>
    </xf>
    <xf numFmtId="0" fontId="38" fillId="0" borderId="73" xfId="0" applyFont="1" applyBorder="1" applyAlignment="1">
      <alignment horizontal="center"/>
    </xf>
    <xf numFmtId="0" fontId="39" fillId="0" borderId="0" xfId="0" applyNumberFormat="1" applyFont="1" applyAlignment="1" applyProtection="1">
      <alignment horizontal="center" vertical="center"/>
      <protection locked="0"/>
    </xf>
    <xf numFmtId="0" fontId="34" fillId="0" borderId="0" xfId="0" applyNumberFormat="1" applyFont="1" applyFill="1" applyAlignment="1" applyProtection="1">
      <alignment horizontal="left" wrapText="1"/>
      <protection locked="0"/>
    </xf>
    <xf numFmtId="0" fontId="34" fillId="0" borderId="0" xfId="0" applyNumberFormat="1" applyFont="1" applyAlignment="1" applyProtection="1">
      <alignment wrapText="1"/>
      <protection locked="0"/>
    </xf>
    <xf numFmtId="0" fontId="32" fillId="0" borderId="29" xfId="0" applyFont="1" applyFill="1" applyBorder="1" applyProtection="1"/>
    <xf numFmtId="0" fontId="32" fillId="0" borderId="12" xfId="0" applyFont="1" applyFill="1" applyBorder="1" applyProtection="1"/>
    <xf numFmtId="0" fontId="32" fillId="0" borderId="43" xfId="0" applyFont="1" applyFill="1" applyBorder="1" applyProtection="1"/>
    <xf numFmtId="4" fontId="30" fillId="0" borderId="42" xfId="0" applyNumberFormat="1" applyFont="1" applyFill="1" applyBorder="1" applyAlignment="1" applyProtection="1">
      <alignment horizontal="center"/>
      <protection locked="0"/>
    </xf>
    <xf numFmtId="4" fontId="30" fillId="0" borderId="53" xfId="0" applyNumberFormat="1" applyFont="1" applyFill="1" applyBorder="1" applyAlignment="1" applyProtection="1">
      <alignment horizontal="center"/>
      <protection locked="0"/>
    </xf>
    <xf numFmtId="4" fontId="30" fillId="0" borderId="68" xfId="0" applyNumberFormat="1" applyFont="1" applyFill="1" applyBorder="1" applyAlignment="1" applyProtection="1">
      <alignment horizontal="center"/>
      <protection locked="0"/>
    </xf>
    <xf numFmtId="4" fontId="30" fillId="0" borderId="37" xfId="0" applyNumberFormat="1" applyFont="1" applyFill="1" applyBorder="1" applyAlignment="1" applyProtection="1">
      <alignment horizontal="center"/>
      <protection locked="0"/>
    </xf>
    <xf numFmtId="4" fontId="30" fillId="0" borderId="60" xfId="0" applyNumberFormat="1" applyFont="1" applyFill="1" applyBorder="1" applyAlignment="1" applyProtection="1">
      <alignment horizontal="center"/>
      <protection locked="0"/>
    </xf>
    <xf numFmtId="4" fontId="30" fillId="0" borderId="48" xfId="0" applyNumberFormat="1" applyFont="1" applyFill="1" applyBorder="1" applyAlignment="1" applyProtection="1">
      <alignment horizontal="center"/>
      <protection locked="0"/>
    </xf>
    <xf numFmtId="4" fontId="30" fillId="0" borderId="31" xfId="0" applyNumberFormat="1" applyFont="1" applyFill="1" applyBorder="1" applyAlignment="1" applyProtection="1">
      <alignment horizontal="center"/>
      <protection locked="0"/>
    </xf>
    <xf numFmtId="0" fontId="73" fillId="0" borderId="0" xfId="0" applyFont="1" applyAlignment="1">
      <alignment vertical="top"/>
    </xf>
    <xf numFmtId="0" fontId="70" fillId="17" borderId="27" xfId="0" applyFont="1" applyFill="1" applyBorder="1"/>
    <xf numFmtId="0" fontId="38" fillId="0" borderId="0" xfId="0" applyFont="1" applyAlignment="1">
      <alignment horizontal="center"/>
    </xf>
    <xf numFmtId="4" fontId="39" fillId="0" borderId="3" xfId="0" applyNumberFormat="1" applyFont="1" applyFill="1" applyBorder="1" applyAlignment="1" applyProtection="1">
      <alignment horizontal="center" vertical="center" textRotation="90" wrapText="1"/>
    </xf>
    <xf numFmtId="0" fontId="39" fillId="0" borderId="11" xfId="0" applyNumberFormat="1" applyFont="1" applyFill="1" applyBorder="1" applyAlignment="1" applyProtection="1">
      <alignment horizontal="center" vertical="center" textRotation="90" wrapText="1"/>
    </xf>
    <xf numFmtId="4" fontId="27" fillId="17" borderId="0" xfId="0" applyNumberFormat="1" applyFont="1" applyFill="1" applyAlignment="1" applyProtection="1">
      <alignment horizontal="center"/>
      <protection locked="0"/>
    </xf>
    <xf numFmtId="4" fontId="33" fillId="10" borderId="35" xfId="0" applyNumberFormat="1" applyFont="1" applyFill="1" applyBorder="1" applyAlignment="1" applyProtection="1">
      <alignment horizontal="center" vertical="center" wrapText="1"/>
    </xf>
    <xf numFmtId="1" fontId="49" fillId="10" borderId="13" xfId="0" applyNumberFormat="1" applyFont="1" applyFill="1" applyBorder="1" applyAlignment="1" applyProtection="1">
      <alignment horizontal="center" vertical="center" wrapText="1"/>
    </xf>
    <xf numFmtId="4" fontId="33" fillId="10" borderId="6" xfId="0" applyNumberFormat="1" applyFont="1" applyFill="1" applyBorder="1" applyAlignment="1" applyProtection="1">
      <alignment horizontal="center" vertical="center" wrapText="1"/>
    </xf>
    <xf numFmtId="1" fontId="49" fillId="0" borderId="53" xfId="0" applyNumberFormat="1" applyFont="1" applyFill="1" applyBorder="1" applyAlignment="1" applyProtection="1">
      <alignment horizontal="center" vertical="center" wrapText="1"/>
      <protection locked="0"/>
    </xf>
    <xf numFmtId="0" fontId="71" fillId="0" borderId="0" xfId="0" applyFont="1"/>
    <xf numFmtId="3" fontId="71" fillId="0" borderId="0" xfId="0" applyNumberFormat="1" applyFont="1"/>
    <xf numFmtId="0" fontId="71" fillId="0" borderId="0" xfId="0" applyFont="1" applyAlignment="1">
      <alignment horizontal="center"/>
    </xf>
    <xf numFmtId="3" fontId="32" fillId="0" borderId="44" xfId="0" applyNumberFormat="1" applyFont="1" applyFill="1" applyBorder="1" applyAlignment="1" applyProtection="1">
      <alignment horizontal="center" vertical="center" wrapText="1"/>
    </xf>
    <xf numFmtId="1" fontId="74" fillId="10" borderId="44" xfId="0" applyNumberFormat="1" applyFont="1" applyFill="1" applyBorder="1" applyAlignment="1" applyProtection="1">
      <alignment horizontal="center"/>
    </xf>
    <xf numFmtId="1" fontId="74" fillId="10" borderId="0" xfId="0" applyNumberFormat="1" applyFont="1" applyFill="1" applyBorder="1" applyAlignment="1" applyProtection="1">
      <alignment horizontal="center"/>
    </xf>
    <xf numFmtId="4" fontId="74" fillId="10" borderId="75" xfId="0" applyNumberFormat="1" applyFont="1" applyFill="1" applyBorder="1" applyAlignment="1" applyProtection="1">
      <alignment horizontal="center"/>
    </xf>
    <xf numFmtId="1" fontId="74" fillId="0" borderId="0" xfId="0" applyNumberFormat="1" applyFont="1" applyBorder="1" applyAlignment="1" applyProtection="1">
      <alignment horizontal="center"/>
    </xf>
    <xf numFmtId="0" fontId="74" fillId="0" borderId="0" xfId="0" applyFont="1" applyBorder="1" applyProtection="1"/>
    <xf numFmtId="4" fontId="74" fillId="21" borderId="75" xfId="0" applyNumberFormat="1" applyFont="1" applyFill="1" applyBorder="1" applyAlignment="1" applyProtection="1">
      <alignment horizontal="center"/>
    </xf>
    <xf numFmtId="1" fontId="74" fillId="0" borderId="44" xfId="0" applyNumberFormat="1" applyFont="1" applyBorder="1" applyAlignment="1" applyProtection="1">
      <alignment horizontal="center"/>
    </xf>
    <xf numFmtId="4" fontId="74" fillId="0" borderId="0" xfId="0" applyNumberFormat="1" applyFont="1" applyBorder="1" applyAlignment="1" applyProtection="1">
      <alignment horizontal="center"/>
    </xf>
    <xf numFmtId="1" fontId="74" fillId="0" borderId="0" xfId="0" applyNumberFormat="1" applyFont="1" applyAlignment="1" applyProtection="1">
      <alignment horizontal="center"/>
    </xf>
    <xf numFmtId="4" fontId="74" fillId="0" borderId="0" xfId="0" applyNumberFormat="1" applyFont="1" applyAlignment="1" applyProtection="1">
      <alignment horizontal="center"/>
    </xf>
    <xf numFmtId="1" fontId="74" fillId="10" borderId="46" xfId="0" applyNumberFormat="1" applyFont="1" applyFill="1" applyBorder="1" applyAlignment="1" applyProtection="1">
      <alignment horizontal="center"/>
    </xf>
    <xf numFmtId="1" fontId="74" fillId="10" borderId="45" xfId="0" applyNumberFormat="1" applyFont="1" applyFill="1" applyBorder="1" applyAlignment="1" applyProtection="1">
      <alignment horizontal="center"/>
    </xf>
    <xf numFmtId="4" fontId="74" fillId="10" borderId="69" xfId="0" applyNumberFormat="1" applyFont="1" applyFill="1" applyBorder="1" applyAlignment="1" applyProtection="1">
      <alignment horizontal="center"/>
    </xf>
    <xf numFmtId="1" fontId="74" fillId="0" borderId="45" xfId="0" applyNumberFormat="1" applyFont="1" applyBorder="1" applyAlignment="1" applyProtection="1">
      <alignment horizontal="center"/>
    </xf>
    <xf numFmtId="4" fontId="74" fillId="21" borderId="69" xfId="0" applyNumberFormat="1" applyFont="1" applyFill="1" applyBorder="1" applyAlignment="1" applyProtection="1">
      <alignment horizontal="center"/>
    </xf>
    <xf numFmtId="1" fontId="74" fillId="0" borderId="46" xfId="0" applyNumberFormat="1" applyFont="1" applyBorder="1" applyAlignment="1" applyProtection="1">
      <alignment horizontal="center"/>
    </xf>
    <xf numFmtId="0" fontId="74" fillId="0" borderId="45" xfId="0" applyFont="1" applyBorder="1" applyProtection="1"/>
    <xf numFmtId="4" fontId="74" fillId="0" borderId="45" xfId="0" applyNumberFormat="1" applyFont="1" applyBorder="1" applyAlignment="1" applyProtection="1">
      <alignment horizontal="center"/>
    </xf>
    <xf numFmtId="0" fontId="74" fillId="0" borderId="0" xfId="0" applyFont="1" applyAlignment="1" applyProtection="1">
      <alignment horizontal="center"/>
      <protection locked="0"/>
    </xf>
    <xf numFmtId="0" fontId="75" fillId="0" borderId="0" xfId="0" applyFont="1" applyAlignment="1" applyProtection="1">
      <alignment horizontal="center"/>
      <protection locked="0"/>
    </xf>
    <xf numFmtId="0" fontId="74" fillId="0" borderId="0" xfId="0" applyFont="1" applyAlignment="1" applyProtection="1">
      <alignment horizontal="center" vertical="center"/>
      <protection locked="0"/>
    </xf>
    <xf numFmtId="0" fontId="76" fillId="0" borderId="0" xfId="0" applyFont="1" applyAlignment="1" applyProtection="1">
      <alignment horizontal="center"/>
      <protection locked="0"/>
    </xf>
    <xf numFmtId="0" fontId="74" fillId="0" borderId="0" xfId="0" applyFont="1" applyAlignment="1" applyProtection="1">
      <alignment horizontal="center" wrapText="1"/>
      <protection locked="0"/>
    </xf>
    <xf numFmtId="0" fontId="10" fillId="0" borderId="0" xfId="0" applyNumberFormat="1" applyFont="1" applyFill="1" applyBorder="1" applyAlignment="1">
      <alignment horizontal="left"/>
    </xf>
    <xf numFmtId="0" fontId="68" fillId="21" borderId="0" xfId="0" applyNumberFormat="1" applyFont="1" applyFill="1" applyAlignment="1" applyProtection="1">
      <alignment horizontal="center"/>
    </xf>
    <xf numFmtId="0" fontId="10" fillId="0" borderId="0" xfId="0" applyNumberFormat="1" applyFont="1"/>
    <xf numFmtId="0" fontId="28" fillId="20" borderId="0" xfId="0" applyNumberFormat="1" applyFont="1" applyFill="1" applyAlignment="1" applyProtection="1">
      <alignment horizontal="center"/>
    </xf>
    <xf numFmtId="0" fontId="72" fillId="0" borderId="0" xfId="0" applyFont="1"/>
    <xf numFmtId="0" fontId="70" fillId="0" borderId="0" xfId="0" applyFont="1"/>
    <xf numFmtId="0" fontId="0" fillId="0" borderId="0" xfId="0" applyFont="1" applyAlignment="1">
      <alignment horizontal="center" vertical="center"/>
    </xf>
    <xf numFmtId="0" fontId="33" fillId="0" borderId="26" xfId="0" applyFont="1" applyFill="1" applyBorder="1" applyAlignment="1" applyProtection="1">
      <alignment horizontal="left" vertical="center"/>
    </xf>
    <xf numFmtId="0" fontId="49" fillId="0" borderId="26" xfId="0" applyNumberFormat="1" applyFont="1" applyFill="1" applyBorder="1" applyAlignment="1" applyProtection="1">
      <alignment wrapText="1"/>
    </xf>
    <xf numFmtId="0" fontId="49" fillId="0" borderId="26" xfId="0" applyFont="1" applyFill="1" applyBorder="1" applyAlignment="1" applyProtection="1">
      <alignment wrapText="1"/>
    </xf>
    <xf numFmtId="4" fontId="33" fillId="0" borderId="26" xfId="0" applyNumberFormat="1" applyFont="1" applyBorder="1" applyAlignment="1" applyProtection="1">
      <alignment horizontal="right"/>
    </xf>
    <xf numFmtId="0" fontId="27" fillId="0" borderId="0" xfId="0" applyFont="1" applyFill="1" applyAlignment="1" applyProtection="1">
      <alignment horizontal="right" wrapText="1"/>
      <protection locked="0"/>
    </xf>
    <xf numFmtId="4" fontId="0" fillId="0" borderId="0" xfId="0" applyNumberFormat="1" applyFont="1"/>
    <xf numFmtId="4" fontId="28" fillId="0" borderId="5" xfId="0" applyNumberFormat="1" applyFont="1" applyBorder="1" applyAlignment="1" applyProtection="1">
      <alignment horizontal="right" wrapText="1"/>
      <protection locked="0"/>
    </xf>
    <xf numFmtId="0" fontId="28" fillId="19" borderId="34" xfId="0" applyFont="1" applyFill="1" applyBorder="1" applyAlignment="1" applyProtection="1">
      <alignment horizontal="center"/>
      <protection locked="0"/>
    </xf>
    <xf numFmtId="0" fontId="28" fillId="19" borderId="26" xfId="0" applyNumberFormat="1" applyFont="1" applyFill="1" applyBorder="1" applyAlignment="1" applyProtection="1">
      <alignment horizontal="center" wrapText="1"/>
      <protection locked="0"/>
    </xf>
    <xf numFmtId="0" fontId="28" fillId="19" borderId="26" xfId="0" applyNumberFormat="1" applyFont="1" applyFill="1" applyBorder="1" applyAlignment="1" applyProtection="1">
      <alignment horizontal="center"/>
      <protection locked="0"/>
    </xf>
    <xf numFmtId="4" fontId="28" fillId="19" borderId="26" xfId="0" applyNumberFormat="1" applyFont="1" applyFill="1" applyBorder="1" applyAlignment="1" applyProtection="1">
      <alignment horizontal="center" wrapText="1"/>
      <protection locked="0"/>
    </xf>
    <xf numFmtId="4" fontId="32" fillId="21" borderId="66" xfId="0" applyNumberFormat="1" applyFont="1" applyFill="1" applyBorder="1" applyAlignment="1" applyProtection="1">
      <alignment horizontal="right" vertical="center"/>
    </xf>
    <xf numFmtId="4" fontId="32" fillId="21" borderId="67" xfId="0" applyNumberFormat="1" applyFont="1" applyFill="1" applyBorder="1" applyAlignment="1" applyProtection="1">
      <alignment horizontal="right" vertical="center"/>
    </xf>
    <xf numFmtId="49" fontId="39" fillId="24" borderId="1" xfId="0" applyNumberFormat="1" applyFont="1" applyFill="1" applyBorder="1" applyAlignment="1" applyProtection="1">
      <alignment horizontal="center" vertical="center"/>
      <protection locked="0"/>
    </xf>
    <xf numFmtId="0" fontId="39" fillId="24" borderId="29" xfId="0" applyFont="1" applyFill="1" applyBorder="1" applyAlignment="1" applyProtection="1">
      <alignment horizontal="left" vertical="center"/>
      <protection locked="0"/>
    </xf>
    <xf numFmtId="0" fontId="39" fillId="24" borderId="2" xfId="0" applyFont="1" applyFill="1" applyBorder="1" applyAlignment="1" applyProtection="1">
      <alignment horizontal="left" vertical="center"/>
      <protection locked="0"/>
    </xf>
    <xf numFmtId="4" fontId="39" fillId="24" borderId="30" xfId="0" applyNumberFormat="1" applyFont="1" applyFill="1" applyBorder="1" applyAlignment="1" applyProtection="1">
      <alignment horizontal="right" vertical="center"/>
    </xf>
    <xf numFmtId="0" fontId="32" fillId="17" borderId="60" xfId="0" applyFont="1" applyFill="1" applyBorder="1" applyAlignment="1" applyProtection="1">
      <alignment horizontal="center" vertical="center" wrapText="1"/>
      <protection locked="0"/>
    </xf>
    <xf numFmtId="4" fontId="71" fillId="0" borderId="0" xfId="0" applyNumberFormat="1" applyFont="1"/>
    <xf numFmtId="4" fontId="71" fillId="0" borderId="0" xfId="0" applyNumberFormat="1" applyFont="1" applyAlignment="1">
      <alignment horizontal="center"/>
    </xf>
    <xf numFmtId="0" fontId="0" fillId="0" borderId="0" xfId="0" applyFont="1" applyFill="1" applyBorder="1"/>
    <xf numFmtId="0" fontId="67" fillId="0" borderId="0" xfId="0" applyFont="1" applyAlignment="1">
      <alignment horizontal="center"/>
    </xf>
    <xf numFmtId="0" fontId="67" fillId="0" borderId="0" xfId="0" applyFont="1"/>
    <xf numFmtId="0" fontId="67" fillId="0" borderId="0" xfId="0" applyNumberFormat="1" applyFont="1"/>
    <xf numFmtId="0" fontId="38" fillId="10" borderId="73" xfId="0" applyFont="1" applyFill="1" applyBorder="1" applyAlignment="1">
      <alignment horizontal="center"/>
    </xf>
    <xf numFmtId="0" fontId="45" fillId="0" borderId="0" xfId="0" applyNumberFormat="1" applyFont="1" applyProtection="1">
      <protection locked="0"/>
    </xf>
    <xf numFmtId="0" fontId="32" fillId="17" borderId="49" xfId="0" applyFont="1" applyFill="1" applyBorder="1" applyAlignment="1" applyProtection="1">
      <alignment horizontal="left" vertical="center" wrapText="1"/>
    </xf>
    <xf numFmtId="0" fontId="30" fillId="10" borderId="10" xfId="0" applyFont="1" applyFill="1" applyBorder="1" applyAlignment="1" applyProtection="1">
      <alignment horizontal="center" vertical="center" wrapText="1"/>
      <protection locked="0"/>
    </xf>
    <xf numFmtId="0" fontId="30" fillId="10" borderId="47" xfId="0" applyFont="1" applyFill="1" applyBorder="1" applyAlignment="1" applyProtection="1">
      <alignment horizontal="center" vertical="center" wrapText="1"/>
      <protection locked="0"/>
    </xf>
    <xf numFmtId="14" fontId="30" fillId="0" borderId="5" xfId="0" applyNumberFormat="1" applyFont="1" applyFill="1" applyBorder="1" applyAlignment="1" applyProtection="1">
      <alignment horizontal="center" vertical="center" wrapText="1"/>
      <protection locked="0"/>
    </xf>
    <xf numFmtId="14" fontId="36" fillId="0" borderId="5" xfId="0" applyNumberFormat="1" applyFont="1" applyFill="1" applyBorder="1" applyAlignment="1" applyProtection="1">
      <alignment horizontal="center" vertical="center" wrapText="1"/>
      <protection locked="0"/>
    </xf>
    <xf numFmtId="0" fontId="36" fillId="0" borderId="5" xfId="0" applyFont="1" applyFill="1" applyBorder="1" applyAlignment="1" applyProtection="1">
      <alignment horizontal="center" vertical="center" wrapText="1"/>
      <protection locked="0"/>
    </xf>
    <xf numFmtId="14" fontId="30" fillId="0" borderId="5" xfId="0" applyNumberFormat="1" applyFont="1" applyFill="1" applyBorder="1" applyAlignment="1" applyProtection="1">
      <alignment horizontal="center" vertical="center" wrapText="1"/>
    </xf>
    <xf numFmtId="0" fontId="28" fillId="10" borderId="34" xfId="0" applyFont="1" applyFill="1" applyBorder="1" applyAlignment="1" applyProtection="1"/>
    <xf numFmtId="4" fontId="27" fillId="10" borderId="26" xfId="0" applyNumberFormat="1" applyFont="1" applyFill="1" applyBorder="1" applyProtection="1"/>
    <xf numFmtId="4" fontId="27" fillId="10" borderId="26" xfId="0" applyNumberFormat="1" applyFont="1" applyFill="1" applyBorder="1" applyAlignment="1" applyProtection="1">
      <alignment wrapText="1"/>
    </xf>
    <xf numFmtId="4" fontId="28" fillId="10" borderId="74" xfId="0" applyNumberFormat="1" applyFont="1" applyFill="1" applyBorder="1" applyAlignment="1" applyProtection="1"/>
    <xf numFmtId="4" fontId="27" fillId="10" borderId="27" xfId="0" applyNumberFormat="1" applyFont="1" applyFill="1" applyBorder="1" applyAlignment="1" applyProtection="1"/>
    <xf numFmtId="4" fontId="27" fillId="0" borderId="26" xfId="0" applyNumberFormat="1" applyFont="1" applyBorder="1" applyAlignment="1" applyProtection="1">
      <alignment horizontal="center" vertical="center"/>
    </xf>
    <xf numFmtId="0" fontId="27" fillId="0" borderId="26" xfId="0" applyFont="1" applyBorder="1" applyAlignment="1" applyProtection="1">
      <alignment horizontal="center" vertical="center"/>
    </xf>
    <xf numFmtId="1" fontId="77" fillId="0" borderId="0" xfId="0" applyNumberFormat="1" applyFont="1" applyAlignment="1" applyProtection="1">
      <alignment horizontal="center" vertical="center"/>
    </xf>
    <xf numFmtId="0" fontId="77" fillId="0" borderId="0" xfId="0" applyNumberFormat="1" applyFont="1" applyAlignment="1" applyProtection="1">
      <alignment horizontal="center" vertical="center"/>
    </xf>
    <xf numFmtId="0" fontId="77" fillId="0" borderId="0" xfId="0" applyNumberFormat="1" applyFont="1" applyFill="1" applyAlignment="1" applyProtection="1">
      <alignment horizontal="center" vertical="center"/>
    </xf>
    <xf numFmtId="4" fontId="27" fillId="0" borderId="0" xfId="0" applyNumberFormat="1" applyFont="1" applyAlignment="1" applyProtection="1">
      <alignment horizontal="center"/>
    </xf>
    <xf numFmtId="0" fontId="27" fillId="0" borderId="0" xfId="0" applyFont="1" applyFill="1" applyAlignment="1" applyProtection="1">
      <alignment horizontal="center"/>
    </xf>
    <xf numFmtId="0" fontId="27" fillId="0" borderId="0" xfId="0" applyFont="1" applyProtection="1"/>
    <xf numFmtId="0" fontId="33" fillId="0" borderId="26" xfId="0" applyFont="1" applyBorder="1" applyAlignment="1" applyProtection="1">
      <alignment horizontal="left" vertical="center"/>
    </xf>
    <xf numFmtId="0" fontId="49" fillId="0" borderId="26" xfId="0" applyNumberFormat="1" applyFont="1" applyFill="1" applyBorder="1" applyProtection="1"/>
    <xf numFmtId="0" fontId="49" fillId="0" borderId="26" xfId="0" applyFont="1" applyFill="1" applyBorder="1" applyProtection="1"/>
    <xf numFmtId="0" fontId="33" fillId="0" borderId="26" xfId="0" applyFont="1" applyFill="1" applyBorder="1" applyAlignment="1" applyProtection="1">
      <alignment horizontal="center"/>
    </xf>
    <xf numFmtId="4" fontId="33" fillId="0" borderId="26" xfId="0" applyNumberFormat="1" applyFont="1" applyBorder="1" applyAlignment="1" applyProtection="1"/>
    <xf numFmtId="0" fontId="60" fillId="0" borderId="76" xfId="0" applyFont="1" applyFill="1" applyBorder="1" applyAlignment="1">
      <alignment horizontal="center"/>
    </xf>
    <xf numFmtId="3" fontId="60" fillId="0" borderId="76" xfId="0" applyNumberFormat="1" applyFont="1" applyFill="1" applyBorder="1" applyAlignment="1">
      <alignment horizontal="center"/>
    </xf>
    <xf numFmtId="0" fontId="28" fillId="23" borderId="0" xfId="0" applyNumberFormat="1" applyFont="1" applyFill="1" applyAlignment="1" applyProtection="1">
      <alignment horizontal="center"/>
    </xf>
    <xf numFmtId="0" fontId="74" fillId="10" borderId="73" xfId="0" applyNumberFormat="1" applyFont="1" applyFill="1" applyBorder="1" applyProtection="1"/>
    <xf numFmtId="0" fontId="74" fillId="10" borderId="71" xfId="0" applyNumberFormat="1" applyFont="1" applyFill="1" applyBorder="1" applyProtection="1"/>
    <xf numFmtId="0" fontId="54" fillId="10" borderId="74" xfId="0" applyNumberFormat="1" applyFont="1" applyFill="1" applyBorder="1" applyAlignment="1" applyProtection="1">
      <alignment horizontal="center"/>
    </xf>
    <xf numFmtId="0" fontId="54" fillId="0" borderId="71" xfId="0" applyNumberFormat="1" applyFont="1" applyBorder="1" applyAlignment="1" applyProtection="1">
      <alignment horizontal="center"/>
    </xf>
    <xf numFmtId="0" fontId="54" fillId="0" borderId="71" xfId="0" applyNumberFormat="1" applyFont="1" applyBorder="1" applyProtection="1"/>
    <xf numFmtId="0" fontId="54" fillId="21" borderId="74" xfId="0" applyNumberFormat="1" applyFont="1" applyFill="1" applyBorder="1" applyAlignment="1" applyProtection="1">
      <alignment horizontal="center"/>
    </xf>
    <xf numFmtId="0" fontId="54" fillId="0" borderId="73" xfId="0" applyNumberFormat="1" applyFont="1" applyBorder="1" applyProtection="1"/>
    <xf numFmtId="0" fontId="54" fillId="0" borderId="73" xfId="0" applyNumberFormat="1" applyFont="1" applyBorder="1" applyAlignment="1" applyProtection="1">
      <alignment horizontal="center"/>
    </xf>
    <xf numFmtId="0" fontId="74" fillId="0" borderId="0" xfId="0" applyNumberFormat="1" applyFont="1" applyAlignment="1" applyProtection="1">
      <alignment horizontal="center"/>
    </xf>
    <xf numFmtId="49" fontId="74" fillId="0" borderId="0" xfId="0" applyNumberFormat="1" applyFont="1" applyAlignment="1" applyProtection="1">
      <alignment horizontal="center"/>
    </xf>
    <xf numFmtId="0" fontId="74" fillId="0" borderId="0" xfId="0" applyNumberFormat="1" applyFont="1" applyProtection="1"/>
    <xf numFmtId="0" fontId="74" fillId="0" borderId="0" xfId="0" applyFont="1" applyProtection="1"/>
    <xf numFmtId="4" fontId="74" fillId="0" borderId="0" xfId="0" applyNumberFormat="1" applyFont="1" applyProtection="1"/>
    <xf numFmtId="0" fontId="74" fillId="0" borderId="0" xfId="0" applyFont="1" applyAlignment="1" applyProtection="1">
      <alignment horizontal="center"/>
    </xf>
    <xf numFmtId="0" fontId="27" fillId="0" borderId="0" xfId="0" applyNumberFormat="1" applyFont="1" applyProtection="1"/>
    <xf numFmtId="0" fontId="54" fillId="10" borderId="27" xfId="0" applyNumberFormat="1" applyFont="1" applyFill="1" applyBorder="1" applyAlignment="1" applyProtection="1">
      <alignment horizontal="center"/>
    </xf>
    <xf numFmtId="0" fontId="54" fillId="10" borderId="73" xfId="0" applyNumberFormat="1" applyFont="1" applyFill="1" applyBorder="1" applyAlignment="1" applyProtection="1">
      <alignment horizontal="center"/>
    </xf>
    <xf numFmtId="0" fontId="54" fillId="22" borderId="74" xfId="0" applyNumberFormat="1" applyFont="1" applyFill="1" applyBorder="1" applyAlignment="1" applyProtection="1">
      <alignment horizontal="center"/>
    </xf>
    <xf numFmtId="0" fontId="54" fillId="0" borderId="0" xfId="0" applyNumberFormat="1" applyFont="1" applyAlignment="1" applyProtection="1">
      <alignment horizontal="center"/>
    </xf>
    <xf numFmtId="49" fontId="54" fillId="22" borderId="27" xfId="0" applyNumberFormat="1" applyFont="1" applyFill="1" applyBorder="1" applyAlignment="1" applyProtection="1">
      <alignment horizontal="center"/>
    </xf>
    <xf numFmtId="4" fontId="74" fillId="10" borderId="72" xfId="0" applyNumberFormat="1" applyFont="1" applyFill="1" applyBorder="1" applyAlignment="1" applyProtection="1">
      <alignment horizontal="center"/>
    </xf>
    <xf numFmtId="1" fontId="74" fillId="0" borderId="0" xfId="0" applyNumberFormat="1" applyFont="1" applyFill="1" applyBorder="1" applyAlignment="1" applyProtection="1">
      <alignment horizontal="center"/>
    </xf>
    <xf numFmtId="4" fontId="74" fillId="22" borderId="75" xfId="0" applyNumberFormat="1" applyFont="1" applyFill="1" applyBorder="1" applyAlignment="1" applyProtection="1">
      <alignment horizontal="center"/>
    </xf>
    <xf numFmtId="4" fontId="74" fillId="22" borderId="72" xfId="0" applyNumberFormat="1" applyFont="1" applyFill="1" applyBorder="1" applyAlignment="1" applyProtection="1">
      <alignment horizontal="center"/>
    </xf>
    <xf numFmtId="4" fontId="74" fillId="10" borderId="60" xfId="0" applyNumberFormat="1" applyFont="1" applyFill="1" applyBorder="1" applyAlignment="1" applyProtection="1">
      <alignment horizontal="center"/>
    </xf>
    <xf numFmtId="1" fontId="74" fillId="0" borderId="45" xfId="0" applyNumberFormat="1" applyFont="1" applyFill="1" applyBorder="1" applyAlignment="1" applyProtection="1">
      <alignment horizontal="center"/>
    </xf>
    <xf numFmtId="4" fontId="74" fillId="22" borderId="69" xfId="0" applyNumberFormat="1" applyFont="1" applyFill="1" applyBorder="1" applyAlignment="1" applyProtection="1">
      <alignment horizontal="center"/>
    </xf>
    <xf numFmtId="4" fontId="74" fillId="22" borderId="60" xfId="0" applyNumberFormat="1" applyFont="1" applyFill="1" applyBorder="1" applyAlignment="1" applyProtection="1">
      <alignment horizontal="center"/>
    </xf>
    <xf numFmtId="4" fontId="33" fillId="0" borderId="65" xfId="0" applyNumberFormat="1" applyFont="1" applyFill="1" applyBorder="1" applyAlignment="1" applyProtection="1">
      <alignment horizontal="right" vertical="center"/>
    </xf>
    <xf numFmtId="4" fontId="33" fillId="0" borderId="63" xfId="0" applyNumberFormat="1" applyFont="1" applyFill="1" applyBorder="1" applyAlignment="1" applyProtection="1">
      <alignment horizontal="right" vertical="center"/>
    </xf>
    <xf numFmtId="0" fontId="78" fillId="9" borderId="20" xfId="0" applyFont="1" applyFill="1" applyBorder="1" applyAlignment="1" applyProtection="1">
      <alignment horizontal="center" vertical="center" wrapText="1"/>
    </xf>
    <xf numFmtId="0" fontId="78" fillId="0" borderId="20" xfId="0" applyFont="1" applyFill="1" applyBorder="1" applyAlignment="1" applyProtection="1">
      <alignment horizontal="center" vertical="center" wrapText="1"/>
    </xf>
    <xf numFmtId="0" fontId="39" fillId="0" borderId="54" xfId="0" applyNumberFormat="1" applyFont="1" applyFill="1" applyBorder="1" applyAlignment="1" applyProtection="1">
      <alignment horizontal="center" vertical="center" textRotation="90" wrapText="1"/>
    </xf>
    <xf numFmtId="0" fontId="27" fillId="20" borderId="0" xfId="0" applyFont="1" applyFill="1" applyBorder="1" applyAlignment="1" applyProtection="1">
      <alignment horizontal="center" vertical="center"/>
      <protection locked="0"/>
    </xf>
    <xf numFmtId="0" fontId="27" fillId="20" borderId="0" xfId="0" applyFont="1" applyFill="1" applyAlignment="1" applyProtection="1">
      <alignment horizontal="center" vertical="center"/>
      <protection locked="0"/>
    </xf>
    <xf numFmtId="0" fontId="34" fillId="20" borderId="0" xfId="0" applyFont="1" applyFill="1" applyProtection="1">
      <protection locked="0"/>
    </xf>
    <xf numFmtId="0" fontId="0" fillId="0" borderId="0" xfId="0" applyFont="1" applyAlignment="1" applyProtection="1">
      <alignment horizontal="center"/>
    </xf>
    <xf numFmtId="0" fontId="0" fillId="0" borderId="26" xfId="0" applyFont="1" applyBorder="1"/>
    <xf numFmtId="0" fontId="0" fillId="17" borderId="0" xfId="0" applyFont="1" applyFill="1"/>
    <xf numFmtId="0" fontId="0" fillId="0" borderId="20" xfId="0" applyFont="1" applyBorder="1" applyAlignment="1" applyProtection="1">
      <alignment horizontal="center" vertical="center"/>
    </xf>
    <xf numFmtId="0" fontId="0" fillId="0" borderId="0" xfId="0" applyFont="1" applyProtection="1">
      <protection locked="0"/>
    </xf>
    <xf numFmtId="0" fontId="0" fillId="0" borderId="19" xfId="0" applyFont="1" applyBorder="1" applyAlignment="1" applyProtection="1">
      <alignment horizontal="center" vertical="center"/>
    </xf>
    <xf numFmtId="0" fontId="0" fillId="0" borderId="58" xfId="0" applyFont="1" applyBorder="1" applyAlignment="1" applyProtection="1">
      <alignment horizontal="center" vertical="center"/>
    </xf>
    <xf numFmtId="0" fontId="0" fillId="17" borderId="0" xfId="0" applyFont="1" applyFill="1" applyProtection="1"/>
    <xf numFmtId="0" fontId="0" fillId="0" borderId="0" xfId="0" applyFont="1" applyProtection="1"/>
    <xf numFmtId="0" fontId="0" fillId="0" borderId="0" xfId="0" applyNumberFormat="1" applyFont="1" applyAlignment="1" applyProtection="1">
      <alignment horizontal="center"/>
    </xf>
    <xf numFmtId="0" fontId="0" fillId="0" borderId="0" xfId="0" applyNumberFormat="1" applyFont="1"/>
    <xf numFmtId="193" fontId="0" fillId="0" borderId="0" xfId="0" applyNumberFormat="1" applyFont="1" applyAlignment="1">
      <alignment horizontal="center"/>
    </xf>
    <xf numFmtId="0" fontId="55" fillId="0" borderId="0" xfId="0" applyFont="1" applyAlignment="1" applyProtection="1">
      <alignment horizontal="left" vertical="center"/>
      <protection locked="0"/>
    </xf>
    <xf numFmtId="0" fontId="30" fillId="20" borderId="5" xfId="0" applyFont="1" applyFill="1" applyBorder="1" applyAlignment="1" applyProtection="1">
      <alignment horizontal="center" vertical="center"/>
      <protection locked="0"/>
    </xf>
    <xf numFmtId="0" fontId="30" fillId="20" borderId="5" xfId="0" applyFont="1" applyFill="1" applyBorder="1" applyAlignment="1" applyProtection="1">
      <alignment horizontal="left" vertical="center" indent="1"/>
      <protection locked="0"/>
    </xf>
    <xf numFmtId="0" fontId="0" fillId="20" borderId="0" xfId="0" applyFont="1" applyFill="1" applyBorder="1" applyProtection="1">
      <protection locked="0"/>
    </xf>
    <xf numFmtId="0" fontId="33" fillId="20" borderId="0" xfId="0" applyFont="1" applyFill="1" applyAlignment="1" applyProtection="1">
      <alignment vertical="center"/>
      <protection locked="0"/>
    </xf>
    <xf numFmtId="0" fontId="30" fillId="20" borderId="0" xfId="0" applyFont="1" applyFill="1" applyAlignment="1" applyProtection="1">
      <protection locked="0"/>
    </xf>
    <xf numFmtId="0" fontId="27" fillId="20" borderId="0" xfId="0" applyFont="1" applyFill="1" applyAlignment="1" applyProtection="1">
      <alignment horizontal="left" wrapText="1"/>
      <protection locked="0"/>
    </xf>
    <xf numFmtId="4" fontId="27" fillId="20" borderId="0" xfId="0" applyNumberFormat="1" applyFont="1" applyFill="1" applyAlignment="1" applyProtection="1">
      <alignment wrapText="1"/>
      <protection locked="0"/>
    </xf>
    <xf numFmtId="0" fontId="32" fillId="20" borderId="69" xfId="0" applyFont="1" applyFill="1" applyBorder="1" applyAlignment="1" applyProtection="1"/>
    <xf numFmtId="4" fontId="27" fillId="20" borderId="26" xfId="0" applyNumberFormat="1" applyFont="1" applyFill="1" applyBorder="1" applyProtection="1"/>
    <xf numFmtId="4" fontId="27" fillId="20" borderId="26" xfId="0" applyNumberFormat="1" applyFont="1" applyFill="1" applyBorder="1" applyAlignment="1" applyProtection="1">
      <alignment wrapText="1"/>
    </xf>
    <xf numFmtId="0" fontId="39" fillId="20" borderId="34" xfId="0" applyFont="1" applyFill="1" applyBorder="1" applyAlignment="1" applyProtection="1"/>
    <xf numFmtId="4" fontId="67" fillId="0" borderId="0" xfId="0" applyNumberFormat="1" applyFont="1"/>
    <xf numFmtId="4" fontId="38" fillId="0" borderId="0" xfId="0" applyNumberFormat="1" applyFont="1"/>
    <xf numFmtId="4" fontId="10" fillId="0" borderId="72" xfId="0" applyNumberFormat="1" applyFont="1" applyFill="1" applyBorder="1" applyAlignment="1">
      <alignment horizontal="center" vertical="center" wrapText="1"/>
    </xf>
    <xf numFmtId="4" fontId="10" fillId="0" borderId="44" xfId="0" applyNumberFormat="1" applyFont="1" applyFill="1" applyBorder="1" applyAlignment="1">
      <alignment horizontal="center" vertical="center" wrapText="1"/>
    </xf>
    <xf numFmtId="4" fontId="10" fillId="0" borderId="0" xfId="0" applyNumberFormat="1" applyFont="1" applyFill="1" applyBorder="1" applyAlignment="1">
      <alignment horizontal="center" vertical="center" wrapText="1"/>
    </xf>
    <xf numFmtId="4" fontId="10" fillId="21" borderId="75" xfId="0" applyNumberFormat="1" applyFont="1" applyFill="1" applyBorder="1" applyAlignment="1">
      <alignment horizontal="center" vertical="center" wrapText="1"/>
    </xf>
    <xf numFmtId="4" fontId="10" fillId="0" borderId="60" xfId="0" applyNumberFormat="1" applyFont="1" applyFill="1" applyBorder="1" applyAlignment="1">
      <alignment horizontal="center" vertical="center" wrapText="1"/>
    </xf>
    <xf numFmtId="4" fontId="10" fillId="0" borderId="46" xfId="0" applyNumberFormat="1" applyFont="1" applyFill="1" applyBorder="1" applyAlignment="1">
      <alignment horizontal="center" vertical="center" wrapText="1"/>
    </xf>
    <xf numFmtId="4" fontId="10" fillId="0" borderId="45" xfId="0" applyNumberFormat="1" applyFont="1" applyFill="1" applyBorder="1" applyAlignment="1">
      <alignment horizontal="center" vertical="center" wrapText="1"/>
    </xf>
    <xf numFmtId="4" fontId="10" fillId="21" borderId="69" xfId="0" applyNumberFormat="1" applyFont="1" applyFill="1" applyBorder="1" applyAlignment="1">
      <alignment horizontal="center" vertical="center" wrapText="1"/>
    </xf>
    <xf numFmtId="4" fontId="0" fillId="10" borderId="72" xfId="0" applyNumberFormat="1" applyFont="1" applyFill="1" applyBorder="1" applyAlignment="1">
      <alignment horizontal="center"/>
    </xf>
    <xf numFmtId="4" fontId="0" fillId="10" borderId="44" xfId="0" applyNumberFormat="1" applyFont="1" applyFill="1" applyBorder="1" applyAlignment="1">
      <alignment horizontal="center"/>
    </xf>
    <xf numFmtId="4" fontId="0" fillId="0" borderId="0" xfId="0" applyNumberFormat="1" applyFont="1" applyBorder="1" applyAlignment="1">
      <alignment horizontal="center"/>
    </xf>
    <xf numFmtId="4" fontId="38" fillId="20" borderId="75" xfId="0" applyNumberFormat="1" applyFont="1" applyFill="1" applyBorder="1" applyAlignment="1">
      <alignment horizontal="center"/>
    </xf>
    <xf numFmtId="4" fontId="0" fillId="0" borderId="44" xfId="0" applyNumberFormat="1" applyFont="1" applyBorder="1" applyAlignment="1">
      <alignment horizontal="center"/>
    </xf>
    <xf numFmtId="4" fontId="38" fillId="20" borderId="72" xfId="0" applyNumberFormat="1" applyFont="1" applyFill="1" applyBorder="1" applyAlignment="1" applyProtection="1">
      <alignment horizontal="center"/>
    </xf>
    <xf numFmtId="4" fontId="0" fillId="10" borderId="60" xfId="0" applyNumberFormat="1" applyFont="1" applyFill="1" applyBorder="1" applyAlignment="1">
      <alignment horizontal="center"/>
    </xf>
    <xf numFmtId="4" fontId="0" fillId="10" borderId="46" xfId="0" applyNumberFormat="1" applyFont="1" applyFill="1" applyBorder="1" applyAlignment="1">
      <alignment horizontal="center"/>
    </xf>
    <xf numFmtId="4" fontId="0" fillId="0" borderId="45" xfId="0" applyNumberFormat="1" applyFont="1" applyBorder="1" applyAlignment="1">
      <alignment horizontal="center"/>
    </xf>
    <xf numFmtId="4" fontId="38" fillId="20" borderId="69" xfId="0" applyNumberFormat="1" applyFont="1" applyFill="1" applyBorder="1" applyAlignment="1">
      <alignment horizontal="center"/>
    </xf>
    <xf numFmtId="4" fontId="0" fillId="0" borderId="46" xfId="0" applyNumberFormat="1" applyFont="1" applyBorder="1" applyAlignment="1">
      <alignment horizontal="center"/>
    </xf>
    <xf numFmtId="4" fontId="38" fillId="20" borderId="60" xfId="0" applyNumberFormat="1" applyFont="1" applyFill="1" applyBorder="1" applyAlignment="1" applyProtection="1">
      <alignment horizontal="center"/>
    </xf>
    <xf numFmtId="0" fontId="18" fillId="0" borderId="0" xfId="0" applyNumberFormat="1" applyFont="1"/>
    <xf numFmtId="0" fontId="0" fillId="0" borderId="20" xfId="0" applyFon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0" borderId="58" xfId="0" applyFont="1" applyBorder="1" applyAlignment="1" applyProtection="1">
      <alignment horizontal="center" vertical="center"/>
      <protection locked="0"/>
    </xf>
    <xf numFmtId="17" fontId="30" fillId="0" borderId="12" xfId="0" applyNumberFormat="1" applyFont="1" applyFill="1" applyBorder="1" applyAlignment="1" applyProtection="1">
      <alignment horizontal="center" vertical="center" wrapText="1"/>
      <protection locked="0"/>
    </xf>
    <xf numFmtId="0" fontId="83" fillId="0" borderId="0" xfId="0" applyFont="1" applyAlignment="1">
      <alignment horizontal="left" vertical="top" wrapText="1"/>
    </xf>
    <xf numFmtId="0" fontId="0" fillId="0" borderId="0" xfId="0" applyAlignment="1">
      <alignment horizontal="left" vertical="top"/>
    </xf>
    <xf numFmtId="0" fontId="38" fillId="25" borderId="0" xfId="0" applyFont="1" applyFill="1" applyAlignment="1" applyProtection="1">
      <alignment horizontal="left" vertical="top"/>
    </xf>
    <xf numFmtId="0" fontId="0" fillId="0" borderId="0" xfId="0" applyProtection="1"/>
    <xf numFmtId="0" fontId="83" fillId="0" borderId="0" xfId="0" applyFont="1" applyAlignment="1" applyProtection="1">
      <alignment horizontal="left" vertical="top" wrapText="1"/>
    </xf>
    <xf numFmtId="0" fontId="0" fillId="0" borderId="0" xfId="0" applyFill="1" applyAlignment="1" applyProtection="1">
      <alignment horizontal="left" vertical="top"/>
    </xf>
    <xf numFmtId="0" fontId="38" fillId="0" borderId="0" xfId="0" applyFont="1" applyFill="1" applyAlignment="1" applyProtection="1">
      <alignment horizontal="left" vertical="top" wrapText="1"/>
    </xf>
    <xf numFmtId="0" fontId="0" fillId="0" borderId="0" xfId="0" applyFill="1" applyAlignment="1" applyProtection="1">
      <alignment horizontal="left" vertical="top" wrapText="1"/>
    </xf>
    <xf numFmtId="0" fontId="0" fillId="0" borderId="0" xfId="0" applyAlignment="1" applyProtection="1">
      <alignment horizontal="left" vertical="top"/>
    </xf>
    <xf numFmtId="0" fontId="81" fillId="0" borderId="0" xfId="0" applyFont="1" applyAlignment="1" applyProtection="1">
      <alignment horizontal="left" vertical="top" wrapText="1"/>
    </xf>
    <xf numFmtId="0" fontId="0" fillId="0" borderId="0" xfId="0" applyAlignment="1" applyProtection="1">
      <alignment horizontal="left" vertical="top" wrapText="1"/>
    </xf>
    <xf numFmtId="0" fontId="38" fillId="25" borderId="0" xfId="0" applyFont="1" applyFill="1" applyAlignment="1" applyProtection="1">
      <alignment horizontal="left" vertical="top" wrapText="1"/>
    </xf>
    <xf numFmtId="0" fontId="37" fillId="0" borderId="0" xfId="324" applyFont="1" applyFill="1" applyAlignment="1">
      <alignment horizontal="left" vertical="center"/>
    </xf>
    <xf numFmtId="0" fontId="27" fillId="0" borderId="0" xfId="324" applyFont="1" applyFill="1" applyAlignment="1" applyProtection="1">
      <alignment horizontal="center" vertical="center"/>
      <protection locked="0"/>
    </xf>
    <xf numFmtId="4" fontId="27" fillId="0" borderId="0" xfId="324" applyNumberFormat="1" applyFont="1" applyFill="1" applyAlignment="1" applyProtection="1">
      <alignment horizontal="center" vertical="center" wrapText="1"/>
      <protection locked="0"/>
    </xf>
    <xf numFmtId="4" fontId="27" fillId="0" borderId="0" xfId="324" applyNumberFormat="1" applyFont="1" applyFill="1" applyBorder="1" applyAlignment="1" applyProtection="1">
      <alignment horizontal="center" vertical="center"/>
    </xf>
    <xf numFmtId="49" fontId="28" fillId="0" borderId="26" xfId="324" applyNumberFormat="1" applyFont="1" applyFill="1" applyBorder="1" applyAlignment="1" applyProtection="1">
      <alignment horizontal="center" vertical="center"/>
    </xf>
    <xf numFmtId="0" fontId="32" fillId="0" borderId="26" xfId="324" applyFont="1" applyBorder="1" applyAlignment="1" applyProtection="1">
      <alignment horizontal="center" vertical="center"/>
    </xf>
    <xf numFmtId="191" fontId="30" fillId="0" borderId="73" xfId="324" applyNumberFormat="1" applyFont="1" applyFill="1" applyBorder="1" applyAlignment="1" applyProtection="1">
      <alignment horizontal="center" vertical="center" textRotation="90" wrapText="1"/>
    </xf>
    <xf numFmtId="191" fontId="32" fillId="0" borderId="73" xfId="324" applyNumberFormat="1" applyFont="1" applyFill="1" applyBorder="1" applyAlignment="1" applyProtection="1">
      <alignment horizontal="center" vertical="center" textRotation="90" wrapText="1"/>
    </xf>
    <xf numFmtId="4" fontId="32" fillId="0" borderId="54" xfId="324" applyNumberFormat="1" applyFont="1" applyFill="1" applyBorder="1" applyAlignment="1" applyProtection="1">
      <alignment horizontal="center" vertical="center" wrapText="1"/>
    </xf>
    <xf numFmtId="0" fontId="28" fillId="17" borderId="33" xfId="0" applyFont="1" applyFill="1" applyBorder="1" applyAlignment="1">
      <alignment horizontal="left" vertical="center" wrapText="1"/>
    </xf>
    <xf numFmtId="0" fontId="32" fillId="17" borderId="33" xfId="0" applyFont="1" applyFill="1" applyBorder="1" applyAlignment="1">
      <alignment horizontal="left"/>
    </xf>
    <xf numFmtId="0" fontId="30" fillId="0" borderId="33" xfId="0" applyFont="1" applyBorder="1" applyAlignment="1">
      <alignment horizontal="center" vertical="center"/>
    </xf>
    <xf numFmtId="0" fontId="4" fillId="0" borderId="0" xfId="352"/>
    <xf numFmtId="0" fontId="4" fillId="0" borderId="0" xfId="352" applyAlignment="1"/>
    <xf numFmtId="0" fontId="4" fillId="0" borderId="0" xfId="352" applyNumberFormat="1"/>
    <xf numFmtId="0" fontId="4" fillId="26" borderId="0" xfId="352" applyFill="1" applyAlignment="1"/>
    <xf numFmtId="0" fontId="4" fillId="26" borderId="0" xfId="352" applyNumberFormat="1" applyFill="1"/>
    <xf numFmtId="0" fontId="30" fillId="0" borderId="26" xfId="0" applyFont="1" applyBorder="1"/>
    <xf numFmtId="4" fontId="39" fillId="0" borderId="27" xfId="324" applyNumberFormat="1" applyFont="1" applyFill="1" applyBorder="1" applyAlignment="1" applyProtection="1">
      <alignment horizontal="center" vertical="center" wrapText="1"/>
    </xf>
    <xf numFmtId="0" fontId="86" fillId="9" borderId="20" xfId="324" applyFont="1" applyFill="1" applyBorder="1" applyAlignment="1" applyProtection="1">
      <alignment horizontal="center" vertical="center" wrapText="1"/>
    </xf>
    <xf numFmtId="0" fontId="32" fillId="0" borderId="11" xfId="324" applyFont="1" applyFill="1" applyBorder="1" applyAlignment="1" applyProtection="1">
      <alignment horizontal="center" vertical="center" wrapText="1"/>
    </xf>
    <xf numFmtId="0" fontId="86" fillId="0" borderId="20" xfId="324" applyFont="1" applyFill="1" applyBorder="1" applyAlignment="1" applyProtection="1">
      <alignment horizontal="center" vertical="center" wrapText="1"/>
    </xf>
    <xf numFmtId="0" fontId="32" fillId="0" borderId="20" xfId="324" applyFont="1" applyFill="1" applyBorder="1" applyAlignment="1" applyProtection="1">
      <alignment horizontal="center" vertical="center" wrapText="1"/>
    </xf>
    <xf numFmtId="0" fontId="32" fillId="0" borderId="54" xfId="324" applyFont="1" applyFill="1" applyBorder="1" applyAlignment="1" applyProtection="1">
      <alignment horizontal="center" vertical="center" wrapText="1"/>
    </xf>
    <xf numFmtId="4" fontId="30" fillId="0" borderId="60" xfId="0" applyNumberFormat="1" applyFont="1" applyBorder="1" applyAlignment="1">
      <alignment horizontal="center" vertical="center"/>
    </xf>
    <xf numFmtId="0" fontId="0" fillId="0" borderId="0" xfId="0" applyAlignment="1">
      <alignment horizontal="center" wrapText="1"/>
    </xf>
    <xf numFmtId="4" fontId="30" fillId="0" borderId="27" xfId="0" applyNumberFormat="1" applyFont="1" applyBorder="1" applyAlignment="1"/>
    <xf numFmtId="4" fontId="30" fillId="0" borderId="0" xfId="0" applyNumberFormat="1" applyFont="1" applyAlignment="1">
      <alignment horizontal="center" vertical="center"/>
    </xf>
    <xf numFmtId="0" fontId="32" fillId="20" borderId="12" xfId="0" applyFont="1" applyFill="1" applyBorder="1" applyAlignment="1" applyProtection="1">
      <alignment horizontal="left" vertical="top" wrapText="1"/>
      <protection locked="0"/>
    </xf>
    <xf numFmtId="4" fontId="86" fillId="0" borderId="0" xfId="324" applyNumberFormat="1" applyFont="1" applyFill="1" applyBorder="1" applyAlignment="1" applyProtection="1">
      <alignment horizontal="center" vertical="center" wrapText="1"/>
    </xf>
    <xf numFmtId="4" fontId="30" fillId="0" borderId="0" xfId="324" applyNumberFormat="1" applyFont="1" applyFill="1" applyBorder="1" applyAlignment="1" applyProtection="1">
      <alignment horizontal="center" vertical="center" wrapText="1"/>
      <protection locked="0"/>
    </xf>
    <xf numFmtId="4" fontId="32" fillId="0" borderId="0" xfId="324" applyNumberFormat="1" applyFont="1" applyFill="1" applyBorder="1" applyAlignment="1" applyProtection="1">
      <alignment horizontal="center" vertical="center" wrapText="1"/>
      <protection locked="0"/>
    </xf>
    <xf numFmtId="4" fontId="30" fillId="0" borderId="0" xfId="0" applyNumberFormat="1" applyFont="1" applyAlignment="1" applyProtection="1">
      <alignment horizontal="center" vertical="center"/>
      <protection locked="0"/>
    </xf>
    <xf numFmtId="4" fontId="30" fillId="0" borderId="26" xfId="0" applyNumberFormat="1" applyFont="1" applyBorder="1"/>
    <xf numFmtId="4" fontId="86" fillId="0" borderId="0" xfId="324" applyNumberFormat="1" applyFont="1" applyFill="1" applyBorder="1" applyAlignment="1" applyProtection="1">
      <alignment horizontal="center" vertical="center" wrapText="1"/>
      <protection locked="0"/>
    </xf>
    <xf numFmtId="0" fontId="30" fillId="0" borderId="49" xfId="0" applyFont="1" applyBorder="1" applyAlignment="1">
      <alignment horizontal="center" vertical="center"/>
    </xf>
    <xf numFmtId="0" fontId="32" fillId="0" borderId="21" xfId="324" applyNumberFormat="1" applyFont="1" applyFill="1" applyBorder="1" applyAlignment="1" applyProtection="1">
      <alignment horizontal="center" vertical="center" wrapText="1"/>
    </xf>
    <xf numFmtId="2" fontId="30" fillId="0" borderId="0" xfId="0" applyNumberFormat="1" applyFont="1" applyAlignment="1">
      <alignment horizontal="center" vertical="center"/>
    </xf>
    <xf numFmtId="4" fontId="32" fillId="0" borderId="67" xfId="324" applyNumberFormat="1" applyFont="1" applyFill="1" applyBorder="1" applyAlignment="1" applyProtection="1">
      <alignment horizontal="center" vertical="center" wrapText="1"/>
      <protection locked="0"/>
    </xf>
    <xf numFmtId="4" fontId="32" fillId="0" borderId="72" xfId="324" applyNumberFormat="1" applyFont="1" applyFill="1" applyBorder="1" applyAlignment="1" applyProtection="1">
      <alignment horizontal="center" vertical="center" wrapText="1"/>
      <protection locked="0"/>
    </xf>
    <xf numFmtId="4" fontId="32" fillId="0" borderId="60" xfId="324" applyNumberFormat="1" applyFont="1" applyFill="1" applyBorder="1" applyAlignment="1" applyProtection="1">
      <alignment horizontal="center" vertical="center" wrapText="1"/>
      <protection locked="0"/>
    </xf>
    <xf numFmtId="0" fontId="32" fillId="0" borderId="74" xfId="324" applyFont="1" applyFill="1" applyBorder="1" applyAlignment="1" applyProtection="1">
      <alignment horizontal="center" vertical="center" wrapText="1"/>
    </xf>
    <xf numFmtId="0" fontId="30" fillId="0" borderId="65" xfId="0" applyFont="1" applyBorder="1" applyAlignment="1">
      <alignment horizontal="center" vertical="center"/>
    </xf>
    <xf numFmtId="0" fontId="32" fillId="0" borderId="71" xfId="0" applyFont="1" applyFill="1" applyBorder="1" applyAlignment="1" applyProtection="1">
      <alignment horizontal="center" vertical="center" wrapText="1"/>
    </xf>
    <xf numFmtId="0" fontId="30" fillId="10" borderId="12" xfId="0" applyFont="1" applyFill="1" applyBorder="1" applyAlignment="1" applyProtection="1">
      <alignment horizontal="center" vertical="center" wrapText="1"/>
    </xf>
    <xf numFmtId="0" fontId="30" fillId="10" borderId="25" xfId="0" applyFont="1" applyFill="1" applyBorder="1" applyAlignment="1" applyProtection="1">
      <alignment horizontal="center" vertical="center" wrapText="1"/>
    </xf>
    <xf numFmtId="0" fontId="32" fillId="0" borderId="32" xfId="0" applyFont="1" applyFill="1" applyBorder="1" applyAlignment="1">
      <alignment horizontal="center" vertical="center" wrapText="1"/>
    </xf>
    <xf numFmtId="0" fontId="32" fillId="0" borderId="10" xfId="0" applyFont="1" applyFill="1" applyBorder="1" applyProtection="1"/>
    <xf numFmtId="4" fontId="32" fillId="0" borderId="24" xfId="324" applyNumberFormat="1" applyFont="1" applyFill="1" applyBorder="1" applyAlignment="1" applyProtection="1">
      <alignment horizontal="center" vertical="center" wrapText="1"/>
      <protection locked="0"/>
    </xf>
    <xf numFmtId="4" fontId="27" fillId="0" borderId="32" xfId="0" applyNumberFormat="1" applyFont="1" applyFill="1" applyBorder="1" applyAlignment="1" applyProtection="1">
      <alignment horizontal="center" vertical="center" wrapText="1"/>
      <protection locked="0"/>
    </xf>
    <xf numFmtId="4" fontId="27" fillId="0" borderId="26" xfId="0" applyNumberFormat="1" applyFont="1" applyFill="1" applyBorder="1" applyAlignment="1" applyProtection="1">
      <alignment horizontal="center" vertical="center"/>
    </xf>
    <xf numFmtId="0" fontId="86" fillId="0" borderId="71" xfId="0" applyFont="1" applyFill="1" applyBorder="1" applyAlignment="1" applyProtection="1">
      <alignment horizontal="center" vertical="center" wrapText="1"/>
    </xf>
    <xf numFmtId="0" fontId="39" fillId="24" borderId="29" xfId="0" applyFont="1" applyFill="1" applyBorder="1" applyAlignment="1" applyProtection="1">
      <alignment horizontal="left" vertical="center" wrapText="1"/>
      <protection locked="0"/>
    </xf>
    <xf numFmtId="0" fontId="39" fillId="24" borderId="42" xfId="0" applyFont="1" applyFill="1" applyBorder="1" applyAlignment="1" applyProtection="1">
      <alignment horizontal="left" vertical="center" wrapText="1"/>
      <protection locked="0"/>
    </xf>
    <xf numFmtId="4" fontId="30" fillId="0" borderId="24" xfId="0" applyNumberFormat="1" applyFont="1" applyFill="1" applyBorder="1" applyAlignment="1" applyProtection="1">
      <alignment horizontal="center" vertical="center" wrapText="1"/>
      <protection locked="0"/>
    </xf>
    <xf numFmtId="4" fontId="32" fillId="0" borderId="5" xfId="324" applyNumberFormat="1" applyFont="1" applyFill="1" applyBorder="1" applyAlignment="1" applyProtection="1">
      <alignment horizontal="center" vertical="center" wrapText="1"/>
      <protection locked="0"/>
    </xf>
    <xf numFmtId="14" fontId="32" fillId="0" borderId="0" xfId="0" applyNumberFormat="1" applyFont="1" applyFill="1" applyBorder="1" applyAlignment="1" applyProtection="1">
      <alignment horizontal="center" vertical="center" wrapText="1"/>
    </xf>
    <xf numFmtId="0" fontId="32" fillId="0" borderId="0" xfId="0" applyFont="1" applyFill="1" applyBorder="1" applyAlignment="1" applyProtection="1">
      <alignment horizontal="center" vertical="center" wrapText="1"/>
    </xf>
    <xf numFmtId="0" fontId="32" fillId="0" borderId="5" xfId="0" applyFont="1" applyFill="1" applyBorder="1" applyAlignment="1" applyProtection="1">
      <alignment horizontal="center" vertical="center" wrapText="1"/>
    </xf>
    <xf numFmtId="14" fontId="32" fillId="0" borderId="5" xfId="0" applyNumberFormat="1" applyFont="1" applyFill="1" applyBorder="1" applyAlignment="1" applyProtection="1">
      <alignment horizontal="center" vertical="center" wrapText="1"/>
    </xf>
    <xf numFmtId="0" fontId="32" fillId="0" borderId="0" xfId="324" applyFont="1" applyFill="1" applyBorder="1" applyAlignment="1" applyProtection="1">
      <alignment horizontal="center" vertical="center" wrapText="1"/>
    </xf>
    <xf numFmtId="0" fontId="3" fillId="0" borderId="0" xfId="353"/>
    <xf numFmtId="14" fontId="3" fillId="0" borderId="0" xfId="353" applyNumberFormat="1"/>
    <xf numFmtId="14" fontId="32" fillId="0" borderId="20" xfId="0" applyNumberFormat="1" applyFont="1" applyFill="1" applyBorder="1" applyAlignment="1" applyProtection="1">
      <alignment horizontal="center" vertical="center" textRotation="90" wrapText="1"/>
    </xf>
    <xf numFmtId="14" fontId="0" fillId="0" borderId="0" xfId="0" applyNumberFormat="1"/>
    <xf numFmtId="0" fontId="2" fillId="0" borderId="0" xfId="353" applyFont="1"/>
    <xf numFmtId="14" fontId="32" fillId="0" borderId="0" xfId="324" applyNumberFormat="1" applyFont="1" applyFill="1" applyBorder="1" applyAlignment="1" applyProtection="1">
      <alignment horizontal="center" vertical="center" wrapText="1"/>
      <protection locked="0"/>
    </xf>
    <xf numFmtId="14" fontId="32" fillId="0" borderId="11" xfId="324" applyNumberFormat="1" applyFont="1" applyFill="1" applyBorder="1" applyAlignment="1" applyProtection="1">
      <alignment horizontal="center" vertical="center" wrapText="1"/>
    </xf>
    <xf numFmtId="14" fontId="32" fillId="0" borderId="0" xfId="324" applyNumberFormat="1" applyFont="1" applyFill="1" applyBorder="1" applyAlignment="1" applyProtection="1">
      <alignment horizontal="center" vertical="center" wrapText="1"/>
    </xf>
    <xf numFmtId="1" fontId="45" fillId="0" borderId="0" xfId="0" applyNumberFormat="1" applyFont="1" applyAlignment="1" applyProtection="1">
      <alignment horizontal="center" vertical="center"/>
      <protection locked="0"/>
    </xf>
    <xf numFmtId="1" fontId="61" fillId="0" borderId="0" xfId="0" applyNumberFormat="1" applyFont="1" applyProtection="1">
      <protection locked="0"/>
    </xf>
    <xf numFmtId="1" fontId="45" fillId="0" borderId="0" xfId="0" applyNumberFormat="1" applyFont="1" applyFill="1" applyProtection="1">
      <protection locked="0"/>
    </xf>
    <xf numFmtId="1" fontId="45" fillId="0" borderId="0" xfId="0" applyNumberFormat="1" applyFont="1" applyFill="1" applyAlignment="1" applyProtection="1">
      <alignment horizontal="left" wrapText="1"/>
      <protection locked="0"/>
    </xf>
    <xf numFmtId="1" fontId="45" fillId="0" borderId="0" xfId="0" applyNumberFormat="1" applyFont="1" applyProtection="1">
      <protection locked="0"/>
    </xf>
    <xf numFmtId="1" fontId="61" fillId="0" borderId="0" xfId="0" applyNumberFormat="1" applyFont="1" applyAlignment="1" applyProtection="1">
      <alignment wrapText="1"/>
      <protection locked="0"/>
    </xf>
    <xf numFmtId="1" fontId="27" fillId="0" borderId="0" xfId="0" applyNumberFormat="1" applyFont="1" applyProtection="1">
      <protection locked="0"/>
    </xf>
    <xf numFmtId="1" fontId="27" fillId="0" borderId="0" xfId="0" applyNumberFormat="1" applyFont="1" applyFill="1" applyProtection="1">
      <protection locked="0"/>
    </xf>
    <xf numFmtId="1" fontId="46" fillId="0" borderId="0" xfId="0" applyNumberFormat="1" applyFont="1" applyFill="1" applyAlignment="1" applyProtection="1">
      <alignment horizontal="left"/>
      <protection locked="0"/>
    </xf>
    <xf numFmtId="1" fontId="75" fillId="0" borderId="0" xfId="0" applyNumberFormat="1" applyFont="1" applyAlignment="1" applyProtection="1">
      <alignment horizontal="center"/>
      <protection locked="0"/>
    </xf>
    <xf numFmtId="0" fontId="33" fillId="0" borderId="0" xfId="0" applyFont="1" applyFill="1" applyBorder="1" applyAlignment="1" applyProtection="1">
      <alignment horizontal="center" vertical="center" wrapText="1"/>
      <protection locked="0"/>
    </xf>
    <xf numFmtId="49" fontId="32" fillId="20" borderId="12" xfId="0" applyNumberFormat="1" applyFont="1" applyFill="1" applyBorder="1" applyAlignment="1" applyProtection="1">
      <alignment horizontal="left" vertical="center" indent="1"/>
      <protection locked="0"/>
    </xf>
    <xf numFmtId="49" fontId="32" fillId="0" borderId="0" xfId="324" applyNumberFormat="1" applyFont="1" applyFill="1" applyBorder="1" applyAlignment="1" applyProtection="1">
      <alignment horizontal="center" vertical="center" wrapText="1"/>
      <protection locked="0"/>
    </xf>
    <xf numFmtId="49" fontId="32" fillId="20" borderId="12" xfId="0" applyNumberFormat="1" applyFont="1" applyFill="1" applyBorder="1" applyAlignment="1" applyProtection="1">
      <alignment horizontal="left" vertical="center" wrapText="1" indent="1"/>
      <protection locked="0"/>
    </xf>
    <xf numFmtId="4" fontId="32" fillId="0" borderId="27" xfId="324" applyNumberFormat="1" applyFont="1" applyFill="1" applyBorder="1" applyAlignment="1" applyProtection="1">
      <alignment horizontal="center" vertical="center" wrapText="1"/>
      <protection locked="0"/>
    </xf>
    <xf numFmtId="4" fontId="30" fillId="0" borderId="31" xfId="0" applyNumberFormat="1" applyFont="1" applyFill="1" applyBorder="1" applyAlignment="1" applyProtection="1">
      <alignment horizontal="right" vertical="center"/>
    </xf>
    <xf numFmtId="4" fontId="32" fillId="21" borderId="60" xfId="0" applyNumberFormat="1" applyFont="1" applyFill="1" applyBorder="1" applyAlignment="1" applyProtection="1">
      <alignment horizontal="right" vertical="center"/>
    </xf>
    <xf numFmtId="0" fontId="33" fillId="17" borderId="21" xfId="0" applyFont="1" applyFill="1" applyBorder="1" applyAlignment="1" applyProtection="1">
      <alignment horizontal="center" vertical="center" wrapText="1"/>
    </xf>
    <xf numFmtId="0" fontId="33" fillId="17" borderId="11" xfId="0" applyFont="1" applyFill="1" applyBorder="1" applyAlignment="1" applyProtection="1">
      <alignment horizontal="center" vertical="center" wrapText="1"/>
    </xf>
    <xf numFmtId="0" fontId="33" fillId="17" borderId="26" xfId="0" applyFont="1" applyFill="1" applyBorder="1" applyAlignment="1" applyProtection="1">
      <alignment horizontal="center" vertical="center" wrapText="1"/>
    </xf>
    <xf numFmtId="0" fontId="33" fillId="17" borderId="27" xfId="0" applyFont="1" applyFill="1" applyBorder="1" applyAlignment="1" applyProtection="1">
      <alignment horizontal="center" vertical="center" wrapText="1"/>
    </xf>
    <xf numFmtId="49" fontId="33" fillId="0" borderId="1" xfId="0" applyNumberFormat="1" applyFont="1" applyFill="1" applyBorder="1" applyAlignment="1" applyProtection="1">
      <alignment horizontal="center" vertical="center"/>
    </xf>
    <xf numFmtId="0" fontId="33" fillId="0" borderId="29" xfId="0" applyFont="1" applyFill="1" applyBorder="1" applyAlignment="1" applyProtection="1">
      <alignment horizontal="left" vertical="center" wrapText="1"/>
    </xf>
    <xf numFmtId="0" fontId="33" fillId="0" borderId="2" xfId="0" quotePrefix="1" applyFont="1" applyFill="1" applyBorder="1" applyAlignment="1" applyProtection="1">
      <alignment horizontal="left" vertical="center" wrapText="1"/>
    </xf>
    <xf numFmtId="49" fontId="33" fillId="0" borderId="4" xfId="0" applyNumberFormat="1" applyFont="1" applyFill="1" applyBorder="1" applyAlignment="1" applyProtection="1">
      <alignment horizontal="center" vertical="center"/>
    </xf>
    <xf numFmtId="0" fontId="33" fillId="0" borderId="12" xfId="0" applyFont="1" applyFill="1" applyBorder="1" applyAlignment="1" applyProtection="1">
      <alignment horizontal="left" vertical="center" indent="1"/>
    </xf>
    <xf numFmtId="0" fontId="49" fillId="0" borderId="5" xfId="0" applyFont="1" applyFill="1" applyBorder="1" applyAlignment="1" applyProtection="1">
      <alignment horizontal="center" vertical="center"/>
    </xf>
    <xf numFmtId="0" fontId="49" fillId="0" borderId="12" xfId="0" applyFont="1" applyFill="1" applyBorder="1" applyAlignment="1" applyProtection="1">
      <alignment horizontal="left" vertical="center" indent="1"/>
    </xf>
    <xf numFmtId="0" fontId="49" fillId="0" borderId="5" xfId="0" applyFont="1" applyFill="1" applyBorder="1" applyAlignment="1" applyProtection="1">
      <alignment horizontal="left" vertical="center" indent="1"/>
    </xf>
    <xf numFmtId="49" fontId="33" fillId="0" borderId="52" xfId="0" applyNumberFormat="1" applyFont="1" applyFill="1" applyBorder="1" applyAlignment="1" applyProtection="1">
      <alignment horizontal="center" vertical="center"/>
    </xf>
    <xf numFmtId="0" fontId="33" fillId="0" borderId="64" xfId="0" applyFont="1" applyFill="1" applyBorder="1" applyAlignment="1" applyProtection="1">
      <alignment horizontal="left" vertical="center" indent="1"/>
    </xf>
    <xf numFmtId="0" fontId="49" fillId="0" borderId="25" xfId="0" applyFont="1" applyFill="1" applyBorder="1" applyAlignment="1" applyProtection="1">
      <alignment horizontal="center" vertical="center"/>
    </xf>
    <xf numFmtId="0" fontId="33" fillId="0" borderId="29" xfId="0" applyFont="1" applyFill="1" applyBorder="1" applyAlignment="1" applyProtection="1">
      <alignment horizontal="left" vertical="center"/>
    </xf>
    <xf numFmtId="0" fontId="33" fillId="0" borderId="2" xfId="0" applyFont="1" applyFill="1" applyBorder="1" applyAlignment="1" applyProtection="1">
      <alignment horizontal="left" vertical="center"/>
    </xf>
    <xf numFmtId="0" fontId="0" fillId="0" borderId="0" xfId="0" applyBorder="1" applyProtection="1"/>
    <xf numFmtId="49" fontId="33" fillId="0" borderId="7" xfId="0" applyNumberFormat="1" applyFont="1" applyFill="1" applyBorder="1" applyAlignment="1" applyProtection="1">
      <alignment horizontal="center" vertical="center"/>
    </xf>
    <xf numFmtId="0" fontId="49" fillId="0" borderId="43" xfId="0" applyFont="1" applyFill="1" applyBorder="1" applyAlignment="1" applyProtection="1">
      <alignment horizontal="left" vertical="center" indent="1"/>
    </xf>
    <xf numFmtId="0" fontId="49" fillId="0" borderId="8" xfId="0" applyFont="1" applyFill="1" applyBorder="1" applyAlignment="1" applyProtection="1">
      <alignment horizontal="center" vertical="center"/>
    </xf>
    <xf numFmtId="4" fontId="71" fillId="0" borderId="27" xfId="0" applyNumberFormat="1" applyFont="1" applyBorder="1"/>
    <xf numFmtId="4" fontId="71" fillId="0" borderId="72" xfId="0" applyNumberFormat="1" applyFont="1" applyBorder="1"/>
    <xf numFmtId="0" fontId="71" fillId="0" borderId="26" xfId="0" applyFont="1" applyBorder="1"/>
    <xf numFmtId="4" fontId="71" fillId="0" borderId="26" xfId="0" applyNumberFormat="1" applyFont="1" applyBorder="1"/>
    <xf numFmtId="4" fontId="30" fillId="0" borderId="33" xfId="0" applyNumberFormat="1" applyFont="1" applyBorder="1" applyAlignment="1">
      <alignment horizontal="center" vertical="center"/>
    </xf>
    <xf numFmtId="14" fontId="32" fillId="0" borderId="20" xfId="0" applyNumberFormat="1" applyFont="1" applyFill="1" applyBorder="1" applyAlignment="1" applyProtection="1">
      <alignment horizontal="center" vertical="center" wrapText="1"/>
    </xf>
    <xf numFmtId="14" fontId="32" fillId="0" borderId="50" xfId="0" applyNumberFormat="1" applyFont="1" applyFill="1" applyBorder="1" applyAlignment="1" applyProtection="1">
      <alignment horizontal="center" vertical="center" textRotation="90" wrapText="1"/>
    </xf>
    <xf numFmtId="194" fontId="32" fillId="0" borderId="26" xfId="0" applyNumberFormat="1" applyFont="1" applyFill="1" applyBorder="1" applyAlignment="1" applyProtection="1">
      <alignment horizontal="center" vertical="center" textRotation="90" wrapText="1"/>
    </xf>
    <xf numFmtId="14" fontId="3" fillId="0" borderId="0" xfId="353" applyNumberFormat="1" applyAlignment="1">
      <alignment horizontal="center" vertical="center"/>
    </xf>
    <xf numFmtId="0" fontId="1" fillId="0" borderId="0" xfId="352" applyNumberFormat="1" applyFont="1"/>
    <xf numFmtId="0" fontId="1" fillId="0" borderId="0" xfId="352" applyFont="1" applyAlignment="1"/>
    <xf numFmtId="0" fontId="1" fillId="0" borderId="0" xfId="352" applyFont="1"/>
    <xf numFmtId="0" fontId="0" fillId="0" borderId="0" xfId="0" applyFill="1"/>
    <xf numFmtId="4" fontId="30" fillId="0" borderId="30" xfId="0" applyNumberFormat="1" applyFont="1" applyFill="1" applyBorder="1" applyAlignment="1" applyProtection="1">
      <alignment horizontal="center"/>
      <protection locked="0"/>
    </xf>
    <xf numFmtId="4" fontId="30" fillId="0" borderId="67" xfId="0" applyNumberFormat="1" applyFont="1" applyFill="1" applyBorder="1" applyAlignment="1" applyProtection="1">
      <alignment horizontal="center"/>
      <protection locked="0"/>
    </xf>
    <xf numFmtId="4" fontId="30" fillId="0" borderId="60" xfId="0" applyNumberFormat="1" applyFont="1" applyFill="1" applyBorder="1" applyAlignment="1" applyProtection="1">
      <alignment horizontal="center"/>
      <protection locked="0"/>
    </xf>
    <xf numFmtId="4" fontId="30" fillId="0" borderId="48" xfId="0" applyNumberFormat="1" applyFont="1" applyFill="1" applyBorder="1" applyAlignment="1" applyProtection="1">
      <alignment horizontal="center"/>
      <protection locked="0"/>
    </xf>
    <xf numFmtId="4" fontId="30" fillId="0" borderId="2" xfId="0" applyNumberFormat="1" applyFont="1" applyFill="1" applyBorder="1" applyAlignment="1" applyProtection="1">
      <alignment horizontal="center"/>
      <protection locked="0"/>
    </xf>
    <xf numFmtId="4" fontId="30" fillId="0" borderId="29" xfId="0" applyNumberFormat="1" applyFont="1" applyFill="1" applyBorder="1" applyAlignment="1" applyProtection="1">
      <alignment horizontal="center"/>
      <protection locked="0"/>
    </xf>
    <xf numFmtId="4" fontId="30" fillId="0" borderId="10" xfId="0" applyNumberFormat="1" applyFont="1" applyFill="1" applyBorder="1" applyAlignment="1" applyProtection="1">
      <alignment horizontal="center"/>
      <protection locked="0"/>
    </xf>
    <xf numFmtId="4" fontId="30" fillId="0" borderId="47" xfId="0" applyNumberFormat="1" applyFont="1" applyFill="1" applyBorder="1" applyAlignment="1" applyProtection="1">
      <alignment horizontal="center"/>
      <protection locked="0"/>
    </xf>
    <xf numFmtId="4" fontId="30" fillId="0" borderId="58" xfId="0" applyNumberFormat="1" applyFont="1" applyFill="1" applyBorder="1" applyAlignment="1" applyProtection="1">
      <alignment horizontal="center"/>
      <protection locked="0"/>
    </xf>
    <xf numFmtId="4" fontId="30" fillId="0" borderId="59" xfId="0" applyNumberFormat="1" applyFont="1" applyFill="1" applyBorder="1" applyAlignment="1" applyProtection="1">
      <alignment horizontal="center"/>
      <protection locked="0"/>
    </xf>
    <xf numFmtId="4" fontId="30" fillId="0" borderId="8" xfId="0" applyNumberFormat="1" applyFont="1" applyFill="1" applyBorder="1" applyAlignment="1" applyProtection="1">
      <alignment horizontal="center"/>
      <protection locked="0"/>
    </xf>
    <xf numFmtId="4" fontId="30" fillId="0" borderId="43" xfId="0" applyNumberFormat="1" applyFont="1" applyFill="1" applyBorder="1" applyAlignment="1" applyProtection="1">
      <alignment horizontal="center"/>
      <protection locked="0"/>
    </xf>
    <xf numFmtId="4" fontId="30" fillId="0" borderId="42" xfId="0" applyNumberFormat="1" applyFont="1" applyFill="1" applyBorder="1" applyAlignment="1" applyProtection="1">
      <alignment horizontal="center"/>
      <protection locked="0"/>
    </xf>
    <xf numFmtId="4" fontId="30" fillId="0" borderId="53" xfId="0" applyNumberFormat="1" applyFont="1" applyFill="1" applyBorder="1" applyAlignment="1" applyProtection="1">
      <alignment horizontal="center"/>
      <protection locked="0"/>
    </xf>
    <xf numFmtId="4" fontId="30" fillId="0" borderId="68" xfId="0" applyNumberFormat="1" applyFont="1" applyFill="1" applyBorder="1" applyAlignment="1" applyProtection="1">
      <alignment horizontal="center"/>
      <protection locked="0"/>
    </xf>
    <xf numFmtId="4" fontId="30" fillId="0" borderId="37" xfId="0" applyNumberFormat="1" applyFont="1" applyFill="1" applyBorder="1" applyAlignment="1" applyProtection="1">
      <alignment horizontal="center"/>
      <protection locked="0"/>
    </xf>
    <xf numFmtId="4" fontId="30" fillId="0" borderId="2" xfId="0" applyNumberFormat="1" applyFont="1" applyFill="1" applyBorder="1" applyAlignment="1" applyProtection="1">
      <alignment horizontal="center"/>
      <protection locked="0"/>
    </xf>
    <xf numFmtId="4" fontId="30" fillId="0" borderId="29" xfId="0" applyNumberFormat="1" applyFont="1" applyFill="1" applyBorder="1" applyAlignment="1" applyProtection="1">
      <alignment horizontal="center"/>
      <protection locked="0"/>
    </xf>
    <xf numFmtId="4" fontId="30" fillId="0" borderId="10" xfId="0" applyNumberFormat="1" applyFont="1" applyFill="1" applyBorder="1" applyAlignment="1" applyProtection="1">
      <alignment horizontal="center"/>
      <protection locked="0"/>
    </xf>
    <xf numFmtId="4" fontId="30" fillId="0" borderId="47" xfId="0" applyNumberFormat="1" applyFont="1" applyFill="1" applyBorder="1" applyAlignment="1" applyProtection="1">
      <alignment horizontal="center"/>
      <protection locked="0"/>
    </xf>
    <xf numFmtId="4" fontId="30" fillId="0" borderId="58" xfId="0" applyNumberFormat="1" applyFont="1" applyFill="1" applyBorder="1" applyAlignment="1" applyProtection="1">
      <alignment horizontal="center"/>
      <protection locked="0"/>
    </xf>
    <xf numFmtId="4" fontId="30" fillId="0" borderId="59" xfId="0" applyNumberFormat="1" applyFont="1" applyFill="1" applyBorder="1" applyAlignment="1" applyProtection="1">
      <alignment horizontal="center"/>
      <protection locked="0"/>
    </xf>
    <xf numFmtId="4" fontId="30" fillId="0" borderId="8" xfId="0" applyNumberFormat="1" applyFont="1" applyFill="1" applyBorder="1" applyAlignment="1" applyProtection="1">
      <alignment horizontal="center"/>
      <protection locked="0"/>
    </xf>
    <xf numFmtId="4" fontId="30" fillId="0" borderId="43" xfId="0" applyNumberFormat="1" applyFont="1" applyFill="1" applyBorder="1" applyAlignment="1" applyProtection="1">
      <alignment horizontal="center"/>
      <protection locked="0"/>
    </xf>
    <xf numFmtId="4" fontId="30" fillId="0" borderId="42" xfId="0" applyNumberFormat="1" applyFont="1" applyFill="1" applyBorder="1" applyAlignment="1" applyProtection="1">
      <alignment horizontal="center"/>
      <protection locked="0"/>
    </xf>
    <xf numFmtId="4" fontId="30" fillId="0" borderId="53" xfId="0" applyNumberFormat="1" applyFont="1" applyFill="1" applyBorder="1" applyAlignment="1" applyProtection="1">
      <alignment horizontal="center"/>
      <protection locked="0"/>
    </xf>
    <xf numFmtId="4" fontId="30" fillId="0" borderId="68" xfId="0" applyNumberFormat="1" applyFont="1" applyFill="1" applyBorder="1" applyAlignment="1" applyProtection="1">
      <alignment horizontal="center"/>
      <protection locked="0"/>
    </xf>
    <xf numFmtId="4" fontId="30" fillId="0" borderId="37" xfId="0" applyNumberFormat="1" applyFont="1" applyFill="1" applyBorder="1" applyAlignment="1" applyProtection="1">
      <alignment horizontal="center"/>
      <protection locked="0"/>
    </xf>
    <xf numFmtId="4" fontId="30" fillId="9" borderId="37" xfId="0" applyNumberFormat="1" applyFont="1" applyFill="1" applyBorder="1" applyAlignment="1" applyProtection="1">
      <alignment horizontal="center"/>
      <protection locked="0"/>
    </xf>
    <xf numFmtId="4" fontId="30" fillId="9" borderId="8" xfId="0" applyNumberFormat="1" applyFont="1" applyFill="1" applyBorder="1" applyAlignment="1" applyProtection="1">
      <alignment horizontal="center"/>
      <protection locked="0"/>
    </xf>
    <xf numFmtId="4" fontId="30" fillId="12" borderId="58" xfId="0" applyNumberFormat="1" applyFont="1" applyFill="1" applyBorder="1" applyAlignment="1" applyProtection="1">
      <alignment horizontal="center"/>
      <protection locked="0"/>
    </xf>
    <xf numFmtId="4" fontId="30" fillId="0" borderId="2" xfId="0" applyNumberFormat="1" applyFont="1" applyFill="1" applyBorder="1" applyAlignment="1" applyProtection="1">
      <alignment horizontal="center"/>
      <protection locked="0"/>
    </xf>
    <xf numFmtId="4" fontId="30" fillId="0" borderId="29" xfId="0" applyNumberFormat="1" applyFont="1" applyFill="1" applyBorder="1" applyAlignment="1" applyProtection="1">
      <alignment horizontal="center"/>
      <protection locked="0"/>
    </xf>
    <xf numFmtId="4" fontId="30" fillId="0" borderId="10" xfId="0" applyNumberFormat="1" applyFont="1" applyFill="1" applyBorder="1" applyAlignment="1" applyProtection="1">
      <alignment horizontal="center"/>
      <protection locked="0"/>
    </xf>
    <xf numFmtId="4" fontId="30" fillId="0" borderId="47" xfId="0" applyNumberFormat="1" applyFont="1" applyFill="1" applyBorder="1" applyAlignment="1" applyProtection="1">
      <alignment horizontal="center"/>
      <protection locked="0"/>
    </xf>
    <xf numFmtId="4" fontId="30" fillId="0" borderId="58" xfId="0" applyNumberFormat="1" applyFont="1" applyFill="1" applyBorder="1" applyAlignment="1" applyProtection="1">
      <alignment horizontal="center"/>
      <protection locked="0"/>
    </xf>
    <xf numFmtId="4" fontId="30" fillId="0" borderId="59" xfId="0" applyNumberFormat="1" applyFont="1" applyFill="1" applyBorder="1" applyAlignment="1" applyProtection="1">
      <alignment horizontal="center"/>
      <protection locked="0"/>
    </xf>
    <xf numFmtId="4" fontId="30" fillId="0" borderId="8" xfId="0" applyNumberFormat="1" applyFont="1" applyFill="1" applyBorder="1" applyAlignment="1" applyProtection="1">
      <alignment horizontal="center"/>
      <protection locked="0"/>
    </xf>
    <xf numFmtId="4" fontId="30" fillId="0" borderId="43" xfId="0" applyNumberFormat="1" applyFont="1" applyFill="1" applyBorder="1" applyAlignment="1" applyProtection="1">
      <alignment horizontal="center"/>
      <protection locked="0"/>
    </xf>
    <xf numFmtId="4" fontId="30" fillId="0" borderId="42" xfId="0" applyNumberFormat="1" applyFont="1" applyFill="1" applyBorder="1" applyAlignment="1" applyProtection="1">
      <alignment horizontal="center"/>
      <protection locked="0"/>
    </xf>
    <xf numFmtId="4" fontId="30" fillId="0" borderId="53" xfId="0" applyNumberFormat="1" applyFont="1" applyFill="1" applyBorder="1" applyAlignment="1" applyProtection="1">
      <alignment horizontal="center"/>
      <protection locked="0"/>
    </xf>
    <xf numFmtId="4" fontId="30" fillId="0" borderId="68" xfId="0" applyNumberFormat="1" applyFont="1" applyFill="1" applyBorder="1" applyAlignment="1" applyProtection="1">
      <alignment horizontal="center"/>
      <protection locked="0"/>
    </xf>
    <xf numFmtId="4" fontId="30" fillId="0" borderId="37" xfId="0" applyNumberFormat="1" applyFont="1" applyFill="1" applyBorder="1" applyAlignment="1" applyProtection="1">
      <alignment horizontal="center"/>
      <protection locked="0"/>
    </xf>
    <xf numFmtId="4" fontId="30" fillId="12" borderId="37" xfId="0" applyNumberFormat="1" applyFont="1" applyFill="1" applyBorder="1" applyAlignment="1" applyProtection="1">
      <alignment horizontal="center"/>
      <protection locked="0"/>
    </xf>
    <xf numFmtId="4" fontId="30" fillId="12" borderId="8" xfId="0" applyNumberFormat="1" applyFont="1" applyFill="1" applyBorder="1" applyAlignment="1" applyProtection="1">
      <alignment horizontal="center"/>
      <protection locked="0"/>
    </xf>
    <xf numFmtId="14" fontId="33" fillId="0" borderId="51" xfId="0" applyNumberFormat="1" applyFont="1" applyFill="1" applyBorder="1" applyAlignment="1" applyProtection="1">
      <alignment horizontal="left" vertical="center"/>
      <protection locked="0"/>
    </xf>
    <xf numFmtId="14" fontId="33" fillId="0" borderId="61" xfId="0" applyNumberFormat="1" applyFont="1" applyFill="1" applyBorder="1" applyAlignment="1" applyProtection="1">
      <alignment horizontal="left" vertical="center"/>
      <protection locked="0"/>
    </xf>
    <xf numFmtId="0" fontId="47" fillId="0" borderId="0" xfId="1" applyFont="1" applyAlignment="1" applyProtection="1">
      <alignment vertical="center"/>
      <protection locked="0"/>
    </xf>
    <xf numFmtId="0" fontId="49" fillId="0" borderId="22" xfId="1" applyFont="1" applyBorder="1" applyProtection="1">
      <protection locked="0"/>
    </xf>
    <xf numFmtId="0" fontId="47" fillId="0" borderId="0" xfId="1" applyFont="1" applyAlignment="1" applyProtection="1">
      <alignment horizontal="center" vertical="center"/>
      <protection locked="0"/>
    </xf>
    <xf numFmtId="4" fontId="49" fillId="0" borderId="0" xfId="0" applyNumberFormat="1" applyFont="1" applyFill="1" applyBorder="1" applyAlignment="1" applyProtection="1">
      <alignment vertical="center" wrapText="1"/>
      <protection locked="0"/>
    </xf>
    <xf numFmtId="0" fontId="30" fillId="0" borderId="0" xfId="1" applyFont="1" applyAlignment="1" applyProtection="1">
      <alignment horizontal="center" vertical="top"/>
      <protection locked="0"/>
    </xf>
    <xf numFmtId="0" fontId="30" fillId="0" borderId="22" xfId="1" applyFont="1" applyBorder="1" applyProtection="1">
      <protection locked="0"/>
    </xf>
    <xf numFmtId="0" fontId="49" fillId="0" borderId="0" xfId="1" applyFont="1" applyAlignment="1" applyProtection="1">
      <alignment horizontal="center" vertical="center"/>
      <protection locked="0"/>
    </xf>
    <xf numFmtId="4" fontId="49" fillId="0" borderId="0" xfId="0" applyNumberFormat="1" applyFont="1" applyFill="1" applyBorder="1" applyAlignment="1" applyProtection="1">
      <alignment vertical="top"/>
      <protection locked="0"/>
    </xf>
    <xf numFmtId="0" fontId="33" fillId="0" borderId="0" xfId="1" applyFont="1" applyAlignment="1" applyProtection="1">
      <alignment vertical="center"/>
      <protection locked="0"/>
    </xf>
    <xf numFmtId="0" fontId="33" fillId="0" borderId="0" xfId="1" applyFont="1" applyAlignment="1" applyProtection="1">
      <alignment horizontal="center" vertical="center"/>
      <protection locked="0"/>
    </xf>
    <xf numFmtId="0" fontId="47" fillId="0" borderId="0" xfId="1" applyFont="1" applyAlignment="1" applyProtection="1">
      <alignment vertical="center" wrapText="1"/>
      <protection locked="0"/>
    </xf>
    <xf numFmtId="0" fontId="92" fillId="0" borderId="0" xfId="1" applyFont="1" applyAlignment="1" applyProtection="1">
      <alignment vertical="center"/>
      <protection locked="0"/>
    </xf>
    <xf numFmtId="4" fontId="92" fillId="0" borderId="0" xfId="0" applyNumberFormat="1" applyFont="1" applyFill="1" applyBorder="1" applyAlignment="1" applyProtection="1">
      <alignment vertical="center" wrapText="1"/>
      <protection locked="0"/>
    </xf>
    <xf numFmtId="0" fontId="92" fillId="0" borderId="0" xfId="1" applyFont="1" applyAlignment="1" applyProtection="1">
      <alignment horizontal="center" vertical="center"/>
      <protection locked="0"/>
    </xf>
    <xf numFmtId="0" fontId="47" fillId="0" borderId="0" xfId="1" applyFont="1" applyAlignment="1" applyProtection="1">
      <alignment horizontal="center" vertical="center"/>
      <protection locked="0"/>
    </xf>
    <xf numFmtId="0" fontId="30" fillId="0" borderId="0" xfId="1" applyFont="1" applyAlignment="1" applyProtection="1">
      <alignment horizontal="center" vertical="top"/>
      <protection locked="0"/>
    </xf>
    <xf numFmtId="0" fontId="30" fillId="0" borderId="22" xfId="1" applyFont="1" applyBorder="1" applyProtection="1">
      <protection locked="0"/>
    </xf>
    <xf numFmtId="0" fontId="33" fillId="0" borderId="0" xfId="1" applyFont="1" applyAlignment="1" applyProtection="1">
      <alignment vertical="center"/>
      <protection locked="0"/>
    </xf>
    <xf numFmtId="0" fontId="51" fillId="0" borderId="0" xfId="0" applyFont="1" applyAlignment="1" applyProtection="1">
      <alignment vertical="center"/>
      <protection locked="0"/>
    </xf>
    <xf numFmtId="4" fontId="49" fillId="0" borderId="0" xfId="0" applyNumberFormat="1" applyFont="1" applyFill="1" applyBorder="1" applyAlignment="1" applyProtection="1">
      <alignment vertical="center"/>
      <protection locked="0"/>
    </xf>
    <xf numFmtId="0" fontId="30" fillId="0" borderId="22" xfId="1" applyFont="1" applyFill="1" applyBorder="1" applyAlignment="1" applyProtection="1">
      <alignment horizontal="right" vertical="center" wrapText="1"/>
      <protection locked="0"/>
    </xf>
    <xf numFmtId="0" fontId="49" fillId="0" borderId="0" xfId="1" applyFont="1" applyFill="1" applyAlignment="1" applyProtection="1">
      <alignment vertical="center"/>
      <protection locked="0"/>
    </xf>
    <xf numFmtId="4" fontId="49" fillId="0" borderId="0" xfId="0" applyNumberFormat="1" applyFont="1" applyFill="1" applyBorder="1" applyAlignment="1" applyProtection="1">
      <alignment horizontal="left" vertical="center"/>
      <protection locked="0"/>
    </xf>
    <xf numFmtId="0" fontId="49" fillId="0" borderId="0" xfId="1" applyFont="1" applyAlignment="1" applyProtection="1">
      <alignment vertical="center"/>
      <protection locked="0"/>
    </xf>
    <xf numFmtId="0" fontId="92" fillId="0" borderId="0" xfId="1" applyFont="1" applyAlignment="1" applyProtection="1">
      <alignment vertical="center"/>
      <protection locked="0"/>
    </xf>
    <xf numFmtId="0" fontId="93" fillId="0" borderId="0" xfId="0" applyFont="1" applyAlignment="1" applyProtection="1">
      <alignment vertical="center"/>
      <protection locked="0"/>
    </xf>
    <xf numFmtId="4" fontId="92" fillId="0" borderId="0" xfId="0" applyNumberFormat="1" applyFont="1" applyFill="1" applyBorder="1" applyAlignment="1" applyProtection="1">
      <alignment vertical="center"/>
      <protection locked="0"/>
    </xf>
    <xf numFmtId="0" fontId="92" fillId="0" borderId="0" xfId="1" applyFont="1" applyAlignment="1" applyProtection="1">
      <alignment horizontal="center" vertical="center"/>
      <protection locked="0"/>
    </xf>
    <xf numFmtId="0" fontId="0" fillId="0" borderId="0" xfId="0"/>
    <xf numFmtId="0" fontId="30" fillId="0" borderId="0" xfId="1" applyFont="1" applyAlignment="1" applyProtection="1">
      <alignment horizontal="center" vertical="top"/>
      <protection locked="0"/>
    </xf>
    <xf numFmtId="0" fontId="51" fillId="0" borderId="0" xfId="0" applyFont="1" applyAlignment="1" applyProtection="1">
      <alignment vertical="center"/>
      <protection locked="0"/>
    </xf>
    <xf numFmtId="4" fontId="49" fillId="0" borderId="0" xfId="0" applyNumberFormat="1" applyFont="1" applyFill="1" applyBorder="1" applyAlignment="1" applyProtection="1">
      <alignment vertical="center"/>
      <protection locked="0"/>
    </xf>
    <xf numFmtId="0" fontId="49" fillId="0" borderId="22" xfId="1" applyFont="1" applyFill="1" applyBorder="1" applyAlignment="1" applyProtection="1">
      <alignment horizontal="right" vertical="center" wrapText="1"/>
      <protection locked="0"/>
    </xf>
    <xf numFmtId="0" fontId="92" fillId="0" borderId="0" xfId="1" applyFont="1" applyAlignment="1" applyProtection="1">
      <alignment vertical="center"/>
      <protection locked="0"/>
    </xf>
    <xf numFmtId="0" fontId="92" fillId="0" borderId="0" xfId="1" applyFont="1" applyAlignment="1" applyProtection="1">
      <alignment horizontal="center" vertical="center"/>
      <protection locked="0"/>
    </xf>
    <xf numFmtId="1" fontId="30" fillId="0" borderId="10" xfId="1" applyNumberFormat="1" applyFont="1" applyFill="1" applyBorder="1" applyAlignment="1" applyProtection="1">
      <alignment horizontal="center" vertical="center" wrapText="1"/>
      <protection locked="0"/>
    </xf>
    <xf numFmtId="14" fontId="30" fillId="0" borderId="5" xfId="0" applyNumberFormat="1" applyFont="1" applyFill="1" applyBorder="1" applyAlignment="1" applyProtection="1">
      <alignment horizontal="center" vertical="center" wrapText="1"/>
    </xf>
    <xf numFmtId="0" fontId="30" fillId="0" borderId="5" xfId="0" applyFont="1" applyFill="1" applyBorder="1" applyAlignment="1" applyProtection="1">
      <alignment horizontal="center" vertical="center" wrapText="1"/>
      <protection locked="0"/>
    </xf>
    <xf numFmtId="14" fontId="30" fillId="0" borderId="5" xfId="0" applyNumberFormat="1" applyFont="1" applyFill="1" applyBorder="1" applyAlignment="1" applyProtection="1">
      <alignment horizontal="center" vertical="center" wrapText="1"/>
      <protection locked="0"/>
    </xf>
    <xf numFmtId="14" fontId="30" fillId="29" borderId="5" xfId="0" applyNumberFormat="1" applyFont="1" applyFill="1" applyBorder="1" applyAlignment="1" applyProtection="1">
      <alignment horizontal="center" vertical="center" wrapText="1"/>
      <protection locked="0"/>
    </xf>
    <xf numFmtId="14" fontId="30" fillId="31" borderId="5" xfId="0" applyNumberFormat="1" applyFont="1" applyFill="1" applyBorder="1" applyAlignment="1" applyProtection="1">
      <alignment horizontal="center" vertical="center" wrapText="1"/>
      <protection locked="0"/>
    </xf>
    <xf numFmtId="14" fontId="30" fillId="21" borderId="5" xfId="0" applyNumberFormat="1" applyFont="1" applyFill="1" applyBorder="1" applyAlignment="1" applyProtection="1">
      <alignment horizontal="center" vertical="center" wrapText="1"/>
      <protection locked="0"/>
    </xf>
    <xf numFmtId="14" fontId="30" fillId="12" borderId="5" xfId="0" applyNumberFormat="1" applyFont="1" applyFill="1" applyBorder="1" applyAlignment="1" applyProtection="1">
      <alignment horizontal="center" vertical="center" wrapText="1"/>
      <protection locked="0"/>
    </xf>
    <xf numFmtId="14" fontId="30" fillId="19" borderId="5" xfId="0" applyNumberFormat="1" applyFont="1" applyFill="1" applyBorder="1" applyAlignment="1" applyProtection="1">
      <alignment horizontal="center" vertical="center" wrapText="1"/>
      <protection locked="0"/>
    </xf>
    <xf numFmtId="1" fontId="49" fillId="0" borderId="5" xfId="0" applyNumberFormat="1" applyFont="1" applyFill="1" applyBorder="1" applyAlignment="1" applyProtection="1">
      <alignment horizontal="center" vertical="center" wrapText="1"/>
      <protection locked="0"/>
    </xf>
    <xf numFmtId="1" fontId="49" fillId="0" borderId="12" xfId="0" applyNumberFormat="1" applyFont="1" applyFill="1" applyBorder="1" applyAlignment="1" applyProtection="1">
      <alignment horizontal="center" vertical="center" wrapText="1"/>
      <protection locked="0"/>
    </xf>
    <xf numFmtId="1" fontId="49" fillId="0" borderId="10" xfId="0" applyNumberFormat="1" applyFont="1" applyFill="1" applyBorder="1" applyAlignment="1" applyProtection="1">
      <alignment horizontal="center" vertical="center" wrapText="1"/>
      <protection locked="0"/>
    </xf>
    <xf numFmtId="4" fontId="30" fillId="0" borderId="31" xfId="0" applyNumberFormat="1" applyFont="1" applyFill="1" applyBorder="1" applyAlignment="1" applyProtection="1">
      <alignment horizontal="center" vertical="center" wrapText="1"/>
      <protection locked="0"/>
    </xf>
    <xf numFmtId="1" fontId="49" fillId="0" borderId="38" xfId="0" applyNumberFormat="1" applyFont="1" applyFill="1" applyBorder="1" applyAlignment="1" applyProtection="1">
      <alignment horizontal="center" vertical="center" wrapText="1"/>
      <protection locked="0"/>
    </xf>
    <xf numFmtId="0" fontId="0" fillId="0" borderId="0" xfId="0" applyAlignment="1">
      <alignment wrapText="1"/>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12" borderId="5" xfId="0" applyNumberFormat="1" applyFont="1" applyFill="1" applyBorder="1" applyAlignment="1" applyProtection="1">
      <alignment horizontal="center" vertical="center" wrapText="1"/>
      <protection locked="0"/>
    </xf>
    <xf numFmtId="3" fontId="49" fillId="21" borderId="5" xfId="0" applyNumberFormat="1"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0" fontId="27" fillId="0" borderId="0" xfId="0" applyFont="1" applyAlignment="1" applyProtection="1">
      <alignment horizontal="center" vertical="center"/>
      <protection locked="0"/>
    </xf>
    <xf numFmtId="1" fontId="32" fillId="0" borderId="10" xfId="1" applyNumberFormat="1" applyFont="1" applyFill="1" applyBorder="1" applyAlignment="1" applyProtection="1">
      <alignment horizontal="center" vertical="center" wrapText="1"/>
    </xf>
    <xf numFmtId="1" fontId="49" fillId="0" borderId="5" xfId="0" applyNumberFormat="1" applyFont="1" applyFill="1" applyBorder="1" applyAlignment="1" applyProtection="1">
      <alignment horizontal="center" vertical="center" wrapText="1"/>
      <protection locked="0"/>
    </xf>
    <xf numFmtId="1" fontId="49" fillId="0" borderId="12" xfId="0" applyNumberFormat="1" applyFont="1" applyFill="1" applyBorder="1" applyAlignment="1" applyProtection="1">
      <alignment horizontal="center" vertical="center" wrapText="1"/>
      <protection locked="0"/>
    </xf>
    <xf numFmtId="3" fontId="49" fillId="0" borderId="31" xfId="0" applyNumberFormat="1" applyFont="1" applyFill="1" applyBorder="1" applyAlignment="1" applyProtection="1">
      <alignment horizontal="center" vertical="center" wrapText="1"/>
      <protection locked="0"/>
    </xf>
    <xf numFmtId="3" fontId="49" fillId="2" borderId="53" xfId="0" applyNumberFormat="1" applyFont="1" applyFill="1" applyBorder="1" applyAlignment="1" applyProtection="1">
      <alignment horizontal="center" vertical="center" wrapText="1"/>
    </xf>
    <xf numFmtId="4" fontId="49" fillId="2" borderId="47" xfId="0" applyNumberFormat="1" applyFont="1" applyFill="1" applyBorder="1" applyAlignment="1" applyProtection="1">
      <alignment horizontal="center" vertical="center" wrapText="1"/>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2" borderId="4" xfId="0" applyNumberFormat="1" applyFont="1" applyFill="1" applyBorder="1" applyAlignment="1" applyProtection="1">
      <alignment horizontal="center" vertical="center" wrapText="1"/>
    </xf>
    <xf numFmtId="4" fontId="49" fillId="2" borderId="6" xfId="0" applyNumberFormat="1" applyFont="1" applyFill="1" applyBorder="1" applyAlignment="1" applyProtection="1">
      <alignment horizontal="center" vertical="center" wrapText="1"/>
    </xf>
    <xf numFmtId="1" fontId="49" fillId="2" borderId="13" xfId="0" applyNumberFormat="1" applyFont="1" applyFill="1" applyBorder="1" applyAlignment="1" applyProtection="1">
      <alignment horizontal="center" vertical="center"/>
    </xf>
    <xf numFmtId="1" fontId="49" fillId="2" borderId="5" xfId="0" applyNumberFormat="1" applyFont="1" applyFill="1" applyBorder="1" applyAlignment="1" applyProtection="1">
      <alignment horizontal="center" vertical="center"/>
    </xf>
    <xf numFmtId="4" fontId="49" fillId="2" borderId="6" xfId="0" applyNumberFormat="1" applyFont="1" applyFill="1" applyBorder="1" applyAlignment="1" applyProtection="1">
      <alignment horizontal="center" vertical="center"/>
    </xf>
    <xf numFmtId="4" fontId="49" fillId="2" borderId="39" xfId="0" applyNumberFormat="1" applyFont="1" applyFill="1" applyBorder="1" applyAlignment="1" applyProtection="1">
      <alignment horizontal="center" vertical="center" wrapText="1"/>
    </xf>
    <xf numFmtId="1" fontId="49" fillId="0" borderId="10" xfId="0" applyNumberFormat="1" applyFont="1" applyFill="1" applyBorder="1" applyAlignment="1" applyProtection="1">
      <alignment horizontal="center" vertical="center" wrapText="1"/>
      <protection locked="0"/>
    </xf>
    <xf numFmtId="4" fontId="49" fillId="0" borderId="31" xfId="0" applyNumberFormat="1" applyFont="1" applyFill="1" applyBorder="1" applyAlignment="1" applyProtection="1">
      <alignment horizontal="center" vertical="center" wrapText="1"/>
    </xf>
    <xf numFmtId="1" fontId="49" fillId="0" borderId="22" xfId="0" applyNumberFormat="1" applyFont="1" applyFill="1" applyBorder="1" applyAlignment="1" applyProtection="1">
      <alignment horizontal="center" vertical="center" wrapText="1"/>
      <protection locked="0"/>
    </xf>
    <xf numFmtId="3" fontId="49" fillId="2" borderId="53" xfId="0" applyNumberFormat="1" applyFont="1" applyFill="1" applyBorder="1" applyAlignment="1" applyProtection="1">
      <alignment horizontal="center" vertical="center" wrapText="1"/>
      <protection locked="0"/>
    </xf>
    <xf numFmtId="0" fontId="74" fillId="0" borderId="0" xfId="0" applyFont="1" applyAlignment="1" applyProtection="1">
      <alignment horizontal="center" vertical="center"/>
      <protection locked="0"/>
    </xf>
    <xf numFmtId="3" fontId="49" fillId="29" borderId="4" xfId="0" applyNumberFormat="1" applyFont="1" applyFill="1" applyBorder="1" applyAlignment="1" applyProtection="1">
      <alignment horizontal="center" vertical="center" wrapText="1"/>
      <protection locked="0"/>
    </xf>
    <xf numFmtId="3" fontId="49" fillId="29" borderId="5" xfId="0" applyNumberFormat="1" applyFont="1" applyFill="1" applyBorder="1" applyAlignment="1" applyProtection="1">
      <alignment horizontal="center" vertical="center" wrapText="1"/>
      <protection locked="0"/>
    </xf>
    <xf numFmtId="3" fontId="49" fillId="12" borderId="5" xfId="0" applyNumberFormat="1" applyFont="1" applyFill="1" applyBorder="1" applyAlignment="1" applyProtection="1">
      <alignment horizontal="center" vertical="center" wrapText="1"/>
      <protection locked="0"/>
    </xf>
    <xf numFmtId="3" fontId="49" fillId="24" borderId="5" xfId="0" applyNumberFormat="1" applyFont="1" applyFill="1" applyBorder="1" applyAlignment="1" applyProtection="1">
      <alignment horizontal="center" vertical="center" wrapText="1"/>
      <protection locked="0"/>
    </xf>
    <xf numFmtId="3" fontId="49" fillId="31" borderId="5" xfId="0" applyNumberFormat="1" applyFont="1" applyFill="1" applyBorder="1" applyAlignment="1" applyProtection="1">
      <alignment horizontal="center" vertical="center" wrapText="1"/>
      <protection locked="0"/>
    </xf>
    <xf numFmtId="3" fontId="49" fillId="21" borderId="5" xfId="0" applyNumberFormat="1" applyFont="1" applyFill="1" applyBorder="1" applyAlignment="1" applyProtection="1">
      <alignment horizontal="center" vertical="center" wrapText="1"/>
      <protection locked="0"/>
    </xf>
    <xf numFmtId="3" fontId="49" fillId="12" borderId="12" xfId="0" applyNumberFormat="1"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1" fontId="30" fillId="0" borderId="10" xfId="1" applyNumberFormat="1" applyFont="1" applyFill="1" applyBorder="1" applyAlignment="1" applyProtection="1">
      <alignment horizontal="center" vertical="center" wrapText="1"/>
      <protection locked="0"/>
    </xf>
    <xf numFmtId="1" fontId="30" fillId="32" borderId="10" xfId="1" applyNumberFormat="1" applyFont="1" applyFill="1" applyBorder="1" applyAlignment="1" applyProtection="1">
      <alignment horizontal="center" vertical="center" wrapText="1"/>
      <protection locked="0"/>
    </xf>
    <xf numFmtId="1" fontId="88" fillId="0" borderId="10" xfId="1" applyNumberFormat="1" applyFont="1" applyFill="1" applyBorder="1" applyAlignment="1" applyProtection="1">
      <alignment horizontal="center" vertical="center" wrapText="1"/>
      <protection locked="0"/>
    </xf>
    <xf numFmtId="0" fontId="30" fillId="0" borderId="5" xfId="0" applyFont="1" applyFill="1" applyBorder="1" applyAlignment="1" applyProtection="1">
      <alignment horizontal="left" vertical="center" wrapText="1"/>
      <protection locked="0"/>
    </xf>
    <xf numFmtId="0" fontId="30" fillId="0" borderId="5" xfId="0" applyFont="1" applyFill="1" applyBorder="1" applyAlignment="1" applyProtection="1">
      <alignment horizontal="center" vertical="center" wrapText="1"/>
      <protection locked="0"/>
    </xf>
    <xf numFmtId="0" fontId="30" fillId="0" borderId="12" xfId="0" applyFont="1" applyFill="1" applyBorder="1" applyAlignment="1" applyProtection="1">
      <alignment horizontal="center" vertical="center" wrapText="1"/>
      <protection locked="0"/>
    </xf>
    <xf numFmtId="0" fontId="30" fillId="0" borderId="5" xfId="0" applyFont="1" applyBorder="1" applyAlignment="1" applyProtection="1">
      <alignment horizontal="left" vertical="top" wrapText="1"/>
      <protection locked="0"/>
    </xf>
    <xf numFmtId="0" fontId="30" fillId="0" borderId="47" xfId="0" applyFont="1" applyFill="1" applyBorder="1" applyAlignment="1" applyProtection="1">
      <alignment horizontal="center" vertical="center" wrapText="1"/>
      <protection locked="0"/>
    </xf>
    <xf numFmtId="0" fontId="88" fillId="0" borderId="5" xfId="0" applyFont="1" applyFill="1" applyBorder="1" applyAlignment="1" applyProtection="1">
      <alignment horizontal="center" vertical="center" wrapText="1"/>
      <protection locked="0"/>
    </xf>
    <xf numFmtId="4" fontId="30" fillId="0" borderId="5" xfId="0" applyNumberFormat="1" applyFont="1" applyFill="1" applyBorder="1" applyAlignment="1" applyProtection="1">
      <alignment horizontal="center" vertical="center" wrapText="1"/>
      <protection locked="0"/>
    </xf>
    <xf numFmtId="0" fontId="90" fillId="0" borderId="5" xfId="0" applyFont="1" applyFill="1" applyBorder="1" applyAlignment="1" applyProtection="1">
      <alignment horizontal="center" vertical="center" wrapText="1"/>
      <protection locked="0"/>
    </xf>
    <xf numFmtId="0" fontId="90" fillId="0" borderId="47" xfId="0" applyFont="1" applyFill="1" applyBorder="1" applyAlignment="1" applyProtection="1">
      <alignment horizontal="center" vertical="center" wrapText="1"/>
      <protection locked="0"/>
    </xf>
    <xf numFmtId="0" fontId="88" fillId="0" borderId="47" xfId="0" applyFont="1" applyFill="1" applyBorder="1" applyAlignment="1" applyProtection="1">
      <alignment horizontal="center" vertical="center" wrapText="1"/>
      <protection locked="0"/>
    </xf>
    <xf numFmtId="0" fontId="88" fillId="0" borderId="12" xfId="0" applyFont="1" applyFill="1" applyBorder="1" applyAlignment="1" applyProtection="1">
      <alignment horizontal="center" vertical="center" wrapText="1"/>
      <protection locked="0"/>
    </xf>
    <xf numFmtId="0" fontId="87" fillId="0" borderId="47" xfId="0" applyFont="1" applyFill="1" applyBorder="1" applyAlignment="1" applyProtection="1">
      <alignment horizontal="center" vertical="center" wrapText="1"/>
      <protection locked="0"/>
    </xf>
    <xf numFmtId="0" fontId="87" fillId="0" borderId="5" xfId="0" applyFont="1" applyFill="1" applyBorder="1" applyAlignment="1" applyProtection="1">
      <alignment horizontal="center" vertical="center" wrapText="1"/>
      <protection locked="0"/>
    </xf>
    <xf numFmtId="0" fontId="30" fillId="0" borderId="5" xfId="0" applyFont="1" applyFill="1" applyBorder="1" applyAlignment="1" applyProtection="1">
      <alignment horizontal="left" vertical="center" wrapText="1"/>
      <protection locked="0"/>
    </xf>
    <xf numFmtId="0" fontId="30" fillId="0" borderId="5" xfId="0" applyFont="1" applyFill="1" applyBorder="1" applyAlignment="1" applyProtection="1">
      <alignment horizontal="center" vertical="center" wrapText="1"/>
      <protection locked="0"/>
    </xf>
    <xf numFmtId="0" fontId="30" fillId="0" borderId="12" xfId="0" applyFont="1" applyFill="1" applyBorder="1" applyAlignment="1" applyProtection="1">
      <alignment horizontal="center" vertical="center" wrapText="1"/>
      <protection locked="0"/>
    </xf>
    <xf numFmtId="0" fontId="30" fillId="0" borderId="5" xfId="0" applyFont="1" applyBorder="1" applyAlignment="1" applyProtection="1">
      <alignment horizontal="left" vertical="top" wrapText="1"/>
      <protection locked="0"/>
    </xf>
    <xf numFmtId="0" fontId="30" fillId="0" borderId="47" xfId="0" applyFont="1" applyFill="1" applyBorder="1" applyAlignment="1" applyProtection="1">
      <alignment horizontal="center" vertical="center" wrapText="1"/>
      <protection locked="0"/>
    </xf>
    <xf numFmtId="0" fontId="30" fillId="0" borderId="5" xfId="0" applyFont="1" applyBorder="1" applyAlignment="1" applyProtection="1">
      <alignment horizontal="center" vertical="top" wrapText="1"/>
      <protection locked="0"/>
    </xf>
    <xf numFmtId="3" fontId="49" fillId="0" borderId="31" xfId="0" applyNumberFormat="1" applyFont="1" applyFill="1" applyBorder="1" applyAlignment="1" applyProtection="1">
      <alignment horizontal="center" vertical="center" wrapText="1"/>
      <protection locked="0"/>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2" borderId="4" xfId="0" applyNumberFormat="1" applyFont="1" applyFill="1" applyBorder="1" applyAlignment="1" applyProtection="1">
      <alignment horizontal="center" vertical="center" wrapText="1"/>
    </xf>
    <xf numFmtId="4" fontId="49" fillId="2" borderId="6" xfId="0" applyNumberFormat="1" applyFont="1" applyFill="1" applyBorder="1" applyAlignment="1" applyProtection="1">
      <alignment horizontal="center" vertical="center" wrapText="1"/>
    </xf>
    <xf numFmtId="1" fontId="49" fillId="2" borderId="13" xfId="0" applyNumberFormat="1" applyFont="1" applyFill="1" applyBorder="1" applyAlignment="1" applyProtection="1">
      <alignment horizontal="center" vertical="center"/>
    </xf>
    <xf numFmtId="3" fontId="49" fillId="0" borderId="38" xfId="0" applyNumberFormat="1" applyFont="1" applyFill="1" applyBorder="1" applyAlignment="1" applyProtection="1">
      <alignment horizontal="center" vertical="center" wrapText="1"/>
      <protection locked="0"/>
    </xf>
    <xf numFmtId="3" fontId="49" fillId="0" borderId="10" xfId="0" applyNumberFormat="1" applyFont="1" applyFill="1" applyBorder="1" applyAlignment="1" applyProtection="1">
      <alignment horizontal="center" vertical="center" wrapText="1"/>
      <protection locked="0"/>
    </xf>
    <xf numFmtId="3" fontId="49" fillId="0" borderId="52" xfId="0" applyNumberFormat="1" applyFont="1" applyFill="1" applyBorder="1" applyAlignment="1" applyProtection="1">
      <alignment horizontal="center" vertical="center" wrapText="1"/>
      <protection locked="0"/>
    </xf>
    <xf numFmtId="3" fontId="49" fillId="0" borderId="25" xfId="0" applyNumberFormat="1" applyFont="1" applyFill="1" applyBorder="1" applyAlignment="1" applyProtection="1">
      <alignment horizontal="center" vertical="center" wrapText="1"/>
      <protection locked="0"/>
    </xf>
    <xf numFmtId="3" fontId="49" fillId="0" borderId="64" xfId="0" applyNumberFormat="1" applyFont="1" applyFill="1" applyBorder="1" applyAlignment="1" applyProtection="1">
      <alignment horizontal="center" vertical="center" wrapText="1"/>
      <protection locked="0"/>
    </xf>
    <xf numFmtId="3" fontId="49" fillId="0" borderId="47" xfId="0" applyNumberFormat="1" applyFont="1" applyFill="1" applyBorder="1" applyAlignment="1" applyProtection="1">
      <alignment horizontal="center" vertical="center" wrapText="1"/>
      <protection locked="0"/>
    </xf>
    <xf numFmtId="3" fontId="49" fillId="27" borderId="5" xfId="0" applyNumberFormat="1" applyFont="1" applyFill="1" applyBorder="1" applyAlignment="1" applyProtection="1">
      <alignment horizontal="center" vertical="center" wrapText="1"/>
      <protection locked="0"/>
    </xf>
    <xf numFmtId="3" fontId="49" fillId="25" borderId="5" xfId="0" applyNumberFormat="1" applyFont="1" applyFill="1" applyBorder="1" applyAlignment="1" applyProtection="1">
      <alignment horizontal="center" vertical="center" wrapText="1"/>
      <protection locked="0"/>
    </xf>
    <xf numFmtId="3" fontId="49" fillId="12" borderId="5" xfId="0" applyNumberFormat="1" applyFont="1" applyFill="1" applyBorder="1" applyAlignment="1" applyProtection="1">
      <alignment horizontal="center" vertical="center" wrapText="1"/>
      <protection locked="0"/>
    </xf>
    <xf numFmtId="3" fontId="49" fillId="12" borderId="12" xfId="0" applyNumberFormat="1"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3" fontId="49" fillId="25" borderId="31" xfId="0" applyNumberFormat="1" applyFont="1" applyFill="1" applyBorder="1" applyAlignment="1" applyProtection="1">
      <alignment horizontal="center" vertical="center" wrapText="1"/>
      <protection locked="0"/>
    </xf>
    <xf numFmtId="3" fontId="49" fillId="27" borderId="31" xfId="0" applyNumberFormat="1" applyFont="1" applyFill="1" applyBorder="1" applyAlignment="1" applyProtection="1">
      <alignment horizontal="center" vertical="center" wrapText="1"/>
      <protection locked="0"/>
    </xf>
    <xf numFmtId="3" fontId="49" fillId="27" borderId="12" xfId="0" applyNumberFormat="1" applyFont="1" applyFill="1" applyBorder="1" applyAlignment="1" applyProtection="1">
      <alignment horizontal="center" vertical="center" wrapText="1"/>
      <protection locked="0"/>
    </xf>
    <xf numFmtId="3" fontId="49" fillId="0" borderId="31" xfId="0" applyNumberFormat="1" applyFont="1" applyFill="1" applyBorder="1" applyAlignment="1" applyProtection="1">
      <alignment horizontal="center" vertical="center" wrapText="1"/>
      <protection locked="0"/>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89" fillId="0" borderId="5" xfId="0" applyNumberFormat="1" applyFont="1" applyFill="1" applyBorder="1" applyAlignment="1" applyProtection="1">
      <alignment horizontal="center" vertical="center" wrapText="1"/>
      <protection locked="0"/>
    </xf>
    <xf numFmtId="3" fontId="49" fillId="29" borderId="4" xfId="0" applyNumberFormat="1" applyFont="1" applyFill="1" applyBorder="1" applyAlignment="1" applyProtection="1">
      <alignment horizontal="center" vertical="center" wrapText="1"/>
      <protection locked="0"/>
    </xf>
    <xf numFmtId="3" fontId="49" fillId="29" borderId="5" xfId="0" applyNumberFormat="1" applyFont="1" applyFill="1" applyBorder="1" applyAlignment="1" applyProtection="1">
      <alignment horizontal="center" vertical="center" wrapText="1"/>
      <protection locked="0"/>
    </xf>
    <xf numFmtId="3" fontId="49" fillId="24" borderId="5" xfId="0" applyNumberFormat="1" applyFont="1" applyFill="1" applyBorder="1" applyAlignment="1" applyProtection="1">
      <alignment horizontal="center" vertical="center" wrapText="1"/>
      <protection locked="0"/>
    </xf>
    <xf numFmtId="3" fontId="49" fillId="30" borderId="5" xfId="0" applyNumberFormat="1" applyFont="1" applyFill="1" applyBorder="1" applyAlignment="1" applyProtection="1">
      <alignment horizontal="center" vertical="center" wrapText="1"/>
      <protection locked="0"/>
    </xf>
    <xf numFmtId="3" fontId="49" fillId="28" borderId="5" xfId="0" applyNumberFormat="1"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3" fontId="49" fillId="19" borderId="12" xfId="0" applyNumberFormat="1" applyFont="1" applyFill="1" applyBorder="1" applyAlignment="1" applyProtection="1">
      <alignment horizontal="center" vertical="center" wrapText="1"/>
      <protection locked="0"/>
    </xf>
    <xf numFmtId="3" fontId="91" fillId="0" borderId="5" xfId="0" applyNumberFormat="1" applyFont="1" applyFill="1" applyBorder="1" applyAlignment="1" applyProtection="1">
      <alignment horizontal="center" vertical="center" wrapText="1"/>
      <protection locked="0"/>
    </xf>
    <xf numFmtId="0" fontId="0" fillId="0" borderId="0" xfId="0"/>
    <xf numFmtId="0" fontId="0" fillId="0" borderId="0" xfId="0" applyAlignment="1">
      <alignment horizontal="left"/>
    </xf>
    <xf numFmtId="0" fontId="0" fillId="0" borderId="0" xfId="0" pivotButton="1"/>
    <xf numFmtId="0" fontId="0" fillId="0" borderId="0" xfId="0" applyNumberFormat="1"/>
    <xf numFmtId="3" fontId="0" fillId="0" borderId="0" xfId="0" applyNumberFormat="1"/>
    <xf numFmtId="3" fontId="49" fillId="0" borderId="31" xfId="0" applyNumberFormat="1" applyFont="1" applyFill="1" applyBorder="1" applyAlignment="1" applyProtection="1">
      <alignment horizontal="center" vertical="center" wrapText="1"/>
      <protection locked="0"/>
    </xf>
    <xf numFmtId="3" fontId="49" fillId="0" borderId="4" xfId="0" applyNumberFormat="1" applyFont="1" applyFill="1" applyBorder="1" applyAlignment="1" applyProtection="1">
      <alignment horizontal="center" vertical="center" wrapText="1"/>
      <protection locked="0"/>
    </xf>
    <xf numFmtId="3" fontId="49" fillId="0" borderId="5" xfId="0" applyNumberFormat="1" applyFont="1" applyFill="1" applyBorder="1" applyAlignment="1" applyProtection="1">
      <alignment horizontal="center" vertical="center" wrapText="1"/>
      <protection locked="0"/>
    </xf>
    <xf numFmtId="3" fontId="49" fillId="0" borderId="12" xfId="0" applyNumberFormat="1" applyFont="1" applyFill="1" applyBorder="1" applyAlignment="1" applyProtection="1">
      <alignment horizontal="center" vertical="center" wrapText="1"/>
      <protection locked="0"/>
    </xf>
    <xf numFmtId="3" fontId="49" fillId="0" borderId="13" xfId="0" applyNumberFormat="1" applyFont="1" applyFill="1" applyBorder="1" applyAlignment="1" applyProtection="1">
      <alignment horizontal="center" vertical="center" wrapText="1"/>
      <protection locked="0"/>
    </xf>
    <xf numFmtId="3" fontId="49" fillId="0" borderId="49" xfId="0" applyNumberFormat="1" applyFont="1" applyFill="1" applyBorder="1" applyAlignment="1" applyProtection="1">
      <alignment horizontal="center" vertical="center" wrapText="1"/>
      <protection locked="0"/>
    </xf>
    <xf numFmtId="4" fontId="49" fillId="0" borderId="31" xfId="0" applyNumberFormat="1" applyFont="1" applyFill="1" applyBorder="1" applyAlignment="1" applyProtection="1">
      <alignment horizontal="center" vertical="center" wrapText="1"/>
    </xf>
    <xf numFmtId="0" fontId="0" fillId="0" borderId="0" xfId="0" applyAlignment="1">
      <alignment horizontal="left" indent="1"/>
    </xf>
    <xf numFmtId="3" fontId="0" fillId="0" borderId="45" xfId="0" applyNumberFormat="1" applyBorder="1"/>
    <xf numFmtId="0" fontId="71" fillId="0" borderId="32" xfId="0" pivotButton="1" applyFont="1" applyBorder="1" applyAlignment="1">
      <alignment horizontal="center"/>
    </xf>
    <xf numFmtId="0" fontId="71" fillId="0" borderId="46" xfId="0" applyFont="1" applyBorder="1"/>
    <xf numFmtId="0" fontId="71" fillId="0" borderId="45" xfId="0" applyFont="1" applyBorder="1" applyAlignment="1">
      <alignment horizontal="center"/>
    </xf>
    <xf numFmtId="0" fontId="71" fillId="0" borderId="45" xfId="0" applyFont="1" applyBorder="1"/>
    <xf numFmtId="0" fontId="71" fillId="0" borderId="73" xfId="0" applyFont="1" applyBorder="1"/>
    <xf numFmtId="3" fontId="71" fillId="0" borderId="44" xfId="0" applyNumberFormat="1" applyFont="1" applyBorder="1"/>
    <xf numFmtId="3" fontId="71" fillId="0" borderId="0" xfId="0" applyNumberFormat="1" applyFont="1" applyBorder="1"/>
    <xf numFmtId="3" fontId="71" fillId="0" borderId="75" xfId="0" applyNumberFormat="1" applyFont="1" applyBorder="1"/>
    <xf numFmtId="0" fontId="71" fillId="0" borderId="46" xfId="0" applyFont="1" applyBorder="1" applyAlignment="1">
      <alignment horizontal="center"/>
    </xf>
    <xf numFmtId="0" fontId="0" fillId="0" borderId="32" xfId="0" applyFont="1" applyBorder="1"/>
    <xf numFmtId="3" fontId="0" fillId="0" borderId="46" xfId="0" applyNumberFormat="1" applyFont="1" applyBorder="1"/>
    <xf numFmtId="3" fontId="0" fillId="0" borderId="45" xfId="0" applyNumberFormat="1" applyFont="1" applyBorder="1"/>
    <xf numFmtId="3" fontId="0" fillId="0" borderId="69" xfId="0" applyNumberFormat="1" applyFont="1" applyBorder="1"/>
    <xf numFmtId="0" fontId="71" fillId="0" borderId="26" xfId="0" pivotButton="1" applyFont="1" applyBorder="1" applyAlignment="1">
      <alignment horizontal="center"/>
    </xf>
    <xf numFmtId="3" fontId="0" fillId="0" borderId="26" xfId="0" applyNumberFormat="1" applyBorder="1" applyAlignment="1">
      <alignment horizontal="left"/>
    </xf>
    <xf numFmtId="0" fontId="71" fillId="0" borderId="32" xfId="0" applyFont="1" applyBorder="1" applyAlignment="1">
      <alignment horizontal="center"/>
    </xf>
    <xf numFmtId="0" fontId="71" fillId="0" borderId="33" xfId="0" applyFont="1" applyBorder="1" applyAlignment="1">
      <alignment horizontal="center"/>
    </xf>
    <xf numFmtId="0" fontId="71" fillId="0" borderId="34" xfId="0" applyFont="1" applyBorder="1" applyAlignment="1">
      <alignment horizontal="center"/>
    </xf>
    <xf numFmtId="3" fontId="71" fillId="0" borderId="72" xfId="0" applyNumberFormat="1" applyFont="1" applyBorder="1"/>
    <xf numFmtId="3" fontId="0" fillId="0" borderId="60" xfId="0" applyNumberFormat="1" applyBorder="1"/>
    <xf numFmtId="0" fontId="71" fillId="0" borderId="26" xfId="0" pivotButton="1" applyFont="1" applyBorder="1"/>
    <xf numFmtId="3" fontId="0" fillId="0" borderId="26" xfId="0" applyNumberFormat="1" applyBorder="1"/>
    <xf numFmtId="3" fontId="71" fillId="0" borderId="27" xfId="0" applyNumberFormat="1" applyFont="1" applyBorder="1"/>
    <xf numFmtId="3" fontId="71" fillId="0" borderId="60" xfId="0" applyNumberFormat="1" applyFont="1" applyBorder="1"/>
    <xf numFmtId="0" fontId="71" fillId="0" borderId="60" xfId="0" applyFont="1" applyBorder="1" applyAlignment="1">
      <alignment horizontal="center"/>
    </xf>
    <xf numFmtId="3" fontId="71" fillId="0" borderId="73" xfId="0" applyNumberFormat="1" applyFont="1" applyBorder="1"/>
    <xf numFmtId="3" fontId="71" fillId="0" borderId="71" xfId="0" applyNumberFormat="1" applyFont="1" applyBorder="1"/>
    <xf numFmtId="3" fontId="71" fillId="0" borderId="74" xfId="0" applyNumberFormat="1" applyFont="1" applyBorder="1"/>
    <xf numFmtId="0" fontId="71" fillId="0" borderId="34" xfId="0" applyFont="1" applyBorder="1"/>
    <xf numFmtId="3" fontId="69" fillId="0" borderId="72" xfId="0" applyNumberFormat="1" applyFont="1" applyBorder="1"/>
    <xf numFmtId="3" fontId="0" fillId="0" borderId="60" xfId="0" applyNumberFormat="1" applyFont="1" applyBorder="1"/>
    <xf numFmtId="0" fontId="71" fillId="0" borderId="69" xfId="0" applyFont="1" applyBorder="1" applyAlignment="1">
      <alignment horizontal="center"/>
    </xf>
    <xf numFmtId="3" fontId="0" fillId="0" borderId="69" xfId="0" applyNumberFormat="1" applyBorder="1"/>
    <xf numFmtId="3" fontId="71" fillId="0" borderId="26" xfId="0" applyNumberFormat="1" applyFont="1" applyBorder="1" applyAlignment="1">
      <alignment horizontal="left"/>
    </xf>
    <xf numFmtId="4" fontId="0" fillId="0" borderId="0" xfId="0" applyNumberFormat="1"/>
    <xf numFmtId="0" fontId="71" fillId="0" borderId="0" xfId="0" applyFont="1" applyAlignment="1">
      <alignment horizontal="left"/>
    </xf>
    <xf numFmtId="0" fontId="71" fillId="0" borderId="0" xfId="0" applyFont="1" applyAlignment="1">
      <alignment horizontal="left" indent="1"/>
    </xf>
    <xf numFmtId="0" fontId="71" fillId="0" borderId="0" xfId="0" applyFont="1" applyAlignment="1">
      <alignment horizontal="left" indent="2"/>
    </xf>
    <xf numFmtId="0" fontId="71" fillId="0" borderId="0" xfId="0" applyFont="1" applyAlignment="1">
      <alignment horizontal="left" indent="3"/>
    </xf>
    <xf numFmtId="4" fontId="71" fillId="0" borderId="75" xfId="0" applyNumberFormat="1" applyFont="1" applyBorder="1"/>
    <xf numFmtId="4" fontId="71" fillId="0" borderId="34" xfId="0" applyNumberFormat="1" applyFont="1" applyBorder="1"/>
    <xf numFmtId="4" fontId="71" fillId="0" borderId="74" xfId="0" applyNumberFormat="1" applyFont="1" applyBorder="1"/>
    <xf numFmtId="0" fontId="71" fillId="0" borderId="33" xfId="0" applyFont="1" applyBorder="1"/>
    <xf numFmtId="0" fontId="71" fillId="0" borderId="32" xfId="0" pivotButton="1" applyFont="1" applyBorder="1"/>
    <xf numFmtId="0" fontId="71" fillId="0" borderId="32" xfId="0" applyFont="1" applyBorder="1" applyAlignment="1">
      <alignment horizontal="left"/>
    </xf>
    <xf numFmtId="0" fontId="71" fillId="0" borderId="71" xfId="0" applyNumberFormat="1" applyFont="1" applyBorder="1" applyAlignment="1">
      <alignment horizontal="center"/>
    </xf>
    <xf numFmtId="0" fontId="71" fillId="0" borderId="0" xfId="0" applyNumberFormat="1" applyFont="1" applyBorder="1" applyAlignment="1">
      <alignment horizontal="center"/>
    </xf>
    <xf numFmtId="0" fontId="71" fillId="0" borderId="33" xfId="0" applyNumberFormat="1" applyFont="1" applyBorder="1" applyAlignment="1">
      <alignment horizontal="center"/>
    </xf>
    <xf numFmtId="4" fontId="30" fillId="0" borderId="5" xfId="0" applyNumberFormat="1" applyFont="1" applyFill="1" applyBorder="1" applyAlignment="1" applyProtection="1">
      <alignment horizontal="center" vertical="center" wrapText="1"/>
      <protection locked="0"/>
    </xf>
    <xf numFmtId="0" fontId="88" fillId="0" borderId="47" xfId="0" applyFont="1" applyFill="1" applyBorder="1" applyAlignment="1" applyProtection="1">
      <alignment horizontal="center" vertical="center" wrapText="1"/>
      <protection locked="0"/>
    </xf>
    <xf numFmtId="3" fontId="49" fillId="19" borderId="5" xfId="0" applyNumberFormat="1" applyFont="1" applyFill="1" applyBorder="1" applyAlignment="1" applyProtection="1">
      <alignment horizontal="center" vertical="center" wrapText="1"/>
      <protection locked="0"/>
    </xf>
    <xf numFmtId="3" fontId="49" fillId="19" borderId="12" xfId="0" applyNumberFormat="1" applyFont="1" applyFill="1" applyBorder="1" applyAlignment="1" applyProtection="1">
      <alignment horizontal="center" vertical="center" wrapText="1"/>
      <protection locked="0"/>
    </xf>
    <xf numFmtId="3" fontId="91" fillId="0" borderId="5" xfId="0" applyNumberFormat="1" applyFont="1" applyFill="1" applyBorder="1" applyAlignment="1" applyProtection="1">
      <alignment horizontal="center" vertical="center" wrapText="1"/>
      <protection locked="0"/>
    </xf>
    <xf numFmtId="1" fontId="33" fillId="0" borderId="12" xfId="1" applyNumberFormat="1" applyFont="1" applyFill="1" applyBorder="1" applyAlignment="1" applyProtection="1">
      <alignment horizontal="center" vertical="center" wrapText="1"/>
      <protection locked="0"/>
    </xf>
    <xf numFmtId="1" fontId="33" fillId="0" borderId="24" xfId="1" applyNumberFormat="1" applyFont="1" applyFill="1" applyBorder="1" applyAlignment="1" applyProtection="1">
      <alignment horizontal="center" vertical="center" wrapText="1"/>
      <protection locked="0"/>
    </xf>
    <xf numFmtId="1" fontId="33" fillId="0" borderId="29" xfId="1" applyNumberFormat="1" applyFont="1" applyFill="1" applyBorder="1" applyAlignment="1" applyProtection="1">
      <alignment horizontal="center" vertical="center" wrapText="1"/>
      <protection locked="0"/>
    </xf>
    <xf numFmtId="1" fontId="33" fillId="0" borderId="62" xfId="1" applyNumberFormat="1" applyFont="1" applyFill="1" applyBorder="1" applyAlignment="1" applyProtection="1">
      <alignment horizontal="center" vertical="center" wrapText="1"/>
      <protection locked="0"/>
    </xf>
    <xf numFmtId="1" fontId="55" fillId="0" borderId="12" xfId="1" applyNumberFormat="1" applyFont="1" applyFill="1" applyBorder="1" applyAlignment="1" applyProtection="1">
      <alignment horizontal="center" vertical="center" wrapText="1"/>
      <protection locked="0"/>
    </xf>
    <xf numFmtId="1" fontId="55" fillId="0" borderId="24" xfId="1" applyNumberFormat="1" applyFont="1" applyFill="1" applyBorder="1" applyAlignment="1" applyProtection="1">
      <alignment horizontal="center" vertical="center" wrapText="1"/>
      <protection locked="0"/>
    </xf>
    <xf numFmtId="49" fontId="52" fillId="0" borderId="0" xfId="1" applyNumberFormat="1" applyFont="1" applyBorder="1" applyAlignment="1" applyProtection="1">
      <alignment horizontal="center" vertical="center"/>
      <protection locked="0"/>
    </xf>
    <xf numFmtId="0" fontId="34" fillId="0" borderId="0" xfId="0" applyFont="1" applyAlignment="1" applyProtection="1">
      <alignment horizontal="left" vertical="center" wrapText="1"/>
      <protection locked="0"/>
    </xf>
    <xf numFmtId="1" fontId="33" fillId="0" borderId="1" xfId="1" applyNumberFormat="1" applyFont="1" applyFill="1" applyBorder="1" applyAlignment="1" applyProtection="1">
      <alignment horizontal="left" vertical="center" wrapText="1"/>
      <protection locked="0"/>
    </xf>
    <xf numFmtId="1" fontId="33" fillId="0" borderId="2" xfId="1" applyNumberFormat="1" applyFont="1" applyFill="1" applyBorder="1" applyAlignment="1" applyProtection="1">
      <alignment horizontal="left" vertical="center" wrapText="1"/>
      <protection locked="0"/>
    </xf>
    <xf numFmtId="1" fontId="33" fillId="0" borderId="4" xfId="1" applyNumberFormat="1" applyFont="1" applyFill="1" applyBorder="1" applyAlignment="1" applyProtection="1">
      <alignment horizontal="left" vertical="center" wrapText="1"/>
      <protection locked="0"/>
    </xf>
    <xf numFmtId="1" fontId="33" fillId="0" borderId="5" xfId="1" applyNumberFormat="1" applyFont="1" applyFill="1" applyBorder="1" applyAlignment="1" applyProtection="1">
      <alignment horizontal="left" vertical="center" wrapText="1"/>
      <protection locked="0"/>
    </xf>
    <xf numFmtId="1" fontId="63" fillId="0" borderId="4" xfId="1" applyNumberFormat="1" applyFont="1" applyFill="1" applyBorder="1" applyAlignment="1" applyProtection="1">
      <alignment horizontal="left" vertical="center" wrapText="1"/>
      <protection locked="0"/>
    </xf>
    <xf numFmtId="1" fontId="63" fillId="0" borderId="5" xfId="1" applyNumberFormat="1" applyFont="1" applyFill="1" applyBorder="1" applyAlignment="1" applyProtection="1">
      <alignment horizontal="left" vertical="center" wrapText="1"/>
      <protection locked="0"/>
    </xf>
    <xf numFmtId="0" fontId="33" fillId="0" borderId="50" xfId="0" applyFont="1" applyFill="1" applyBorder="1" applyAlignment="1" applyProtection="1">
      <alignment horizontal="left" vertical="center"/>
      <protection locked="0"/>
    </xf>
    <xf numFmtId="0" fontId="33" fillId="0" borderId="42" xfId="0" applyFont="1" applyFill="1" applyBorder="1" applyAlignment="1" applyProtection="1">
      <alignment horizontal="left" vertical="center"/>
      <protection locked="0"/>
    </xf>
    <xf numFmtId="0" fontId="33" fillId="0" borderId="36" xfId="0" applyFont="1" applyFill="1" applyBorder="1" applyAlignment="1" applyProtection="1">
      <alignment horizontal="left" vertical="center"/>
      <protection locked="0"/>
    </xf>
    <xf numFmtId="0" fontId="33" fillId="0" borderId="37" xfId="0" applyFont="1" applyFill="1" applyBorder="1" applyAlignment="1" applyProtection="1">
      <alignment horizontal="left" vertical="center"/>
      <protection locked="0"/>
    </xf>
    <xf numFmtId="1" fontId="33" fillId="0" borderId="35" xfId="1" applyNumberFormat="1" applyFont="1" applyFill="1" applyBorder="1" applyAlignment="1" applyProtection="1">
      <alignment horizontal="left" vertical="center" wrapText="1"/>
      <protection locked="0"/>
    </xf>
    <xf numFmtId="1" fontId="33" fillId="0" borderId="13" xfId="1" applyNumberFormat="1" applyFont="1" applyFill="1" applyBorder="1" applyAlignment="1" applyProtection="1">
      <alignment horizontal="left" vertical="center" wrapText="1"/>
      <protection locked="0"/>
    </xf>
    <xf numFmtId="4" fontId="49" fillId="0" borderId="12" xfId="0" applyNumberFormat="1" applyFont="1" applyFill="1" applyBorder="1" applyAlignment="1" applyProtection="1">
      <alignment horizontal="center" vertical="center"/>
      <protection locked="0"/>
    </xf>
    <xf numFmtId="4" fontId="49" fillId="0" borderId="13" xfId="0" applyNumberFormat="1" applyFont="1" applyFill="1" applyBorder="1" applyAlignment="1" applyProtection="1">
      <alignment horizontal="center" vertical="center"/>
      <protection locked="0"/>
    </xf>
    <xf numFmtId="1" fontId="94" fillId="0" borderId="0" xfId="1" applyNumberFormat="1" applyFont="1" applyBorder="1" applyAlignment="1" applyProtection="1">
      <alignment horizontal="center" vertical="center" wrapText="1"/>
      <protection locked="0"/>
    </xf>
    <xf numFmtId="0" fontId="32" fillId="17" borderId="50" xfId="0" applyFont="1" applyFill="1" applyBorder="1" applyAlignment="1" applyProtection="1">
      <alignment horizontal="center" vertical="center" wrapText="1"/>
      <protection locked="0"/>
    </xf>
    <xf numFmtId="0" fontId="32" fillId="17" borderId="36" xfId="0" applyFont="1" applyFill="1" applyBorder="1" applyAlignment="1" applyProtection="1">
      <alignment horizontal="center" vertical="center" wrapText="1"/>
      <protection locked="0"/>
    </xf>
    <xf numFmtId="0" fontId="32" fillId="17" borderId="1" xfId="0" applyFont="1" applyFill="1" applyBorder="1" applyAlignment="1" applyProtection="1">
      <alignment horizontal="center" vertical="center" wrapText="1"/>
      <protection locked="0"/>
    </xf>
    <xf numFmtId="0" fontId="32" fillId="17" borderId="29" xfId="0" applyFont="1" applyFill="1" applyBorder="1" applyAlignment="1" applyProtection="1">
      <alignment horizontal="center" vertical="center" wrapText="1"/>
      <protection locked="0"/>
    </xf>
    <xf numFmtId="0" fontId="32" fillId="17" borderId="7" xfId="0" applyFont="1" applyFill="1" applyBorder="1" applyAlignment="1" applyProtection="1">
      <alignment horizontal="center" vertical="center" wrapText="1"/>
      <protection locked="0"/>
    </xf>
    <xf numFmtId="0" fontId="32" fillId="17" borderId="9" xfId="0" applyFont="1" applyFill="1" applyBorder="1" applyAlignment="1" applyProtection="1">
      <alignment horizontal="center" vertical="center" wrapText="1"/>
      <protection locked="0"/>
    </xf>
    <xf numFmtId="10" fontId="32" fillId="17" borderId="26" xfId="0" applyNumberFormat="1" applyFont="1" applyFill="1" applyBorder="1" applyAlignment="1" applyProtection="1">
      <alignment horizontal="center" vertical="center"/>
      <protection locked="0"/>
    </xf>
    <xf numFmtId="0" fontId="30" fillId="9" borderId="25" xfId="0" applyNumberFormat="1" applyFont="1" applyFill="1" applyBorder="1" applyAlignment="1" applyProtection="1">
      <alignment horizontal="left" vertical="center" wrapText="1"/>
    </xf>
    <xf numFmtId="0" fontId="30" fillId="9" borderId="19" xfId="0" applyNumberFormat="1" applyFont="1" applyFill="1" applyBorder="1" applyAlignment="1" applyProtection="1">
      <alignment horizontal="left" vertical="center" wrapText="1"/>
    </xf>
    <xf numFmtId="0" fontId="30" fillId="9" borderId="10" xfId="0" applyNumberFormat="1" applyFont="1" applyFill="1" applyBorder="1" applyAlignment="1" applyProtection="1">
      <alignment horizontal="left" vertical="center" wrapText="1"/>
    </xf>
    <xf numFmtId="49" fontId="32" fillId="9" borderId="25" xfId="0" applyNumberFormat="1" applyFont="1" applyFill="1" applyBorder="1" applyAlignment="1" applyProtection="1">
      <alignment horizontal="center" vertical="center" wrapText="1"/>
    </xf>
    <xf numFmtId="49" fontId="32" fillId="9" borderId="10" xfId="0" applyNumberFormat="1" applyFont="1" applyFill="1" applyBorder="1" applyAlignment="1" applyProtection="1">
      <alignment horizontal="center" vertical="center" wrapText="1"/>
    </xf>
    <xf numFmtId="0" fontId="27" fillId="0" borderId="0" xfId="0" applyFont="1" applyAlignment="1" applyProtection="1">
      <alignment horizontal="left" vertical="center" wrapText="1"/>
      <protection locked="0"/>
    </xf>
    <xf numFmtId="0" fontId="27" fillId="0" borderId="0" xfId="0" applyFont="1" applyAlignment="1" applyProtection="1">
      <alignment horizontal="left" vertical="center"/>
      <protection locked="0"/>
    </xf>
    <xf numFmtId="49" fontId="32" fillId="17" borderId="35" xfId="0" applyNumberFormat="1" applyFont="1" applyFill="1" applyBorder="1" applyAlignment="1" applyProtection="1">
      <alignment horizontal="left" vertical="center" wrapText="1"/>
    </xf>
    <xf numFmtId="49" fontId="32" fillId="17" borderId="13" xfId="0" applyNumberFormat="1" applyFont="1" applyFill="1" applyBorder="1" applyAlignment="1" applyProtection="1">
      <alignment horizontal="left" vertical="center" wrapText="1"/>
    </xf>
    <xf numFmtId="0" fontId="28" fillId="0" borderId="33" xfId="0" applyFont="1" applyFill="1" applyBorder="1" applyAlignment="1" applyProtection="1">
      <alignment horizontal="center" vertical="center"/>
    </xf>
    <xf numFmtId="0" fontId="32" fillId="0" borderId="33" xfId="0" applyFont="1" applyBorder="1" applyAlignment="1" applyProtection="1">
      <alignment horizontal="center" vertical="center"/>
    </xf>
    <xf numFmtId="0" fontId="32" fillId="0" borderId="34" xfId="0" applyFont="1" applyBorder="1" applyAlignment="1" applyProtection="1">
      <alignment horizontal="center" vertical="center"/>
    </xf>
    <xf numFmtId="0" fontId="28" fillId="0" borderId="33" xfId="0" applyNumberFormat="1" applyFont="1" applyFill="1" applyBorder="1" applyAlignment="1" applyProtection="1">
      <alignment horizontal="center" vertical="center"/>
    </xf>
    <xf numFmtId="0" fontId="28" fillId="0" borderId="34" xfId="0" applyNumberFormat="1" applyFont="1" applyFill="1" applyBorder="1" applyAlignment="1" applyProtection="1">
      <alignment horizontal="center" vertical="center"/>
    </xf>
    <xf numFmtId="0" fontId="28" fillId="0" borderId="32" xfId="0" applyNumberFormat="1" applyFont="1" applyFill="1" applyBorder="1" applyAlignment="1" applyProtection="1">
      <alignment horizontal="center" vertical="center"/>
    </xf>
    <xf numFmtId="0" fontId="39" fillId="17" borderId="12" xfId="0" applyNumberFormat="1" applyFont="1" applyFill="1" applyBorder="1" applyAlignment="1" applyProtection="1">
      <alignment horizontal="left" vertical="center" wrapText="1"/>
      <protection locked="0"/>
    </xf>
    <xf numFmtId="0" fontId="39" fillId="17" borderId="13" xfId="0" applyNumberFormat="1" applyFont="1" applyFill="1" applyBorder="1" applyAlignment="1" applyProtection="1">
      <alignment horizontal="left" vertical="center" wrapText="1"/>
      <protection locked="0"/>
    </xf>
    <xf numFmtId="4" fontId="27" fillId="0" borderId="32" xfId="0" applyNumberFormat="1" applyFont="1" applyFill="1" applyBorder="1" applyAlignment="1" applyProtection="1">
      <alignment horizontal="center" vertical="center"/>
    </xf>
    <xf numFmtId="4" fontId="27" fillId="0" borderId="33" xfId="0" applyNumberFormat="1" applyFont="1" applyFill="1" applyBorder="1" applyAlignment="1" applyProtection="1">
      <alignment horizontal="center" vertical="center"/>
    </xf>
    <xf numFmtId="4" fontId="27" fillId="0" borderId="34" xfId="0" applyNumberFormat="1" applyFont="1" applyFill="1" applyBorder="1" applyAlignment="1" applyProtection="1">
      <alignment horizontal="center" vertical="center"/>
    </xf>
    <xf numFmtId="49" fontId="32" fillId="9" borderId="19" xfId="0" applyNumberFormat="1" applyFont="1" applyFill="1" applyBorder="1" applyAlignment="1" applyProtection="1">
      <alignment horizontal="center" vertical="center" wrapText="1"/>
    </xf>
    <xf numFmtId="14" fontId="30" fillId="0" borderId="1" xfId="0" quotePrefix="1" applyNumberFormat="1" applyFont="1" applyFill="1" applyBorder="1" applyAlignment="1" applyProtection="1">
      <alignment horizontal="center" vertical="center" wrapText="1"/>
      <protection locked="0"/>
    </xf>
    <xf numFmtId="0" fontId="30" fillId="0" borderId="4" xfId="0" applyFont="1" applyFill="1" applyBorder="1" applyAlignment="1" applyProtection="1">
      <alignment horizontal="center" vertical="center" wrapText="1"/>
      <protection locked="0"/>
    </xf>
    <xf numFmtId="0" fontId="30" fillId="0" borderId="7" xfId="0" applyFont="1" applyFill="1" applyBorder="1" applyAlignment="1" applyProtection="1">
      <alignment horizontal="center" vertical="center" wrapText="1"/>
      <protection locked="0"/>
    </xf>
    <xf numFmtId="0" fontId="0" fillId="25" borderId="20" xfId="0" applyFont="1" applyFill="1" applyBorder="1" applyAlignment="1" applyProtection="1">
      <alignment horizontal="center" vertical="center"/>
      <protection locked="0"/>
    </xf>
    <xf numFmtId="0" fontId="0" fillId="25" borderId="19" xfId="0" applyFont="1" applyFill="1" applyBorder="1" applyAlignment="1" applyProtection="1">
      <alignment horizontal="center" vertical="center"/>
      <protection locked="0"/>
    </xf>
    <xf numFmtId="0" fontId="0" fillId="25" borderId="58" xfId="0" applyFont="1" applyFill="1" applyBorder="1" applyAlignment="1" applyProtection="1">
      <alignment horizontal="center" vertical="center"/>
      <protection locked="0"/>
    </xf>
    <xf numFmtId="0" fontId="30" fillId="25" borderId="20" xfId="0" applyFont="1" applyFill="1" applyBorder="1" applyAlignment="1" applyProtection="1">
      <alignment horizontal="center" vertical="center" wrapText="1"/>
      <protection locked="0"/>
    </xf>
    <xf numFmtId="0" fontId="30" fillId="25" borderId="19" xfId="0" applyFont="1" applyFill="1" applyBorder="1" applyAlignment="1" applyProtection="1">
      <alignment horizontal="center" vertical="center" wrapText="1"/>
      <protection locked="0"/>
    </xf>
    <xf numFmtId="0" fontId="30" fillId="25" borderId="58" xfId="0" applyFont="1" applyFill="1" applyBorder="1" applyAlignment="1" applyProtection="1">
      <alignment horizontal="center" vertical="center" wrapText="1"/>
      <protection locked="0"/>
    </xf>
    <xf numFmtId="0" fontId="30" fillId="0" borderId="1" xfId="0" quotePrefix="1" applyFont="1" applyFill="1" applyBorder="1" applyAlignment="1" applyProtection="1">
      <alignment horizontal="center" vertical="center" wrapText="1"/>
      <protection locked="0"/>
    </xf>
    <xf numFmtId="0" fontId="30" fillId="0" borderId="1" xfId="0" applyFont="1" applyFill="1" applyBorder="1" applyAlignment="1" applyProtection="1">
      <alignment horizontal="center" vertical="center" wrapText="1"/>
      <protection locked="0"/>
    </xf>
    <xf numFmtId="0" fontId="30" fillId="0" borderId="20" xfId="0" applyFont="1" applyFill="1" applyBorder="1" applyAlignment="1" applyProtection="1">
      <alignment horizontal="center" vertical="center" wrapText="1"/>
      <protection locked="0"/>
    </xf>
    <xf numFmtId="0" fontId="30" fillId="0" borderId="19" xfId="0" applyFont="1" applyFill="1" applyBorder="1" applyAlignment="1" applyProtection="1">
      <alignment horizontal="center" vertical="center" wrapText="1"/>
      <protection locked="0"/>
    </xf>
    <xf numFmtId="0" fontId="30" fillId="0" borderId="58" xfId="0" applyFont="1" applyFill="1" applyBorder="1" applyAlignment="1" applyProtection="1">
      <alignment horizontal="center" vertical="center" wrapText="1"/>
      <protection locked="0"/>
    </xf>
    <xf numFmtId="0" fontId="0" fillId="0" borderId="20" xfId="0" applyFon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0" borderId="58" xfId="0" applyFont="1" applyBorder="1" applyAlignment="1" applyProtection="1">
      <alignment horizontal="center" vertical="center"/>
      <protection locked="0"/>
    </xf>
    <xf numFmtId="0" fontId="28" fillId="17" borderId="46" xfId="0" applyFont="1" applyFill="1" applyBorder="1" applyAlignment="1" applyProtection="1">
      <alignment horizontal="left" vertical="center" wrapText="1"/>
    </xf>
    <xf numFmtId="0" fontId="28" fillId="17" borderId="45" xfId="0" applyFont="1" applyFill="1" applyBorder="1" applyAlignment="1" applyProtection="1">
      <alignment horizontal="left" vertical="center" wrapText="1"/>
    </xf>
    <xf numFmtId="0" fontId="28" fillId="17" borderId="69" xfId="0" applyFont="1" applyFill="1" applyBorder="1" applyAlignment="1" applyProtection="1">
      <alignment horizontal="left" vertical="center" wrapText="1"/>
    </xf>
    <xf numFmtId="0" fontId="28" fillId="0" borderId="32" xfId="0" applyNumberFormat="1" applyFont="1" applyFill="1" applyBorder="1" applyAlignment="1" applyProtection="1">
      <alignment horizontal="center"/>
    </xf>
    <xf numFmtId="0" fontId="28" fillId="0" borderId="33" xfId="0" applyNumberFormat="1" applyFont="1" applyFill="1" applyBorder="1" applyAlignment="1" applyProtection="1">
      <alignment horizontal="center"/>
    </xf>
    <xf numFmtId="0" fontId="28" fillId="0" borderId="34" xfId="0" applyNumberFormat="1" applyFont="1" applyFill="1" applyBorder="1" applyAlignment="1" applyProtection="1">
      <alignment horizontal="center"/>
    </xf>
    <xf numFmtId="0" fontId="28" fillId="17" borderId="32" xfId="0" applyFont="1" applyFill="1" applyBorder="1" applyAlignment="1">
      <alignment horizontal="left" vertical="center" wrapText="1"/>
    </xf>
    <xf numFmtId="0" fontId="28" fillId="17" borderId="33" xfId="0" applyFont="1" applyFill="1" applyBorder="1" applyAlignment="1">
      <alignment horizontal="left" vertical="center" wrapText="1"/>
    </xf>
    <xf numFmtId="0" fontId="32" fillId="17" borderId="32" xfId="0" applyFont="1" applyFill="1" applyBorder="1" applyAlignment="1">
      <alignment horizontal="left"/>
    </xf>
    <xf numFmtId="0" fontId="32" fillId="17" borderId="33" xfId="0" applyFont="1" applyFill="1" applyBorder="1" applyAlignment="1">
      <alignment horizontal="left"/>
    </xf>
    <xf numFmtId="0" fontId="28" fillId="17" borderId="46" xfId="0" applyFont="1" applyFill="1" applyBorder="1" applyAlignment="1">
      <alignment horizontal="left" vertical="center" wrapText="1"/>
    </xf>
    <xf numFmtId="0" fontId="28" fillId="17" borderId="45" xfId="0" applyFont="1" applyFill="1" applyBorder="1" applyAlignment="1">
      <alignment horizontal="left" vertical="center" wrapText="1"/>
    </xf>
    <xf numFmtId="0" fontId="28" fillId="17" borderId="69" xfId="0" applyFont="1" applyFill="1" applyBorder="1" applyAlignment="1">
      <alignment horizontal="left" vertical="center" wrapText="1"/>
    </xf>
    <xf numFmtId="0" fontId="39" fillId="17" borderId="32" xfId="0" applyFont="1" applyFill="1" applyBorder="1" applyAlignment="1" applyProtection="1">
      <alignment horizontal="center" vertical="center"/>
    </xf>
    <xf numFmtId="0" fontId="39" fillId="17" borderId="34" xfId="0" applyFont="1" applyFill="1" applyBorder="1" applyAlignment="1" applyProtection="1">
      <alignment horizontal="center" vertical="center"/>
    </xf>
    <xf numFmtId="0" fontId="33" fillId="0" borderId="32" xfId="0" applyFont="1" applyFill="1" applyBorder="1" applyAlignment="1" applyProtection="1">
      <alignment horizontal="left" vertical="center"/>
    </xf>
    <xf numFmtId="0" fontId="33" fillId="0" borderId="33" xfId="0" applyFont="1" applyFill="1" applyBorder="1" applyAlignment="1" applyProtection="1">
      <alignment horizontal="left" vertical="center"/>
    </xf>
    <xf numFmtId="0" fontId="33" fillId="0" borderId="34" xfId="0" applyFont="1" applyFill="1" applyBorder="1" applyAlignment="1" applyProtection="1">
      <alignment horizontal="left" vertical="center"/>
    </xf>
    <xf numFmtId="0" fontId="28" fillId="0" borderId="19" xfId="0" applyFont="1" applyFill="1" applyBorder="1" applyAlignment="1" applyProtection="1">
      <alignment horizontal="center" vertical="top" wrapText="1"/>
      <protection locked="0"/>
    </xf>
    <xf numFmtId="0" fontId="28" fillId="0" borderId="10" xfId="0" applyFont="1" applyFill="1" applyBorder="1" applyAlignment="1" applyProtection="1">
      <alignment horizontal="center" vertical="top" wrapText="1"/>
      <protection locked="0"/>
    </xf>
    <xf numFmtId="0" fontId="28" fillId="0" borderId="25" xfId="0" applyFont="1" applyFill="1" applyBorder="1" applyAlignment="1" applyProtection="1">
      <alignment horizontal="center" vertical="top" wrapText="1"/>
      <protection locked="0"/>
    </xf>
    <xf numFmtId="0" fontId="28" fillId="0" borderId="12" xfId="0" applyFont="1" applyBorder="1" applyAlignment="1" applyProtection="1">
      <alignment horizontal="right"/>
      <protection locked="0"/>
    </xf>
    <xf numFmtId="0" fontId="28" fillId="0" borderId="13" xfId="0" applyFont="1" applyBorder="1" applyAlignment="1" applyProtection="1">
      <alignment horizontal="right"/>
      <protection locked="0"/>
    </xf>
    <xf numFmtId="0" fontId="28" fillId="19" borderId="5" xfId="0" applyFont="1" applyFill="1" applyBorder="1" applyAlignment="1" applyProtection="1">
      <alignment horizontal="right"/>
      <protection locked="0"/>
    </xf>
    <xf numFmtId="0" fontId="28" fillId="20" borderId="26" xfId="0" applyFont="1" applyFill="1" applyBorder="1" applyAlignment="1" applyProtection="1">
      <alignment horizontal="center" vertical="center"/>
      <protection locked="0"/>
    </xf>
    <xf numFmtId="0" fontId="28" fillId="0" borderId="33" xfId="324" applyNumberFormat="1" applyFont="1" applyFill="1" applyBorder="1" applyAlignment="1" applyProtection="1">
      <alignment horizontal="center" vertical="center"/>
    </xf>
    <xf numFmtId="0" fontId="28" fillId="0" borderId="34" xfId="324" applyNumberFormat="1" applyFont="1" applyFill="1" applyBorder="1" applyAlignment="1" applyProtection="1">
      <alignment horizontal="center" vertical="center"/>
    </xf>
    <xf numFmtId="0" fontId="28" fillId="0" borderId="32" xfId="324" applyNumberFormat="1" applyFont="1" applyFill="1" applyBorder="1" applyAlignment="1" applyProtection="1">
      <alignment horizontal="center" vertical="center"/>
    </xf>
    <xf numFmtId="0" fontId="38" fillId="0" borderId="32" xfId="0" applyFont="1" applyBorder="1" applyAlignment="1">
      <alignment horizontal="center"/>
    </xf>
    <xf numFmtId="0" fontId="38" fillId="0" borderId="33" xfId="0" applyFont="1" applyBorder="1" applyAlignment="1">
      <alignment horizontal="center"/>
    </xf>
    <xf numFmtId="0" fontId="38" fillId="0" borderId="34" xfId="0" applyFont="1" applyBorder="1" applyAlignment="1">
      <alignment horizontal="center"/>
    </xf>
    <xf numFmtId="0" fontId="38" fillId="0" borderId="71" xfId="0" applyFont="1" applyBorder="1" applyAlignment="1">
      <alignment horizontal="center"/>
    </xf>
    <xf numFmtId="0" fontId="38" fillId="0" borderId="74" xfId="0" applyFont="1" applyBorder="1" applyAlignment="1">
      <alignment horizontal="center"/>
    </xf>
    <xf numFmtId="49" fontId="27" fillId="9" borderId="25" xfId="0" applyNumberFormat="1" applyFont="1" applyFill="1" applyBorder="1" applyAlignment="1" applyProtection="1">
      <alignment horizontal="left" vertical="center" wrapText="1"/>
    </xf>
    <xf numFmtId="49" fontId="27" fillId="9" borderId="10" xfId="0" applyNumberFormat="1" applyFont="1" applyFill="1" applyBorder="1" applyAlignment="1" applyProtection="1">
      <alignment horizontal="left" vertical="center" wrapText="1"/>
    </xf>
    <xf numFmtId="0" fontId="27" fillId="9" borderId="25" xfId="0" applyNumberFormat="1" applyFont="1" applyFill="1" applyBorder="1" applyAlignment="1" applyProtection="1">
      <alignment horizontal="left" vertical="center" wrapText="1"/>
    </xf>
    <xf numFmtId="0" fontId="27" fillId="9" borderId="10" xfId="0" applyNumberFormat="1" applyFont="1" applyFill="1" applyBorder="1" applyAlignment="1" applyProtection="1">
      <alignment horizontal="left" vertical="center" wrapText="1"/>
    </xf>
    <xf numFmtId="0" fontId="28" fillId="17" borderId="12" xfId="0" applyNumberFormat="1" applyFont="1" applyFill="1" applyBorder="1" applyAlignment="1" applyProtection="1">
      <alignment horizontal="center" vertical="top" wrapText="1"/>
    </xf>
    <xf numFmtId="0" fontId="28" fillId="17" borderId="28" xfId="0" applyNumberFormat="1" applyFont="1" applyFill="1" applyBorder="1" applyAlignment="1" applyProtection="1">
      <alignment horizontal="center" vertical="top" wrapText="1"/>
    </xf>
    <xf numFmtId="0" fontId="27" fillId="9" borderId="25" xfId="0" applyNumberFormat="1" applyFont="1" applyFill="1" applyBorder="1" applyAlignment="1" applyProtection="1">
      <alignment horizontal="center" vertical="center" wrapText="1"/>
    </xf>
    <xf numFmtId="0" fontId="27" fillId="9" borderId="10" xfId="0" applyNumberFormat="1" applyFont="1" applyFill="1" applyBorder="1" applyAlignment="1" applyProtection="1">
      <alignment horizontal="center" vertical="center" wrapText="1"/>
    </xf>
    <xf numFmtId="0" fontId="58" fillId="15" borderId="55" xfId="350" applyFont="1" applyFill="1" applyBorder="1" applyAlignment="1" applyProtection="1">
      <alignment horizontal="center" vertical="center" wrapText="1"/>
      <protection locked="0"/>
    </xf>
  </cellXfs>
  <cellStyles count="831">
    <cellStyle name="____Исполнение Бюджета НВ филиала май к отправке" xfId="2" xr:uid="{00000000-0005-0000-0000-000000000000}"/>
    <cellStyle name="____Отчёт НВ филиала апрель2003" xfId="3" xr:uid="{00000000-0005-0000-0000-000001000000}"/>
    <cellStyle name="____Отчёт НВ филиала июнь 2003" xfId="4" xr:uid="{00000000-0005-0000-0000-000002000000}"/>
    <cellStyle name="_~7626906" xfId="5" xr:uid="{00000000-0005-0000-0000-000003000000}"/>
    <cellStyle name="_Cost forms - presentation2" xfId="6" xr:uid="{00000000-0005-0000-0000-000004000000}"/>
    <cellStyle name="_FFF" xfId="7" xr:uid="{00000000-0005-0000-0000-000005000000}"/>
    <cellStyle name="_FFF_Capex-new" xfId="8" xr:uid="{00000000-0005-0000-0000-000006000000}"/>
    <cellStyle name="_FFF_Form 01(MB)" xfId="9" xr:uid="{00000000-0005-0000-0000-000007000000}"/>
    <cellStyle name="_FFF_Links_NK" xfId="10" xr:uid="{00000000-0005-0000-0000-000008000000}"/>
    <cellStyle name="_FFF_N20_5" xfId="11" xr:uid="{00000000-0005-0000-0000-000009000000}"/>
    <cellStyle name="_FFF_N20_6" xfId="12" xr:uid="{00000000-0005-0000-0000-00000A000000}"/>
    <cellStyle name="_FFF_New Form10_2" xfId="13" xr:uid="{00000000-0005-0000-0000-00000B000000}"/>
    <cellStyle name="_FFF_Nsi" xfId="14" xr:uid="{00000000-0005-0000-0000-00000C000000}"/>
    <cellStyle name="_FFF_Nsi - last version" xfId="15" xr:uid="{00000000-0005-0000-0000-00000D000000}"/>
    <cellStyle name="_FFF_Nsi - last version for programming" xfId="16" xr:uid="{00000000-0005-0000-0000-00000E000000}"/>
    <cellStyle name="_FFF_Nsi - next_last version" xfId="17" xr:uid="{00000000-0005-0000-0000-00000F000000}"/>
    <cellStyle name="_FFF_Nsi -super_ last version" xfId="18" xr:uid="{00000000-0005-0000-0000-000010000000}"/>
    <cellStyle name="_FFF_Nsi(2)" xfId="19" xr:uid="{00000000-0005-0000-0000-000011000000}"/>
    <cellStyle name="_FFF_Nsi_1" xfId="20" xr:uid="{00000000-0005-0000-0000-000012000000}"/>
    <cellStyle name="_FFF_Nsi_139" xfId="21" xr:uid="{00000000-0005-0000-0000-000013000000}"/>
    <cellStyle name="_FFF_Nsi_140" xfId="22" xr:uid="{00000000-0005-0000-0000-000014000000}"/>
    <cellStyle name="_FFF_Nsi_140(Зах)" xfId="23" xr:uid="{00000000-0005-0000-0000-000015000000}"/>
    <cellStyle name="_FFF_Nsi_140_mod" xfId="24" xr:uid="{00000000-0005-0000-0000-000016000000}"/>
    <cellStyle name="_FFF_Nsi_158" xfId="25" xr:uid="{00000000-0005-0000-0000-000017000000}"/>
    <cellStyle name="_FFF_Nsi_Jan1" xfId="26" xr:uid="{00000000-0005-0000-0000-000018000000}"/>
    <cellStyle name="_FFF_Nsi_test" xfId="27" xr:uid="{00000000-0005-0000-0000-000019000000}"/>
    <cellStyle name="_FFF_Nsi2" xfId="28" xr:uid="{00000000-0005-0000-0000-00001A000000}"/>
    <cellStyle name="_FFF_Nsi-Services" xfId="29" xr:uid="{00000000-0005-0000-0000-00001B000000}"/>
    <cellStyle name="_FFF_S0400" xfId="30" xr:uid="{00000000-0005-0000-0000-00001C000000}"/>
    <cellStyle name="_FFF_S13001" xfId="31" xr:uid="{00000000-0005-0000-0000-00001D000000}"/>
    <cellStyle name="_FFF_Sheet1" xfId="32" xr:uid="{00000000-0005-0000-0000-00001E000000}"/>
    <cellStyle name="_FFF_Summary" xfId="33" xr:uid="{00000000-0005-0000-0000-00001F000000}"/>
    <cellStyle name="_FFF_Tax_form_1кв_3" xfId="34" xr:uid="{00000000-0005-0000-0000-000020000000}"/>
    <cellStyle name="_FFF_test_11" xfId="35" xr:uid="{00000000-0005-0000-0000-000021000000}"/>
    <cellStyle name="_FFF_БКЭ" xfId="36" xr:uid="{00000000-0005-0000-0000-000022000000}"/>
    <cellStyle name="_FFF_для вставки в пакет за 2001" xfId="37" xr:uid="{00000000-0005-0000-0000-000023000000}"/>
    <cellStyle name="_FFF_дляГалиныВ" xfId="38" xr:uid="{00000000-0005-0000-0000-000024000000}"/>
    <cellStyle name="_FFF_Книга7" xfId="39" xr:uid="{00000000-0005-0000-0000-000025000000}"/>
    <cellStyle name="_FFF_Лист1" xfId="40" xr:uid="{00000000-0005-0000-0000-000026000000}"/>
    <cellStyle name="_FFF_Список тиражирования" xfId="41" xr:uid="{00000000-0005-0000-0000-000027000000}"/>
    <cellStyle name="_FFF_Форма 12 last" xfId="42" xr:uid="{00000000-0005-0000-0000-000028000000}"/>
    <cellStyle name="_Final_Book_010301" xfId="43" xr:uid="{00000000-0005-0000-0000-000029000000}"/>
    <cellStyle name="_Final_Book_010301_Capex-new" xfId="44" xr:uid="{00000000-0005-0000-0000-00002A000000}"/>
    <cellStyle name="_Final_Book_010301_Form 01(MB)" xfId="45" xr:uid="{00000000-0005-0000-0000-00002B000000}"/>
    <cellStyle name="_Final_Book_010301_Links_NK" xfId="46" xr:uid="{00000000-0005-0000-0000-00002C000000}"/>
    <cellStyle name="_Final_Book_010301_N20_5" xfId="47" xr:uid="{00000000-0005-0000-0000-00002D000000}"/>
    <cellStyle name="_Final_Book_010301_N20_6" xfId="48" xr:uid="{00000000-0005-0000-0000-00002E000000}"/>
    <cellStyle name="_Final_Book_010301_New Form10_2" xfId="49" xr:uid="{00000000-0005-0000-0000-00002F000000}"/>
    <cellStyle name="_Final_Book_010301_Nsi" xfId="50" xr:uid="{00000000-0005-0000-0000-000030000000}"/>
    <cellStyle name="_Final_Book_010301_Nsi - last version" xfId="51" xr:uid="{00000000-0005-0000-0000-000031000000}"/>
    <cellStyle name="_Final_Book_010301_Nsi - last version for programming" xfId="52" xr:uid="{00000000-0005-0000-0000-000032000000}"/>
    <cellStyle name="_Final_Book_010301_Nsi - next_last version" xfId="53" xr:uid="{00000000-0005-0000-0000-000033000000}"/>
    <cellStyle name="_Final_Book_010301_Nsi -super_ last version" xfId="54" xr:uid="{00000000-0005-0000-0000-000034000000}"/>
    <cellStyle name="_Final_Book_010301_Nsi(2)" xfId="55" xr:uid="{00000000-0005-0000-0000-000035000000}"/>
    <cellStyle name="_Final_Book_010301_Nsi_1" xfId="56" xr:uid="{00000000-0005-0000-0000-000036000000}"/>
    <cellStyle name="_Final_Book_010301_Nsi_139" xfId="57" xr:uid="{00000000-0005-0000-0000-000037000000}"/>
    <cellStyle name="_Final_Book_010301_Nsi_140" xfId="58" xr:uid="{00000000-0005-0000-0000-000038000000}"/>
    <cellStyle name="_Final_Book_010301_Nsi_140(Зах)" xfId="59" xr:uid="{00000000-0005-0000-0000-000039000000}"/>
    <cellStyle name="_Final_Book_010301_Nsi_140_mod" xfId="60" xr:uid="{00000000-0005-0000-0000-00003A000000}"/>
    <cellStyle name="_Final_Book_010301_Nsi_158" xfId="61" xr:uid="{00000000-0005-0000-0000-00003B000000}"/>
    <cellStyle name="_Final_Book_010301_Nsi_Jan1" xfId="62" xr:uid="{00000000-0005-0000-0000-00003C000000}"/>
    <cellStyle name="_Final_Book_010301_Nsi_test" xfId="63" xr:uid="{00000000-0005-0000-0000-00003D000000}"/>
    <cellStyle name="_Final_Book_010301_Nsi2" xfId="64" xr:uid="{00000000-0005-0000-0000-00003E000000}"/>
    <cellStyle name="_Final_Book_010301_Nsi-Services" xfId="65" xr:uid="{00000000-0005-0000-0000-00003F000000}"/>
    <cellStyle name="_Final_Book_010301_S0400" xfId="66" xr:uid="{00000000-0005-0000-0000-000040000000}"/>
    <cellStyle name="_Final_Book_010301_S13001" xfId="67" xr:uid="{00000000-0005-0000-0000-000041000000}"/>
    <cellStyle name="_Final_Book_010301_Sheet1" xfId="68" xr:uid="{00000000-0005-0000-0000-000042000000}"/>
    <cellStyle name="_Final_Book_010301_Summary" xfId="69" xr:uid="{00000000-0005-0000-0000-000043000000}"/>
    <cellStyle name="_Final_Book_010301_Tax_form_1кв_3" xfId="70" xr:uid="{00000000-0005-0000-0000-000044000000}"/>
    <cellStyle name="_Final_Book_010301_test_11" xfId="71" xr:uid="{00000000-0005-0000-0000-000045000000}"/>
    <cellStyle name="_Final_Book_010301_БКЭ" xfId="72" xr:uid="{00000000-0005-0000-0000-000046000000}"/>
    <cellStyle name="_Final_Book_010301_для вставки в пакет за 2001" xfId="73" xr:uid="{00000000-0005-0000-0000-000047000000}"/>
    <cellStyle name="_Final_Book_010301_дляГалиныВ" xfId="74" xr:uid="{00000000-0005-0000-0000-000048000000}"/>
    <cellStyle name="_Final_Book_010301_Книга7" xfId="75" xr:uid="{00000000-0005-0000-0000-000049000000}"/>
    <cellStyle name="_Final_Book_010301_Лист1" xfId="76" xr:uid="{00000000-0005-0000-0000-00004A000000}"/>
    <cellStyle name="_Final_Book_010301_Список тиражирования" xfId="77" xr:uid="{00000000-0005-0000-0000-00004B000000}"/>
    <cellStyle name="_Final_Book_010301_Форма 12 last" xfId="78" xr:uid="{00000000-0005-0000-0000-00004C000000}"/>
    <cellStyle name="_KPI-5" xfId="79" xr:uid="{00000000-0005-0000-0000-00004D000000}"/>
    <cellStyle name="_KPI-5_Form 01(MB)" xfId="80" xr:uid="{00000000-0005-0000-0000-00004E000000}"/>
    <cellStyle name="_KPI-5_Links_NK" xfId="81" xr:uid="{00000000-0005-0000-0000-00004F000000}"/>
    <cellStyle name="_KPI-5_Nsi" xfId="82" xr:uid="{00000000-0005-0000-0000-000050000000}"/>
    <cellStyle name="_KPI-5_Nsi(2)" xfId="83" xr:uid="{00000000-0005-0000-0000-000051000000}"/>
    <cellStyle name="_KPI-5_Nsi_158" xfId="84" xr:uid="{00000000-0005-0000-0000-000052000000}"/>
    <cellStyle name="_KPI-5_Nsi_test" xfId="85" xr:uid="{00000000-0005-0000-0000-000053000000}"/>
    <cellStyle name="_KPI-5_Nsi-Services" xfId="86" xr:uid="{00000000-0005-0000-0000-000054000000}"/>
    <cellStyle name="_KPI-5_S0400" xfId="87" xr:uid="{00000000-0005-0000-0000-000055000000}"/>
    <cellStyle name="_KPI-5_S13001" xfId="88" xr:uid="{00000000-0005-0000-0000-000056000000}"/>
    <cellStyle name="_KPI-5_test_11" xfId="89" xr:uid="{00000000-0005-0000-0000-000057000000}"/>
    <cellStyle name="_KPI-5_для вставки в пакет за 2001" xfId="90" xr:uid="{00000000-0005-0000-0000-000058000000}"/>
    <cellStyle name="_KPI-5_дляГалиныВ" xfId="91" xr:uid="{00000000-0005-0000-0000-000059000000}"/>
    <cellStyle name="_KPI-5_Лист1" xfId="92" xr:uid="{00000000-0005-0000-0000-00005A000000}"/>
    <cellStyle name="_KPI-5_Список тиражирования" xfId="93" xr:uid="{00000000-0005-0000-0000-00005B000000}"/>
    <cellStyle name="_KPI-5_Форма 12 last" xfId="94" xr:uid="{00000000-0005-0000-0000-00005C000000}"/>
    <cellStyle name="_New_Sofi" xfId="95" xr:uid="{00000000-0005-0000-0000-00005D000000}"/>
    <cellStyle name="_New_Sofi_Capex-new" xfId="96" xr:uid="{00000000-0005-0000-0000-00005E000000}"/>
    <cellStyle name="_New_Sofi_FFF" xfId="97" xr:uid="{00000000-0005-0000-0000-00005F000000}"/>
    <cellStyle name="_New_Sofi_Form 01(MB)" xfId="98" xr:uid="{00000000-0005-0000-0000-000060000000}"/>
    <cellStyle name="_New_Sofi_Links_NK" xfId="99" xr:uid="{00000000-0005-0000-0000-000061000000}"/>
    <cellStyle name="_New_Sofi_N20_5" xfId="100" xr:uid="{00000000-0005-0000-0000-000062000000}"/>
    <cellStyle name="_New_Sofi_N20_6" xfId="101" xr:uid="{00000000-0005-0000-0000-000063000000}"/>
    <cellStyle name="_New_Sofi_New Form10_2" xfId="102" xr:uid="{00000000-0005-0000-0000-000064000000}"/>
    <cellStyle name="_New_Sofi_Nsi" xfId="103" xr:uid="{00000000-0005-0000-0000-000065000000}"/>
    <cellStyle name="_New_Sofi_Nsi - last version" xfId="104" xr:uid="{00000000-0005-0000-0000-000066000000}"/>
    <cellStyle name="_New_Sofi_Nsi - last version for programming" xfId="105" xr:uid="{00000000-0005-0000-0000-000067000000}"/>
    <cellStyle name="_New_Sofi_Nsi - next_last version" xfId="106" xr:uid="{00000000-0005-0000-0000-000068000000}"/>
    <cellStyle name="_New_Sofi_Nsi -super_ last version" xfId="107" xr:uid="{00000000-0005-0000-0000-000069000000}"/>
    <cellStyle name="_New_Sofi_Nsi(2)" xfId="108" xr:uid="{00000000-0005-0000-0000-00006A000000}"/>
    <cellStyle name="_New_Sofi_Nsi_1" xfId="109" xr:uid="{00000000-0005-0000-0000-00006B000000}"/>
    <cellStyle name="_New_Sofi_Nsi_139" xfId="110" xr:uid="{00000000-0005-0000-0000-00006C000000}"/>
    <cellStyle name="_New_Sofi_Nsi_140" xfId="111" xr:uid="{00000000-0005-0000-0000-00006D000000}"/>
    <cellStyle name="_New_Sofi_Nsi_140(Зах)" xfId="112" xr:uid="{00000000-0005-0000-0000-00006E000000}"/>
    <cellStyle name="_New_Sofi_Nsi_140_mod" xfId="113" xr:uid="{00000000-0005-0000-0000-00006F000000}"/>
    <cellStyle name="_New_Sofi_Nsi_158" xfId="114" xr:uid="{00000000-0005-0000-0000-000070000000}"/>
    <cellStyle name="_New_Sofi_Nsi_Jan1" xfId="115" xr:uid="{00000000-0005-0000-0000-000071000000}"/>
    <cellStyle name="_New_Sofi_Nsi_test" xfId="116" xr:uid="{00000000-0005-0000-0000-000072000000}"/>
    <cellStyle name="_New_Sofi_Nsi2" xfId="117" xr:uid="{00000000-0005-0000-0000-000073000000}"/>
    <cellStyle name="_New_Sofi_Nsi-Services" xfId="118" xr:uid="{00000000-0005-0000-0000-000074000000}"/>
    <cellStyle name="_New_Sofi_S0400" xfId="119" xr:uid="{00000000-0005-0000-0000-000075000000}"/>
    <cellStyle name="_New_Sofi_S13001" xfId="120" xr:uid="{00000000-0005-0000-0000-000076000000}"/>
    <cellStyle name="_New_Sofi_Sheet1" xfId="121" xr:uid="{00000000-0005-0000-0000-000077000000}"/>
    <cellStyle name="_New_Sofi_Summary" xfId="122" xr:uid="{00000000-0005-0000-0000-000078000000}"/>
    <cellStyle name="_New_Sofi_Tax_form_1кв_3" xfId="123" xr:uid="{00000000-0005-0000-0000-000079000000}"/>
    <cellStyle name="_New_Sofi_test_11" xfId="124" xr:uid="{00000000-0005-0000-0000-00007A000000}"/>
    <cellStyle name="_New_Sofi_БКЭ" xfId="125" xr:uid="{00000000-0005-0000-0000-00007B000000}"/>
    <cellStyle name="_New_Sofi_для вставки в пакет за 2001" xfId="126" xr:uid="{00000000-0005-0000-0000-00007C000000}"/>
    <cellStyle name="_New_Sofi_дляГалиныВ" xfId="127" xr:uid="{00000000-0005-0000-0000-00007D000000}"/>
    <cellStyle name="_New_Sofi_Книга7" xfId="128" xr:uid="{00000000-0005-0000-0000-00007E000000}"/>
    <cellStyle name="_New_Sofi_Лист1" xfId="129" xr:uid="{00000000-0005-0000-0000-00007F000000}"/>
    <cellStyle name="_New_Sofi_Список тиражирования" xfId="130" xr:uid="{00000000-0005-0000-0000-000080000000}"/>
    <cellStyle name="_New_Sofi_Форма 12 last" xfId="131" xr:uid="{00000000-0005-0000-0000-000081000000}"/>
    <cellStyle name="_Nsi" xfId="132" xr:uid="{00000000-0005-0000-0000-000082000000}"/>
    <cellStyle name="_S0110" xfId="133" xr:uid="{00000000-0005-0000-0000-000083000000}"/>
    <cellStyle name="_S0279" xfId="134" xr:uid="{00000000-0005-0000-0000-000084000000}"/>
    <cellStyle name="_SMC" xfId="135" xr:uid="{00000000-0005-0000-0000-000085000000}"/>
    <cellStyle name="_Книга2" xfId="136" xr:uid="{00000000-0005-0000-0000-000086000000}"/>
    <cellStyle name="_Книга3" xfId="137" xr:uid="{00000000-0005-0000-0000-000087000000}"/>
    <cellStyle name="_Книга3_Capex-new" xfId="138" xr:uid="{00000000-0005-0000-0000-000088000000}"/>
    <cellStyle name="_Книга3_Form 01(MB)" xfId="139" xr:uid="{00000000-0005-0000-0000-000089000000}"/>
    <cellStyle name="_Книга3_Links_NK" xfId="140" xr:uid="{00000000-0005-0000-0000-00008A000000}"/>
    <cellStyle name="_Книга3_N20_5" xfId="141" xr:uid="{00000000-0005-0000-0000-00008B000000}"/>
    <cellStyle name="_Книга3_N20_6" xfId="142" xr:uid="{00000000-0005-0000-0000-00008C000000}"/>
    <cellStyle name="_Книга3_New Form10_2" xfId="143" xr:uid="{00000000-0005-0000-0000-00008D000000}"/>
    <cellStyle name="_Книга3_Nsi" xfId="144" xr:uid="{00000000-0005-0000-0000-00008E000000}"/>
    <cellStyle name="_Книга3_Nsi - last version" xfId="145" xr:uid="{00000000-0005-0000-0000-00008F000000}"/>
    <cellStyle name="_Книга3_Nsi - last version for programming" xfId="146" xr:uid="{00000000-0005-0000-0000-000090000000}"/>
    <cellStyle name="_Книга3_Nsi - next_last version" xfId="147" xr:uid="{00000000-0005-0000-0000-000091000000}"/>
    <cellStyle name="_Книга3_Nsi -super_ last version" xfId="148" xr:uid="{00000000-0005-0000-0000-000092000000}"/>
    <cellStyle name="_Книга3_Nsi(2)" xfId="149" xr:uid="{00000000-0005-0000-0000-000093000000}"/>
    <cellStyle name="_Книга3_Nsi_1" xfId="150" xr:uid="{00000000-0005-0000-0000-000094000000}"/>
    <cellStyle name="_Книга3_Nsi_139" xfId="151" xr:uid="{00000000-0005-0000-0000-000095000000}"/>
    <cellStyle name="_Книга3_Nsi_140" xfId="152" xr:uid="{00000000-0005-0000-0000-000096000000}"/>
    <cellStyle name="_Книга3_Nsi_140(Зах)" xfId="153" xr:uid="{00000000-0005-0000-0000-000097000000}"/>
    <cellStyle name="_Книга3_Nsi_140_mod" xfId="154" xr:uid="{00000000-0005-0000-0000-000098000000}"/>
    <cellStyle name="_Книга3_Nsi_158" xfId="155" xr:uid="{00000000-0005-0000-0000-000099000000}"/>
    <cellStyle name="_Книга3_Nsi_Jan1" xfId="156" xr:uid="{00000000-0005-0000-0000-00009A000000}"/>
    <cellStyle name="_Книга3_Nsi_test" xfId="157" xr:uid="{00000000-0005-0000-0000-00009B000000}"/>
    <cellStyle name="_Книга3_Nsi2" xfId="158" xr:uid="{00000000-0005-0000-0000-00009C000000}"/>
    <cellStyle name="_Книга3_Nsi-Services" xfId="159" xr:uid="{00000000-0005-0000-0000-00009D000000}"/>
    <cellStyle name="_Книга3_S0400" xfId="160" xr:uid="{00000000-0005-0000-0000-00009E000000}"/>
    <cellStyle name="_Книга3_S13001" xfId="161" xr:uid="{00000000-0005-0000-0000-00009F000000}"/>
    <cellStyle name="_Книга3_Sheet1" xfId="162" xr:uid="{00000000-0005-0000-0000-0000A0000000}"/>
    <cellStyle name="_Книга3_Summary" xfId="163" xr:uid="{00000000-0005-0000-0000-0000A1000000}"/>
    <cellStyle name="_Книга3_Tax_form_1кв_3" xfId="164" xr:uid="{00000000-0005-0000-0000-0000A2000000}"/>
    <cellStyle name="_Книга3_test_11" xfId="165" xr:uid="{00000000-0005-0000-0000-0000A3000000}"/>
    <cellStyle name="_Книга3_БКЭ" xfId="166" xr:uid="{00000000-0005-0000-0000-0000A4000000}"/>
    <cellStyle name="_Книга3_для вставки в пакет за 2001" xfId="167" xr:uid="{00000000-0005-0000-0000-0000A5000000}"/>
    <cellStyle name="_Книга3_дляГалиныВ" xfId="168" xr:uid="{00000000-0005-0000-0000-0000A6000000}"/>
    <cellStyle name="_Книга3_Книга7" xfId="169" xr:uid="{00000000-0005-0000-0000-0000A7000000}"/>
    <cellStyle name="_Книга3_Лист1" xfId="170" xr:uid="{00000000-0005-0000-0000-0000A8000000}"/>
    <cellStyle name="_Книга3_Список тиражирования" xfId="171" xr:uid="{00000000-0005-0000-0000-0000A9000000}"/>
    <cellStyle name="_Книга3_Форма 12 last" xfId="172" xr:uid="{00000000-0005-0000-0000-0000AA000000}"/>
    <cellStyle name="_Книга7" xfId="173" xr:uid="{00000000-0005-0000-0000-0000AB000000}"/>
    <cellStyle name="_Книга7_Capex-new" xfId="174" xr:uid="{00000000-0005-0000-0000-0000AC000000}"/>
    <cellStyle name="_Книга7_Form 01(MB)" xfId="175" xr:uid="{00000000-0005-0000-0000-0000AD000000}"/>
    <cellStyle name="_Книга7_Links_NK" xfId="176" xr:uid="{00000000-0005-0000-0000-0000AE000000}"/>
    <cellStyle name="_Книга7_N20_5" xfId="177" xr:uid="{00000000-0005-0000-0000-0000AF000000}"/>
    <cellStyle name="_Книга7_N20_6" xfId="178" xr:uid="{00000000-0005-0000-0000-0000B0000000}"/>
    <cellStyle name="_Книга7_New Form10_2" xfId="179" xr:uid="{00000000-0005-0000-0000-0000B1000000}"/>
    <cellStyle name="_Книга7_Nsi" xfId="180" xr:uid="{00000000-0005-0000-0000-0000B2000000}"/>
    <cellStyle name="_Книга7_Nsi - last version" xfId="181" xr:uid="{00000000-0005-0000-0000-0000B3000000}"/>
    <cellStyle name="_Книга7_Nsi - last version for programming" xfId="182" xr:uid="{00000000-0005-0000-0000-0000B4000000}"/>
    <cellStyle name="_Книга7_Nsi - next_last version" xfId="183" xr:uid="{00000000-0005-0000-0000-0000B5000000}"/>
    <cellStyle name="_Книга7_Nsi -super_ last version" xfId="184" xr:uid="{00000000-0005-0000-0000-0000B6000000}"/>
    <cellStyle name="_Книга7_Nsi(2)" xfId="185" xr:uid="{00000000-0005-0000-0000-0000B7000000}"/>
    <cellStyle name="_Книга7_Nsi_1" xfId="186" xr:uid="{00000000-0005-0000-0000-0000B8000000}"/>
    <cellStyle name="_Книга7_Nsi_139" xfId="187" xr:uid="{00000000-0005-0000-0000-0000B9000000}"/>
    <cellStyle name="_Книга7_Nsi_140" xfId="188" xr:uid="{00000000-0005-0000-0000-0000BA000000}"/>
    <cellStyle name="_Книга7_Nsi_140(Зах)" xfId="189" xr:uid="{00000000-0005-0000-0000-0000BB000000}"/>
    <cellStyle name="_Книга7_Nsi_140_mod" xfId="190" xr:uid="{00000000-0005-0000-0000-0000BC000000}"/>
    <cellStyle name="_Книга7_Nsi_158" xfId="191" xr:uid="{00000000-0005-0000-0000-0000BD000000}"/>
    <cellStyle name="_Книга7_Nsi_Jan1" xfId="192" xr:uid="{00000000-0005-0000-0000-0000BE000000}"/>
    <cellStyle name="_Книга7_Nsi_test" xfId="193" xr:uid="{00000000-0005-0000-0000-0000BF000000}"/>
    <cellStyle name="_Книга7_Nsi2" xfId="194" xr:uid="{00000000-0005-0000-0000-0000C0000000}"/>
    <cellStyle name="_Книга7_Nsi-Services" xfId="195" xr:uid="{00000000-0005-0000-0000-0000C1000000}"/>
    <cellStyle name="_Книга7_S0400" xfId="196" xr:uid="{00000000-0005-0000-0000-0000C2000000}"/>
    <cellStyle name="_Книга7_S13001" xfId="197" xr:uid="{00000000-0005-0000-0000-0000C3000000}"/>
    <cellStyle name="_Книга7_Sheet1" xfId="198" xr:uid="{00000000-0005-0000-0000-0000C4000000}"/>
    <cellStyle name="_Книга7_Summary" xfId="199" xr:uid="{00000000-0005-0000-0000-0000C5000000}"/>
    <cellStyle name="_Книга7_Tax_form_1кв_3" xfId="200" xr:uid="{00000000-0005-0000-0000-0000C6000000}"/>
    <cellStyle name="_Книга7_test_11" xfId="201" xr:uid="{00000000-0005-0000-0000-0000C7000000}"/>
    <cellStyle name="_Книга7_БКЭ" xfId="202" xr:uid="{00000000-0005-0000-0000-0000C8000000}"/>
    <cellStyle name="_Книга7_для вставки в пакет за 2001" xfId="203" xr:uid="{00000000-0005-0000-0000-0000C9000000}"/>
    <cellStyle name="_Книга7_дляГалиныВ" xfId="204" xr:uid="{00000000-0005-0000-0000-0000CA000000}"/>
    <cellStyle name="_Книга7_Книга7" xfId="205" xr:uid="{00000000-0005-0000-0000-0000CB000000}"/>
    <cellStyle name="_Книга7_Лист1" xfId="206" xr:uid="{00000000-0005-0000-0000-0000CC000000}"/>
    <cellStyle name="_Книга7_Список тиражирования" xfId="207" xr:uid="{00000000-0005-0000-0000-0000CD000000}"/>
    <cellStyle name="_Книга7_Форма 12 last" xfId="208" xr:uid="{00000000-0005-0000-0000-0000CE000000}"/>
    <cellStyle name="_расчет резерва на бонус ПЕ2" xfId="209" xr:uid="{00000000-0005-0000-0000-0000CF000000}"/>
    <cellStyle name="_ТКП по замене старого сервера FSDBERM01D на АБК ЦДНГ-1 ННП Ермаки (2)" xfId="336" xr:uid="{00000000-0005-0000-0000-0000D0000000}"/>
    <cellStyle name="’E‰Y [0.00]_laroux" xfId="210" xr:uid="{00000000-0005-0000-0000-0000D1000000}"/>
    <cellStyle name="’E‰Y_laroux" xfId="211" xr:uid="{00000000-0005-0000-0000-0000D2000000}"/>
    <cellStyle name="=C:\WINNT35\SYSTEM32\COMMAND.COM" xfId="212" xr:uid="{00000000-0005-0000-0000-0000D3000000}"/>
    <cellStyle name="•WЏЂ_laroux" xfId="213" xr:uid="{00000000-0005-0000-0000-0000D4000000}"/>
    <cellStyle name="0,00;0;" xfId="214" xr:uid="{00000000-0005-0000-0000-0000D5000000}"/>
    <cellStyle name="1Итоги" xfId="215" xr:uid="{00000000-0005-0000-0000-0000D6000000}"/>
    <cellStyle name="1Основа таблицы" xfId="216" xr:uid="{00000000-0005-0000-0000-0000D7000000}"/>
    <cellStyle name="1Подзаголовок" xfId="217" xr:uid="{00000000-0005-0000-0000-0000D8000000}"/>
    <cellStyle name="1Сложный заголовок" xfId="218" xr:uid="{00000000-0005-0000-0000-0000D9000000}"/>
    <cellStyle name="Alilciue [0]_13F1_330" xfId="219" xr:uid="{00000000-0005-0000-0000-0000DA000000}"/>
    <cellStyle name="Äĺíĺćíűé [0]_13F1_330" xfId="220" xr:uid="{00000000-0005-0000-0000-0000DB000000}"/>
    <cellStyle name="Alilciue [0]_14F1_520" xfId="221" xr:uid="{00000000-0005-0000-0000-0000DC000000}"/>
    <cellStyle name="Äĺíĺćíűé [0]_14F1_520" xfId="222" xr:uid="{00000000-0005-0000-0000-0000DD000000}"/>
    <cellStyle name="Alilciue [0]_17F1_626" xfId="223" xr:uid="{00000000-0005-0000-0000-0000DE000000}"/>
    <cellStyle name="Äĺíĺćíűé [0]_17F1_626" xfId="224" xr:uid="{00000000-0005-0000-0000-0000DF000000}"/>
    <cellStyle name="Alilciue [0]_19F1_628" xfId="225" xr:uid="{00000000-0005-0000-0000-0000E0000000}"/>
    <cellStyle name="Äĺíĺćíűé [0]_19F1_628" xfId="226" xr:uid="{00000000-0005-0000-0000-0000E1000000}"/>
    <cellStyle name="Alilciue [0]_240_60_7" xfId="227" xr:uid="{00000000-0005-0000-0000-0000E2000000}"/>
    <cellStyle name="Äĺíĺćíűé [0]_240_60_7" xfId="228" xr:uid="{00000000-0005-0000-0000-0000E3000000}"/>
    <cellStyle name="Alilciue [0]_240_61DB" xfId="229" xr:uid="{00000000-0005-0000-0000-0000E4000000}"/>
    <cellStyle name="Äĺíĺćíűé [0]_240_61DB" xfId="230" xr:uid="{00000000-0005-0000-0000-0000E5000000}"/>
    <cellStyle name="Alilciue [0]_5F1_140" xfId="231" xr:uid="{00000000-0005-0000-0000-0000E6000000}"/>
    <cellStyle name="Äĺíĺćíűé [0]_5F1_140" xfId="232" xr:uid="{00000000-0005-0000-0000-0000E7000000}"/>
    <cellStyle name="Alilciue [0]_620_60_7" xfId="233" xr:uid="{00000000-0005-0000-0000-0000E8000000}"/>
    <cellStyle name="Äĺíĺćíűé [0]_620_60_7" xfId="234" xr:uid="{00000000-0005-0000-0000-0000E9000000}"/>
    <cellStyle name="Alilciue [0]_TMP626" xfId="235" xr:uid="{00000000-0005-0000-0000-0000EA000000}"/>
    <cellStyle name="Äĺíĺćíűé [0]_TMP626" xfId="236" xr:uid="{00000000-0005-0000-0000-0000EB000000}"/>
    <cellStyle name="Alilciue_10F1_250" xfId="237" xr:uid="{00000000-0005-0000-0000-0000EC000000}"/>
    <cellStyle name="Äĺíĺćíűé_10F1_250" xfId="238" xr:uid="{00000000-0005-0000-0000-0000ED000000}"/>
    <cellStyle name="Alilciue_13F1_330" xfId="239" xr:uid="{00000000-0005-0000-0000-0000EE000000}"/>
    <cellStyle name="Äĺíĺćíűé_13F1_330" xfId="240" xr:uid="{00000000-0005-0000-0000-0000EF000000}"/>
    <cellStyle name="Alilciue_14F1_520" xfId="241" xr:uid="{00000000-0005-0000-0000-0000F0000000}"/>
    <cellStyle name="Äĺíĺćíűé_14F1_520" xfId="242" xr:uid="{00000000-0005-0000-0000-0000F1000000}"/>
    <cellStyle name="Alilciue_17F1_626" xfId="243" xr:uid="{00000000-0005-0000-0000-0000F2000000}"/>
    <cellStyle name="Äĺíĺćíűé_17F1_626" xfId="244" xr:uid="{00000000-0005-0000-0000-0000F3000000}"/>
    <cellStyle name="Alilciue_19F1_628" xfId="245" xr:uid="{00000000-0005-0000-0000-0000F4000000}"/>
    <cellStyle name="Äĺíĺćíűé_19F1_628" xfId="246" xr:uid="{00000000-0005-0000-0000-0000F5000000}"/>
    <cellStyle name="Alilciue_240_60_7" xfId="247" xr:uid="{00000000-0005-0000-0000-0000F6000000}"/>
    <cellStyle name="Äĺíĺćíűé_240_60_7" xfId="248" xr:uid="{00000000-0005-0000-0000-0000F7000000}"/>
    <cellStyle name="Alilciue_240_61DB" xfId="249" xr:uid="{00000000-0005-0000-0000-0000F8000000}"/>
    <cellStyle name="Äĺíĺćíűé_240_61DB" xfId="250" xr:uid="{00000000-0005-0000-0000-0000F9000000}"/>
    <cellStyle name="Alilciue_5F1_140" xfId="251" xr:uid="{00000000-0005-0000-0000-0000FA000000}"/>
    <cellStyle name="Äĺíĺćíűé_5F1_140" xfId="252" xr:uid="{00000000-0005-0000-0000-0000FB000000}"/>
    <cellStyle name="Alilciue_620_60_7" xfId="253" xr:uid="{00000000-0005-0000-0000-0000FC000000}"/>
    <cellStyle name="Äĺíĺćíűé_620_60_7" xfId="254" xr:uid="{00000000-0005-0000-0000-0000FD000000}"/>
    <cellStyle name="Alilciue_TMP626" xfId="255" xr:uid="{00000000-0005-0000-0000-0000FE000000}"/>
    <cellStyle name="Äĺíĺćíűé_TMP626" xfId="256" xr:uid="{00000000-0005-0000-0000-0000FF000000}"/>
    <cellStyle name="Cniac" xfId="257" xr:uid="{00000000-0005-0000-0000-000000010000}"/>
    <cellStyle name="Currency 2" xfId="258" xr:uid="{00000000-0005-0000-0000-000001010000}"/>
    <cellStyle name="Currency 2 2" xfId="339" xr:uid="{00000000-0005-0000-0000-000002010000}"/>
    <cellStyle name="Currency 2 2 2" xfId="346" xr:uid="{00000000-0005-0000-0000-000003010000}"/>
    <cellStyle name="Currency 2 2 2 2" xfId="562" xr:uid="{00000000-0005-0000-0000-000004010000}"/>
    <cellStyle name="Currency 2 2 3" xfId="555" xr:uid="{00000000-0005-0000-0000-000005010000}"/>
    <cellStyle name="Currency 2 3" xfId="343" xr:uid="{00000000-0005-0000-0000-000006010000}"/>
    <cellStyle name="Currency 2 3 2" xfId="559" xr:uid="{00000000-0005-0000-0000-000007010000}"/>
    <cellStyle name="Currency 2 4" xfId="478" xr:uid="{00000000-0005-0000-0000-000008010000}"/>
    <cellStyle name="Diacraieiaie" xfId="259" xr:uid="{00000000-0005-0000-0000-000009010000}"/>
    <cellStyle name="Flag" xfId="260" xr:uid="{00000000-0005-0000-0000-00000A010000}"/>
    <cellStyle name="Grey" xfId="261" xr:uid="{00000000-0005-0000-0000-00000B010000}"/>
    <cellStyle name="Group1" xfId="262" xr:uid="{00000000-0005-0000-0000-00000C010000}"/>
    <cellStyle name="Heading2" xfId="263" xr:uid="{00000000-0005-0000-0000-00000D010000}"/>
    <cellStyle name="Headline I" xfId="264" xr:uid="{00000000-0005-0000-0000-00000E010000}"/>
    <cellStyle name="Headline II" xfId="265" xr:uid="{00000000-0005-0000-0000-00000F010000}"/>
    <cellStyle name="Headline III" xfId="266" xr:uid="{00000000-0005-0000-0000-000010010000}"/>
    <cellStyle name="Iau?iue_0_SODERJ" xfId="267" xr:uid="{00000000-0005-0000-0000-000011010000}"/>
    <cellStyle name="Îáű÷íűé_0_SODERJ" xfId="268" xr:uid="{00000000-0005-0000-0000-000012010000}"/>
    <cellStyle name="Iniiar nraecou" xfId="269" xr:uid="{00000000-0005-0000-0000-000013010000}"/>
    <cellStyle name="Input [yellow]" xfId="270" xr:uid="{00000000-0005-0000-0000-000014010000}"/>
    <cellStyle name="Neiciue craieiaie" xfId="271" xr:uid="{00000000-0005-0000-0000-000015010000}"/>
    <cellStyle name="Normal - Style1" xfId="272" xr:uid="{00000000-0005-0000-0000-000016010000}"/>
    <cellStyle name="Normal 2" xfId="273" xr:uid="{00000000-0005-0000-0000-000017010000}"/>
    <cellStyle name="Normal 2 2" xfId="340" xr:uid="{00000000-0005-0000-0000-000018010000}"/>
    <cellStyle name="Normal 2 2 2" xfId="347" xr:uid="{00000000-0005-0000-0000-000019010000}"/>
    <cellStyle name="Normal 2 2 2 2" xfId="563" xr:uid="{00000000-0005-0000-0000-00001A010000}"/>
    <cellStyle name="Normal 2 2 3" xfId="556" xr:uid="{00000000-0005-0000-0000-00001B010000}"/>
    <cellStyle name="Normal 2 3" xfId="344" xr:uid="{00000000-0005-0000-0000-00001C010000}"/>
    <cellStyle name="Normal 2 3 2" xfId="560" xr:uid="{00000000-0005-0000-0000-00001D010000}"/>
    <cellStyle name="Normal 2 4" xfId="493" xr:uid="{00000000-0005-0000-0000-00001E010000}"/>
    <cellStyle name="Normal 3" xfId="274" xr:uid="{00000000-0005-0000-0000-00001F010000}"/>
    <cellStyle name="normбlnм_laroux" xfId="275" xr:uid="{00000000-0005-0000-0000-000020010000}"/>
    <cellStyle name="Ociriniaue [0]_10F1_250" xfId="276" xr:uid="{00000000-0005-0000-0000-000021010000}"/>
    <cellStyle name="Ôčíŕíńîâűé [0]_10F1_250" xfId="277" xr:uid="{00000000-0005-0000-0000-000022010000}"/>
    <cellStyle name="Ociriniaue [0]_13F1_330" xfId="278" xr:uid="{00000000-0005-0000-0000-000023010000}"/>
    <cellStyle name="Ôčíŕíńîâűé [0]_13F1_330" xfId="279" xr:uid="{00000000-0005-0000-0000-000024010000}"/>
    <cellStyle name="Ociriniaue [0]_14F1_520" xfId="280" xr:uid="{00000000-0005-0000-0000-000025010000}"/>
    <cellStyle name="Ôčíŕíńîâűé [0]_14F1_520" xfId="281" xr:uid="{00000000-0005-0000-0000-000026010000}"/>
    <cellStyle name="Ociriniaue [0]_14F1_520 10" xfId="619" xr:uid="{00000000-0005-0000-0000-000027010000}"/>
    <cellStyle name="Ôčíŕíńîâűé [0]_14F1_520 10" xfId="474" xr:uid="{00000000-0005-0000-0000-000028010000}"/>
    <cellStyle name="Ociriniaue [0]_14F1_520 11" xfId="663" xr:uid="{00000000-0005-0000-0000-000029010000}"/>
    <cellStyle name="Ôčíŕíńîâűé [0]_14F1_520 11" xfId="670" xr:uid="{00000000-0005-0000-0000-00002A010000}"/>
    <cellStyle name="Ociriniaue [0]_14F1_520 12" xfId="681" xr:uid="{00000000-0005-0000-0000-00002B010000}"/>
    <cellStyle name="Ôčíŕíńîâűé [0]_14F1_520 12" xfId="473" xr:uid="{00000000-0005-0000-0000-00002C010000}"/>
    <cellStyle name="Ociriniaue [0]_14F1_520 13" xfId="694" xr:uid="{00000000-0005-0000-0000-00002D010000}"/>
    <cellStyle name="Ôčíŕíńîâűé [0]_14F1_520 13" xfId="417" xr:uid="{00000000-0005-0000-0000-00002E010000}"/>
    <cellStyle name="Ociriniaue [0]_14F1_520 14" xfId="708" xr:uid="{00000000-0005-0000-0000-00002F010000}"/>
    <cellStyle name="Ôčíŕíńîâűé [0]_14F1_520 14" xfId="469" xr:uid="{00000000-0005-0000-0000-000030010000}"/>
    <cellStyle name="Ociriniaue [0]_14F1_520 15" xfId="719" xr:uid="{00000000-0005-0000-0000-000031010000}"/>
    <cellStyle name="Ôčíŕíńîâűé [0]_14F1_520 15" xfId="418" xr:uid="{00000000-0005-0000-0000-000032010000}"/>
    <cellStyle name="Ociriniaue [0]_14F1_520 16" xfId="729" xr:uid="{00000000-0005-0000-0000-000033010000}"/>
    <cellStyle name="Ôčíŕíńîâűé [0]_14F1_520 16" xfId="465" xr:uid="{00000000-0005-0000-0000-000034010000}"/>
    <cellStyle name="Ociriniaue [0]_14F1_520 17" xfId="737" xr:uid="{00000000-0005-0000-0000-000035010000}"/>
    <cellStyle name="Ôčíŕíńîâűé [0]_14F1_520 17" xfId="422" xr:uid="{00000000-0005-0000-0000-000036010000}"/>
    <cellStyle name="Ociriniaue [0]_14F1_520 18" xfId="746" xr:uid="{00000000-0005-0000-0000-000037010000}"/>
    <cellStyle name="Ôčíŕíńîâűé [0]_14F1_520 18" xfId="599" xr:uid="{00000000-0005-0000-0000-000038010000}"/>
    <cellStyle name="Ociriniaue [0]_14F1_520 19" xfId="754" xr:uid="{00000000-0005-0000-0000-000039010000}"/>
    <cellStyle name="Ôčíŕíńîâűé [0]_14F1_520 19" xfId="662" xr:uid="{00000000-0005-0000-0000-00003A010000}"/>
    <cellStyle name="Ociriniaue [0]_14F1_520 2" xfId="500" xr:uid="{00000000-0005-0000-0000-00003B010000}"/>
    <cellStyle name="Ôčíŕíńîâűé [0]_14F1_520 2" xfId="501" xr:uid="{00000000-0005-0000-0000-00003C010000}"/>
    <cellStyle name="Ociriniaue [0]_14F1_520 20" xfId="761" xr:uid="{00000000-0005-0000-0000-00003D010000}"/>
    <cellStyle name="Ôčíŕíńîâűé [0]_14F1_520 20" xfId="680" xr:uid="{00000000-0005-0000-0000-00003E010000}"/>
    <cellStyle name="Ociriniaue [0]_14F1_520 21" xfId="766" xr:uid="{00000000-0005-0000-0000-00003F010000}"/>
    <cellStyle name="Ôčíŕíńîâűé [0]_14F1_520 21" xfId="693" xr:uid="{00000000-0005-0000-0000-000040010000}"/>
    <cellStyle name="Ociriniaue [0]_14F1_520 22" xfId="771" xr:uid="{00000000-0005-0000-0000-000041010000}"/>
    <cellStyle name="Ôčíŕíńîâűé [0]_14F1_520 22" xfId="707" xr:uid="{00000000-0005-0000-0000-000042010000}"/>
    <cellStyle name="Ociriniaue [0]_14F1_520 23" xfId="774" xr:uid="{00000000-0005-0000-0000-000043010000}"/>
    <cellStyle name="Ôčíŕíńîâűé [0]_14F1_520 23" xfId="718" xr:uid="{00000000-0005-0000-0000-000044010000}"/>
    <cellStyle name="Ociriniaue [0]_14F1_520 24" xfId="776" xr:uid="{00000000-0005-0000-0000-000045010000}"/>
    <cellStyle name="Ôčíŕíńîâűé [0]_14F1_520 24" xfId="728" xr:uid="{00000000-0005-0000-0000-000046010000}"/>
    <cellStyle name="Ociriniaue [0]_14F1_520 25" xfId="787" xr:uid="{00000000-0005-0000-0000-000047010000}"/>
    <cellStyle name="Ôčíŕíńîâűé [0]_14F1_520 25" xfId="788" xr:uid="{00000000-0005-0000-0000-000048010000}"/>
    <cellStyle name="Ociriniaue [0]_14F1_520 26" xfId="437" xr:uid="{00000000-0005-0000-0000-000049010000}"/>
    <cellStyle name="Ôčíŕíńîâűé [0]_14F1_520 26" xfId="438" xr:uid="{00000000-0005-0000-0000-00004A010000}"/>
    <cellStyle name="Ociriniaue [0]_14F1_520 27" xfId="822" xr:uid="{00000000-0005-0000-0000-00004B010000}"/>
    <cellStyle name="Ôčíŕíńîâűé [0]_14F1_520 27" xfId="782" xr:uid="{00000000-0005-0000-0000-00004C010000}"/>
    <cellStyle name="Ociriniaue [0]_14F1_520 28" xfId="826" xr:uid="{00000000-0005-0000-0000-00004D010000}"/>
    <cellStyle name="Ôčíŕíńîâűé [0]_14F1_520 28" xfId="432" xr:uid="{00000000-0005-0000-0000-00004E010000}"/>
    <cellStyle name="Ociriniaue [0]_14F1_520 29" xfId="829" xr:uid="{00000000-0005-0000-0000-00004F010000}"/>
    <cellStyle name="Ôčíŕíńîâűé [0]_14F1_520 29" xfId="778" xr:uid="{00000000-0005-0000-0000-000050010000}"/>
    <cellStyle name="Ociriniaue [0]_14F1_520 3" xfId="394" xr:uid="{00000000-0005-0000-0000-000051010000}"/>
    <cellStyle name="Ôčíŕíńîâűé [0]_14F1_520 3" xfId="393" xr:uid="{00000000-0005-0000-0000-000052010000}"/>
    <cellStyle name="Ociriniaue [0]_14F1_520 30" xfId="830" xr:uid="{00000000-0005-0000-0000-000053010000}"/>
    <cellStyle name="Ôčíŕíńîâűé [0]_14F1_520 30" xfId="428" xr:uid="{00000000-0005-0000-0000-000054010000}"/>
    <cellStyle name="Ociriniaue [0]_14F1_520 4" xfId="485" xr:uid="{00000000-0005-0000-0000-000055010000}"/>
    <cellStyle name="Ôčíŕíńîâűé [0]_14F1_520 4" xfId="486" xr:uid="{00000000-0005-0000-0000-000056010000}"/>
    <cellStyle name="Ociriniaue [0]_14F1_520 5" xfId="586" xr:uid="{00000000-0005-0000-0000-000057010000}"/>
    <cellStyle name="Ôčíŕíńîâűé [0]_14F1_520 5" xfId="400" xr:uid="{00000000-0005-0000-0000-000058010000}"/>
    <cellStyle name="Ociriniaue [0]_14F1_520 6" xfId="597" xr:uid="{00000000-0005-0000-0000-000059010000}"/>
    <cellStyle name="Ôčíŕíńîâűé [0]_14F1_520 6" xfId="479" xr:uid="{00000000-0005-0000-0000-00005A010000}"/>
    <cellStyle name="Ociriniaue [0]_14F1_520 7" xfId="610" xr:uid="{00000000-0005-0000-0000-00005B010000}"/>
    <cellStyle name="Ôčíŕíńîâűé [0]_14F1_520 7" xfId="404" xr:uid="{00000000-0005-0000-0000-00005C010000}"/>
    <cellStyle name="Ociriniaue [0]_14F1_520 8" xfId="600" xr:uid="{00000000-0005-0000-0000-00005D010000}"/>
    <cellStyle name="Ôčíŕíńîâűé [0]_14F1_520 8" xfId="484" xr:uid="{00000000-0005-0000-0000-00005E010000}"/>
    <cellStyle name="Ociriniaue [0]_14F1_520 9" xfId="411" xr:uid="{00000000-0005-0000-0000-00005F010000}"/>
    <cellStyle name="Ôčíŕíńîâűé [0]_14F1_520 9" xfId="410" xr:uid="{00000000-0005-0000-0000-000060010000}"/>
    <cellStyle name="Ociriniaue [0]_17F1_626" xfId="282" xr:uid="{00000000-0005-0000-0000-000061010000}"/>
    <cellStyle name="Ôčíŕíńîâűé [0]_17F1_626" xfId="283" xr:uid="{00000000-0005-0000-0000-000062010000}"/>
    <cellStyle name="Ociriniaue [0]_17F1_626 10" xfId="475" xr:uid="{00000000-0005-0000-0000-000063010000}"/>
    <cellStyle name="Ôčíŕíńîâűé [0]_17F1_626 10" xfId="476" xr:uid="{00000000-0005-0000-0000-000064010000}"/>
    <cellStyle name="Ociriniaue [0]_17F1_626 11" xfId="667" xr:uid="{00000000-0005-0000-0000-000065010000}"/>
    <cellStyle name="Ôčíŕíńîâűé [0]_17F1_626 11" xfId="588" xr:uid="{00000000-0005-0000-0000-000066010000}"/>
    <cellStyle name="Ociriniaue [0]_17F1_626 12" xfId="617" xr:uid="{00000000-0005-0000-0000-000067010000}"/>
    <cellStyle name="Ôčíŕíńîâűé [0]_17F1_626 12" xfId="621" xr:uid="{00000000-0005-0000-0000-000068010000}"/>
    <cellStyle name="Ociriniaue [0]_17F1_626 13" xfId="605" xr:uid="{00000000-0005-0000-0000-000069010000}"/>
    <cellStyle name="Ôčíŕíńîâűé [0]_17F1_626 13" xfId="612" xr:uid="{00000000-0005-0000-0000-00006A010000}"/>
    <cellStyle name="Ociriniaue [0]_17F1_626 14" xfId="470" xr:uid="{00000000-0005-0000-0000-00006B010000}"/>
    <cellStyle name="Ôčíŕíńîâűé [0]_17F1_626 14" xfId="471" xr:uid="{00000000-0005-0000-0000-00006C010000}"/>
    <cellStyle name="Ociriniaue [0]_17F1_626 15" xfId="627" xr:uid="{00000000-0005-0000-0000-00006D010000}"/>
    <cellStyle name="Ôčíŕíńîâűé [0]_17F1_626 15" xfId="634" xr:uid="{00000000-0005-0000-0000-00006E010000}"/>
    <cellStyle name="Ociriniaue [0]_17F1_626 16" xfId="466" xr:uid="{00000000-0005-0000-0000-00006F010000}"/>
    <cellStyle name="Ôčíŕíńîâűé [0]_17F1_626 16" xfId="467" xr:uid="{00000000-0005-0000-0000-000070010000}"/>
    <cellStyle name="Ociriniaue [0]_17F1_626 17" xfId="421" xr:uid="{00000000-0005-0000-0000-000071010000}"/>
    <cellStyle name="Ôčíŕíńîâűé [0]_17F1_626 17" xfId="420" xr:uid="{00000000-0005-0000-0000-000072010000}"/>
    <cellStyle name="Ociriniaue [0]_17F1_626 18" xfId="596" xr:uid="{00000000-0005-0000-0000-000073010000}"/>
    <cellStyle name="Ôčíŕíńîâűé [0]_17F1_626 18" xfId="463" xr:uid="{00000000-0005-0000-0000-000074010000}"/>
    <cellStyle name="Ociriniaue [0]_17F1_626 19" xfId="669" xr:uid="{00000000-0005-0000-0000-000075010000}"/>
    <cellStyle name="Ôčíŕíńîâűé [0]_17F1_626 19" xfId="666" xr:uid="{00000000-0005-0000-0000-000076010000}"/>
    <cellStyle name="Ociriniaue [0]_17F1_626 2" xfId="502" xr:uid="{00000000-0005-0000-0000-000077010000}"/>
    <cellStyle name="Ôčíŕíńîâűé [0]_17F1_626 2" xfId="503" xr:uid="{00000000-0005-0000-0000-000078010000}"/>
    <cellStyle name="Ociriniaue [0]_17F1_626 20" xfId="646" xr:uid="{00000000-0005-0000-0000-000079010000}"/>
    <cellStyle name="Ôčíŕíńîâűé [0]_17F1_626 20" xfId="653" xr:uid="{00000000-0005-0000-0000-00007A010000}"/>
    <cellStyle name="Ociriniaue [0]_17F1_626 21" xfId="426" xr:uid="{00000000-0005-0000-0000-00007B010000}"/>
    <cellStyle name="Ôčíŕíńîâűé [0]_17F1_626 21" xfId="425" xr:uid="{00000000-0005-0000-0000-00007C010000}"/>
    <cellStyle name="Ociriniaue [0]_17F1_626 22" xfId="593" xr:uid="{00000000-0005-0000-0000-00007D010000}"/>
    <cellStyle name="Ôčíŕíńîâűé [0]_17F1_626 22" xfId="676" xr:uid="{00000000-0005-0000-0000-00007E010000}"/>
    <cellStyle name="Ociriniaue [0]_17F1_626 23" xfId="427" xr:uid="{00000000-0005-0000-0000-00007F010000}"/>
    <cellStyle name="Ôčíŕíńîâűé [0]_17F1_626 23" xfId="689" xr:uid="{00000000-0005-0000-0000-000080010000}"/>
    <cellStyle name="Ociriniaue [0]_17F1_626 24" xfId="462" xr:uid="{00000000-0005-0000-0000-000081010000}"/>
    <cellStyle name="Ôčíŕíńîâűé [0]_17F1_626 24" xfId="703" xr:uid="{00000000-0005-0000-0000-000082010000}"/>
    <cellStyle name="Ociriniaue [0]_17F1_626 25" xfId="789" xr:uid="{00000000-0005-0000-0000-000083010000}"/>
    <cellStyle name="Ôčíŕíńîâűé [0]_17F1_626 25" xfId="790" xr:uid="{00000000-0005-0000-0000-000084010000}"/>
    <cellStyle name="Ociriniaue [0]_17F1_626 26" xfId="439" xr:uid="{00000000-0005-0000-0000-000085010000}"/>
    <cellStyle name="Ôčíŕíńîâűé [0]_17F1_626 26" xfId="440" xr:uid="{00000000-0005-0000-0000-000086010000}"/>
    <cellStyle name="Ociriniaue [0]_17F1_626 27" xfId="783" xr:uid="{00000000-0005-0000-0000-000087010000}"/>
    <cellStyle name="Ôčíŕíńîâűé [0]_17F1_626 27" xfId="784" xr:uid="{00000000-0005-0000-0000-000088010000}"/>
    <cellStyle name="Ociriniaue [0]_17F1_626 28" xfId="433" xr:uid="{00000000-0005-0000-0000-000089010000}"/>
    <cellStyle name="Ôčíŕíńîâűé [0]_17F1_626 28" xfId="434" xr:uid="{00000000-0005-0000-0000-00008A010000}"/>
    <cellStyle name="Ociriniaue [0]_17F1_626 29" xfId="779" xr:uid="{00000000-0005-0000-0000-00008B010000}"/>
    <cellStyle name="Ôčíŕíńîâűé [0]_17F1_626 29" xfId="780" xr:uid="{00000000-0005-0000-0000-00008C010000}"/>
    <cellStyle name="Ociriniaue [0]_17F1_626 3" xfId="392" xr:uid="{00000000-0005-0000-0000-00008D010000}"/>
    <cellStyle name="Ôčíŕíńîâűé [0]_17F1_626 3" xfId="391" xr:uid="{00000000-0005-0000-0000-00008E010000}"/>
    <cellStyle name="Ociriniaue [0]_17F1_626 30" xfId="429" xr:uid="{00000000-0005-0000-0000-00008F010000}"/>
    <cellStyle name="Ôčíŕíńîâűé [0]_17F1_626 30" xfId="430" xr:uid="{00000000-0005-0000-0000-000090010000}"/>
    <cellStyle name="Ociriniaue [0]_17F1_626 4" xfId="487" xr:uid="{00000000-0005-0000-0000-000091010000}"/>
    <cellStyle name="Ôčíŕíńîâűé [0]_17F1_626 4" xfId="488" xr:uid="{00000000-0005-0000-0000-000092010000}"/>
    <cellStyle name="Ociriniaue [0]_17F1_626 5" xfId="399" xr:uid="{00000000-0005-0000-0000-000093010000}"/>
    <cellStyle name="Ôčíŕíńîâűé [0]_17F1_626 5" xfId="398" xr:uid="{00000000-0005-0000-0000-000094010000}"/>
    <cellStyle name="Ociriniaue [0]_17F1_626 6" xfId="480" xr:uid="{00000000-0005-0000-0000-000095010000}"/>
    <cellStyle name="Ôčíŕíńîâűé [0]_17F1_626 6" xfId="481" xr:uid="{00000000-0005-0000-0000-000096010000}"/>
    <cellStyle name="Ociriniaue [0]_17F1_626 7" xfId="403" xr:uid="{00000000-0005-0000-0000-000097010000}"/>
    <cellStyle name="Ôčíŕíńîâűé [0]_17F1_626 7" xfId="402" xr:uid="{00000000-0005-0000-0000-000098010000}"/>
    <cellStyle name="Ociriniaue [0]_17F1_626 8" xfId="491" xr:uid="{00000000-0005-0000-0000-000099010000}"/>
    <cellStyle name="Ôčíŕíńîâűé [0]_17F1_626 8" xfId="492" xr:uid="{00000000-0005-0000-0000-00009A010000}"/>
    <cellStyle name="Ociriniaue [0]_17F1_626 9" xfId="409" xr:uid="{00000000-0005-0000-0000-00009B010000}"/>
    <cellStyle name="Ôčíŕíńîâűé [0]_17F1_626 9" xfId="628" xr:uid="{00000000-0005-0000-0000-00009C010000}"/>
    <cellStyle name="Ociriniaue [0]_19F1_628" xfId="284" xr:uid="{00000000-0005-0000-0000-00009D010000}"/>
    <cellStyle name="Ôčíŕíńîâűé [0]_19F1_628" xfId="285" xr:uid="{00000000-0005-0000-0000-00009E010000}"/>
    <cellStyle name="Ociriniaue [0]_19F1_628 10" xfId="477" xr:uid="{00000000-0005-0000-0000-00009F010000}"/>
    <cellStyle name="Ôčíŕíńîâűé [0]_19F1_628 10" xfId="594" xr:uid="{00000000-0005-0000-0000-0000A0010000}"/>
    <cellStyle name="Ociriniaue [0]_19F1_628 11" xfId="585" xr:uid="{00000000-0005-0000-0000-0000A1010000}"/>
    <cellStyle name="Ôčíŕíńîâűé [0]_19F1_628 11" xfId="415" xr:uid="{00000000-0005-0000-0000-0000A2010000}"/>
    <cellStyle name="Ociriniaue [0]_19F1_628 12" xfId="647" xr:uid="{00000000-0005-0000-0000-0000A3010000}"/>
    <cellStyle name="Ôčíŕíńîâűé [0]_19F1_628 12" xfId="654" xr:uid="{00000000-0005-0000-0000-0000A4010000}"/>
    <cellStyle name="Ociriniaue [0]_19F1_628 13" xfId="609" xr:uid="{00000000-0005-0000-0000-0000A5010000}"/>
    <cellStyle name="Ôčíŕíńîâűé [0]_19F1_628 13" xfId="416" xr:uid="{00000000-0005-0000-0000-0000A6010000}"/>
    <cellStyle name="Ociriniaue [0]_19F1_628 14" xfId="472" xr:uid="{00000000-0005-0000-0000-0000A7010000}"/>
    <cellStyle name="Ôčíŕíńîâűé [0]_19F1_628 14" xfId="677" xr:uid="{00000000-0005-0000-0000-0000A8010000}"/>
    <cellStyle name="Ociriniaue [0]_19F1_628 15" xfId="631" xr:uid="{00000000-0005-0000-0000-0000A9010000}"/>
    <cellStyle name="Ôčíŕíńîâűé [0]_19F1_628 15" xfId="690" xr:uid="{00000000-0005-0000-0000-0000AA010000}"/>
    <cellStyle name="Ociriniaue [0]_19F1_628 16" xfId="468" xr:uid="{00000000-0005-0000-0000-0000AB010000}"/>
    <cellStyle name="Ôčíŕíńîâűé [0]_19F1_628 16" xfId="704" xr:uid="{00000000-0005-0000-0000-0000AC010000}"/>
    <cellStyle name="Ociriniaue [0]_19F1_628 17" xfId="419" xr:uid="{00000000-0005-0000-0000-0000AD010000}"/>
    <cellStyle name="Ôčíŕíńîâűé [0]_19F1_628 17" xfId="715" xr:uid="{00000000-0005-0000-0000-0000AE010000}"/>
    <cellStyle name="Ociriniaue [0]_19F1_628 18" xfId="464" xr:uid="{00000000-0005-0000-0000-0000AF010000}"/>
    <cellStyle name="Ôčíŕíńîâűé [0]_19F1_628 18" xfId="725" xr:uid="{00000000-0005-0000-0000-0000B0010000}"/>
    <cellStyle name="Ociriniaue [0]_19F1_628 19" xfId="423" xr:uid="{00000000-0005-0000-0000-0000B1010000}"/>
    <cellStyle name="Ôčíŕíńîâűé [0]_19F1_628 19" xfId="734" xr:uid="{00000000-0005-0000-0000-0000B2010000}"/>
    <cellStyle name="Ociriniaue [0]_19F1_628 2" xfId="504" xr:uid="{00000000-0005-0000-0000-0000B3010000}"/>
    <cellStyle name="Ôčíŕíńîâűé [0]_19F1_628 2" xfId="505" xr:uid="{00000000-0005-0000-0000-0000B4010000}"/>
    <cellStyle name="Ociriniaue [0]_19F1_628 20" xfId="650" xr:uid="{00000000-0005-0000-0000-0000B5010000}"/>
    <cellStyle name="Ôčíŕíńîâűé [0]_19F1_628 20" xfId="743" xr:uid="{00000000-0005-0000-0000-0000B6010000}"/>
    <cellStyle name="Ociriniaue [0]_19F1_628 21" xfId="424" xr:uid="{00000000-0005-0000-0000-0000B7010000}"/>
    <cellStyle name="Ôčíŕíńîâűé [0]_19F1_628 21" xfId="751" xr:uid="{00000000-0005-0000-0000-0000B8010000}"/>
    <cellStyle name="Ociriniaue [0]_19F1_628 22" xfId="683" xr:uid="{00000000-0005-0000-0000-0000B9010000}"/>
    <cellStyle name="Ôčíŕíńîâűé [0]_19F1_628 22" xfId="758" xr:uid="{00000000-0005-0000-0000-0000BA010000}"/>
    <cellStyle name="Ociriniaue [0]_19F1_628 23" xfId="696" xr:uid="{00000000-0005-0000-0000-0000BB010000}"/>
    <cellStyle name="Ôčíŕíńîâűé [0]_19F1_628 23" xfId="765" xr:uid="{00000000-0005-0000-0000-0000BC010000}"/>
    <cellStyle name="Ociriniaue [0]_19F1_628 24" xfId="710" xr:uid="{00000000-0005-0000-0000-0000BD010000}"/>
    <cellStyle name="Ôčíŕíńîâűé [0]_19F1_628 24" xfId="770" xr:uid="{00000000-0005-0000-0000-0000BE010000}"/>
    <cellStyle name="Ociriniaue [0]_19F1_628 25" xfId="791" xr:uid="{00000000-0005-0000-0000-0000BF010000}"/>
    <cellStyle name="Ôčíŕíńîâűé [0]_19F1_628 25" xfId="792" xr:uid="{00000000-0005-0000-0000-0000C0010000}"/>
    <cellStyle name="Ociriniaue [0]_19F1_628 26" xfId="441" xr:uid="{00000000-0005-0000-0000-0000C1010000}"/>
    <cellStyle name="Ôčíŕíńîâűé [0]_19F1_628 26" xfId="442" xr:uid="{00000000-0005-0000-0000-0000C2010000}"/>
    <cellStyle name="Ociriniaue [0]_19F1_628 27" xfId="785" xr:uid="{00000000-0005-0000-0000-0000C3010000}"/>
    <cellStyle name="Ôčíŕíńîâűé [0]_19F1_628 27" xfId="786" xr:uid="{00000000-0005-0000-0000-0000C4010000}"/>
    <cellStyle name="Ociriniaue [0]_19F1_628 28" xfId="435" xr:uid="{00000000-0005-0000-0000-0000C5010000}"/>
    <cellStyle name="Ôčíŕíńîâűé [0]_19F1_628 28" xfId="436" xr:uid="{00000000-0005-0000-0000-0000C6010000}"/>
    <cellStyle name="Ociriniaue [0]_19F1_628 29" xfId="781" xr:uid="{00000000-0005-0000-0000-0000C7010000}"/>
    <cellStyle name="Ôčíŕíńîâűé [0]_19F1_628 29" xfId="821" xr:uid="{00000000-0005-0000-0000-0000C8010000}"/>
    <cellStyle name="Ociriniaue [0]_19F1_628 3" xfId="390" xr:uid="{00000000-0005-0000-0000-0000C9010000}"/>
    <cellStyle name="Ôčíŕíńîâűé [0]_19F1_628 3" xfId="389" xr:uid="{00000000-0005-0000-0000-0000CA010000}"/>
    <cellStyle name="Ociriniaue [0]_19F1_628 30" xfId="431" xr:uid="{00000000-0005-0000-0000-0000CB010000}"/>
    <cellStyle name="Ôčíŕíńîâűé [0]_19F1_628 30" xfId="825" xr:uid="{00000000-0005-0000-0000-0000CC010000}"/>
    <cellStyle name="Ociriniaue [0]_19F1_628 4" xfId="489" xr:uid="{00000000-0005-0000-0000-0000CD010000}"/>
    <cellStyle name="Ôčíŕíńîâűé [0]_19F1_628 4" xfId="490" xr:uid="{00000000-0005-0000-0000-0000CE010000}"/>
    <cellStyle name="Ociriniaue [0]_19F1_628 5" xfId="397" xr:uid="{00000000-0005-0000-0000-0000CF010000}"/>
    <cellStyle name="Ôčíŕíńîâűé [0]_19F1_628 5" xfId="396" xr:uid="{00000000-0005-0000-0000-0000D0010000}"/>
    <cellStyle name="Ociriniaue [0]_19F1_628 6" xfId="482" xr:uid="{00000000-0005-0000-0000-0000D1010000}"/>
    <cellStyle name="Ôčíŕíńîâűé [0]_19F1_628 6" xfId="483" xr:uid="{00000000-0005-0000-0000-0000D2010000}"/>
    <cellStyle name="Ociriniaue [0]_19F1_628 7" xfId="401" xr:uid="{00000000-0005-0000-0000-0000D3010000}"/>
    <cellStyle name="Ôčíŕíńîâűé [0]_19F1_628 7" xfId="582" xr:uid="{00000000-0005-0000-0000-0000D4010000}"/>
    <cellStyle name="Ociriniaue [0]_19F1_628 8" xfId="494" xr:uid="{00000000-0005-0000-0000-0000D5010000}"/>
    <cellStyle name="Ôčíŕíńîâűé [0]_19F1_628 8" xfId="499" xr:uid="{00000000-0005-0000-0000-0000D6010000}"/>
    <cellStyle name="Ociriniaue [0]_19F1_628 9" xfId="635" xr:uid="{00000000-0005-0000-0000-0000D7010000}"/>
    <cellStyle name="Ôčíŕíńîâűé [0]_19F1_628 9" xfId="632" xr:uid="{00000000-0005-0000-0000-0000D8010000}"/>
    <cellStyle name="Ociriniaue [0]_240_60_7" xfId="286" xr:uid="{00000000-0005-0000-0000-0000D9010000}"/>
    <cellStyle name="Ôčíŕíńîâűé [0]_240_60_7" xfId="287" xr:uid="{00000000-0005-0000-0000-0000DA010000}"/>
    <cellStyle name="Ociriniaue [0]_240_61DB" xfId="288" xr:uid="{00000000-0005-0000-0000-0000DB010000}"/>
    <cellStyle name="Ôčíŕíńîâűé [0]_240_61DB" xfId="289" xr:uid="{00000000-0005-0000-0000-0000DC010000}"/>
    <cellStyle name="Ociriniaue [0]_5F1_140" xfId="290" xr:uid="{00000000-0005-0000-0000-0000DD010000}"/>
    <cellStyle name="Ôčíŕíńîâűé [0]_5F1_140" xfId="291" xr:uid="{00000000-0005-0000-0000-0000DE010000}"/>
    <cellStyle name="Ociriniaue [0]_5F1_140 10" xfId="526" xr:uid="{00000000-0005-0000-0000-0000DF010000}"/>
    <cellStyle name="Ôčíŕíńîâűé [0]_5F1_140 10" xfId="537" xr:uid="{00000000-0005-0000-0000-0000E0010000}"/>
    <cellStyle name="Ociriniaue [0]_5F1_140 11" xfId="407" xr:uid="{00000000-0005-0000-0000-0000E1010000}"/>
    <cellStyle name="Ôčíŕíńîâűé [0]_5F1_140 11" xfId="406" xr:uid="{00000000-0005-0000-0000-0000E2010000}"/>
    <cellStyle name="Ociriniaue [0]_5F1_140 12" xfId="509" xr:uid="{00000000-0005-0000-0000-0000E3010000}"/>
    <cellStyle name="Ôčíŕíńîâűé [0]_5F1_140 12" xfId="538" xr:uid="{00000000-0005-0000-0000-0000E4010000}"/>
    <cellStyle name="Ociriniaue [0]_5F1_140 13" xfId="408" xr:uid="{00000000-0005-0000-0000-0000E5010000}"/>
    <cellStyle name="Ôčíŕíńîâűé [0]_5F1_140 13" xfId="405" xr:uid="{00000000-0005-0000-0000-0000E6010000}"/>
    <cellStyle name="Ociriniaue [0]_5F1_140 14" xfId="508" xr:uid="{00000000-0005-0000-0000-0000E7010000}"/>
    <cellStyle name="Ôčíŕíńîâűé [0]_5F1_140 14" xfId="539" xr:uid="{00000000-0005-0000-0000-0000E8010000}"/>
    <cellStyle name="Ociriniaue [0]_5F1_140 15" xfId="412" xr:uid="{00000000-0005-0000-0000-0000E9010000}"/>
    <cellStyle name="Ôčíŕíńîâűé [0]_5F1_140 15" xfId="589" xr:uid="{00000000-0005-0000-0000-0000EA010000}"/>
    <cellStyle name="Ociriniaue [0]_5F1_140 16" xfId="507" xr:uid="{00000000-0005-0000-0000-0000EB010000}"/>
    <cellStyle name="Ôčíŕíńîâűé [0]_5F1_140 16" xfId="540" xr:uid="{00000000-0005-0000-0000-0000EC010000}"/>
    <cellStyle name="Ociriniaue [0]_5F1_140 17" xfId="413" xr:uid="{00000000-0005-0000-0000-0000ED010000}"/>
    <cellStyle name="Ôčíŕíńîâűé [0]_5F1_140 17" xfId="395" xr:uid="{00000000-0005-0000-0000-0000EE010000}"/>
    <cellStyle name="Ociriniaue [0]_5F1_140 18" xfId="506" xr:uid="{00000000-0005-0000-0000-0000EF010000}"/>
    <cellStyle name="Ôčíŕíńîâűé [0]_5F1_140 18" xfId="543" xr:uid="{00000000-0005-0000-0000-0000F0010000}"/>
    <cellStyle name="Ociriniaue [0]_5F1_140 19" xfId="414" xr:uid="{00000000-0005-0000-0000-0000F1010000}"/>
    <cellStyle name="Ôčíŕíńîâűé [0]_5F1_140 19" xfId="388" xr:uid="{00000000-0005-0000-0000-0000F2010000}"/>
    <cellStyle name="Ociriniaue [0]_5F1_140 2" xfId="510" xr:uid="{00000000-0005-0000-0000-0000F3010000}"/>
    <cellStyle name="Ôčíŕíńîâűé [0]_5F1_140 2" xfId="511" xr:uid="{00000000-0005-0000-0000-0000F4010000}"/>
    <cellStyle name="Ociriniaue [0]_5F1_140 20" xfId="651" xr:uid="{00000000-0005-0000-0000-0000F5010000}"/>
    <cellStyle name="Ôčíŕíńîâűé [0]_5F1_140 20" xfId="354" xr:uid="{00000000-0005-0000-0000-0000F6010000}"/>
    <cellStyle name="Ociriniaue [0]_5F1_140 21" xfId="581" xr:uid="{00000000-0005-0000-0000-0000F7010000}"/>
    <cellStyle name="Ôčíŕíńîâűé [0]_5F1_140 21" xfId="387" xr:uid="{00000000-0005-0000-0000-0000F8010000}"/>
    <cellStyle name="Ociriniaue [0]_5F1_140 22" xfId="684" xr:uid="{00000000-0005-0000-0000-0000F9010000}"/>
    <cellStyle name="Ôčíŕíńîâűé [0]_5F1_140 22" xfId="544" xr:uid="{00000000-0005-0000-0000-0000FA010000}"/>
    <cellStyle name="Ociriniaue [0]_5F1_140 23" xfId="697" xr:uid="{00000000-0005-0000-0000-0000FB010000}"/>
    <cellStyle name="Ôčíŕíńîâűé [0]_5F1_140 23" xfId="380" xr:uid="{00000000-0005-0000-0000-0000FC010000}"/>
    <cellStyle name="Ociriniaue [0]_5F1_140 24" xfId="711" xr:uid="{00000000-0005-0000-0000-0000FD010000}"/>
    <cellStyle name="Ôčíŕíńîâűé [0]_5F1_140 24" xfId="550" xr:uid="{00000000-0005-0000-0000-0000FE010000}"/>
    <cellStyle name="Ociriniaue [0]_5F1_140 25" xfId="795" xr:uid="{00000000-0005-0000-0000-0000FF010000}"/>
    <cellStyle name="Ôčíŕíńîâűé [0]_5F1_140 25" xfId="796" xr:uid="{00000000-0005-0000-0000-000000020000}"/>
    <cellStyle name="Ociriniaue [0]_5F1_140 26" xfId="445" xr:uid="{00000000-0005-0000-0000-000001020000}"/>
    <cellStyle name="Ôčíŕíńîâűé [0]_5F1_140 26" xfId="446" xr:uid="{00000000-0005-0000-0000-000002020000}"/>
    <cellStyle name="Ociriniaue [0]_5F1_140 27" xfId="794" xr:uid="{00000000-0005-0000-0000-000003020000}"/>
    <cellStyle name="Ôčíŕíńîâűé [0]_5F1_140 27" xfId="797" xr:uid="{00000000-0005-0000-0000-000004020000}"/>
    <cellStyle name="Ociriniaue [0]_5F1_140 28" xfId="444" xr:uid="{00000000-0005-0000-0000-000005020000}"/>
    <cellStyle name="Ôčíŕíńîâűé [0]_5F1_140 28" xfId="447" xr:uid="{00000000-0005-0000-0000-000006020000}"/>
    <cellStyle name="Ociriniaue [0]_5F1_140 29" xfId="793" xr:uid="{00000000-0005-0000-0000-000007020000}"/>
    <cellStyle name="Ôčíŕíńîâűé [0]_5F1_140 29" xfId="798" xr:uid="{00000000-0005-0000-0000-000008020000}"/>
    <cellStyle name="Ociriniaue [0]_5F1_140 3" xfId="384" xr:uid="{00000000-0005-0000-0000-000009020000}"/>
    <cellStyle name="Ôčíŕíńîâűé [0]_5F1_140 3" xfId="383" xr:uid="{00000000-0005-0000-0000-00000A020000}"/>
    <cellStyle name="Ociriniaue [0]_5F1_140 30" xfId="443" xr:uid="{00000000-0005-0000-0000-00000B020000}"/>
    <cellStyle name="Ôčíŕíńîâűé [0]_5F1_140 30" xfId="448" xr:uid="{00000000-0005-0000-0000-00000C020000}"/>
    <cellStyle name="Ociriniaue [0]_5F1_140 4" xfId="496" xr:uid="{00000000-0005-0000-0000-00000D020000}"/>
    <cellStyle name="Ôčíŕíńîâűé [0]_5F1_140 4" xfId="497" xr:uid="{00000000-0005-0000-0000-00000E020000}"/>
    <cellStyle name="Ociriniaue [0]_5F1_140 5" xfId="385" xr:uid="{00000000-0005-0000-0000-00000F020000}"/>
    <cellStyle name="Ôčíŕíńîâűé [0]_5F1_140 5" xfId="382" xr:uid="{00000000-0005-0000-0000-000010020000}"/>
    <cellStyle name="Ociriniaue [0]_5F1_140 6" xfId="495" xr:uid="{00000000-0005-0000-0000-000011020000}"/>
    <cellStyle name="Ôčíŕíńîâűé [0]_5F1_140 6" xfId="498" xr:uid="{00000000-0005-0000-0000-000012020000}"/>
    <cellStyle name="Ociriniaue [0]_5F1_140 7" xfId="386" xr:uid="{00000000-0005-0000-0000-000013020000}"/>
    <cellStyle name="Ôčíŕíńîâűé [0]_5F1_140 7" xfId="381" xr:uid="{00000000-0005-0000-0000-000014020000}"/>
    <cellStyle name="Ociriniaue [0]_5F1_140 8" xfId="512" xr:uid="{00000000-0005-0000-0000-000015020000}"/>
    <cellStyle name="Ôčíŕíńîâűé [0]_5F1_140 8" xfId="513" xr:uid="{00000000-0005-0000-0000-000016020000}"/>
    <cellStyle name="Ociriniaue [0]_5F1_140 9" xfId="606" xr:uid="{00000000-0005-0000-0000-000017020000}"/>
    <cellStyle name="Ôčíŕíńîâűé [0]_5F1_140 9" xfId="613" xr:uid="{00000000-0005-0000-0000-000018020000}"/>
    <cellStyle name="Ociriniaue [0]_620_60_7" xfId="292" xr:uid="{00000000-0005-0000-0000-000019020000}"/>
    <cellStyle name="Ôčíŕíńîâűé [0]_620_60_7" xfId="293" xr:uid="{00000000-0005-0000-0000-00001A020000}"/>
    <cellStyle name="Ociriniaue [0]_TMP626" xfId="294" xr:uid="{00000000-0005-0000-0000-00001B020000}"/>
    <cellStyle name="Ôčíŕíńîâűé [0]_TMP626" xfId="295" xr:uid="{00000000-0005-0000-0000-00001C020000}"/>
    <cellStyle name="Ociriniaue_10F1_250" xfId="296" xr:uid="{00000000-0005-0000-0000-00001D020000}"/>
    <cellStyle name="Ôčíŕíńîâűé_10F1_250" xfId="297" xr:uid="{00000000-0005-0000-0000-00001E020000}"/>
    <cellStyle name="Ociriniaue_13F1_330" xfId="298" xr:uid="{00000000-0005-0000-0000-00001F020000}"/>
    <cellStyle name="Ôčíŕíńîâűé_13F1_330" xfId="299" xr:uid="{00000000-0005-0000-0000-000020020000}"/>
    <cellStyle name="Ociriniaue_14F1_520" xfId="300" xr:uid="{00000000-0005-0000-0000-000021020000}"/>
    <cellStyle name="Ôčíŕíńîâűé_14F1_520" xfId="301" xr:uid="{00000000-0005-0000-0000-000022020000}"/>
    <cellStyle name="Ociriniaue_14F1_520 10" xfId="602" xr:uid="{00000000-0005-0000-0000-000023020000}"/>
    <cellStyle name="Ôčíŕíńîâűé_14F1_520 10" xfId="580" xr:uid="{00000000-0005-0000-0000-000024020000}"/>
    <cellStyle name="Ociriniaue_14F1_520 11" xfId="379" xr:uid="{00000000-0005-0000-0000-000025020000}"/>
    <cellStyle name="Ôčíŕíńîâűé_14F1_520 11" xfId="572" xr:uid="{00000000-0005-0000-0000-000026020000}"/>
    <cellStyle name="Ociriniaue_14F1_520 12" xfId="623" xr:uid="{00000000-0005-0000-0000-000027020000}"/>
    <cellStyle name="Ôčíŕíńîâűé_14F1_520 12" xfId="575" xr:uid="{00000000-0005-0000-0000-000028020000}"/>
    <cellStyle name="Ociriniaue_14F1_520 13" xfId="607" xr:uid="{00000000-0005-0000-0000-000029020000}"/>
    <cellStyle name="Ôčíŕíńîâűé_14F1_520 13" xfId="614" xr:uid="{00000000-0005-0000-0000-00002A020000}"/>
    <cellStyle name="Ociriniaue_14F1_520 14" xfId="566" xr:uid="{00000000-0005-0000-0000-00002B020000}"/>
    <cellStyle name="Ôčíŕíńîâűé_14F1_520 14" xfId="648" xr:uid="{00000000-0005-0000-0000-00002C020000}"/>
    <cellStyle name="Ociriniaue_14F1_520 15" xfId="629" xr:uid="{00000000-0005-0000-0000-00002D020000}"/>
    <cellStyle name="Ôčíŕíńîâűé_14F1_520 15" xfId="641" xr:uid="{00000000-0005-0000-0000-00002E020000}"/>
    <cellStyle name="Ociriniaue_14F1_520 16" xfId="658" xr:uid="{00000000-0005-0000-0000-00002F020000}"/>
    <cellStyle name="Ôčíŕíńîâűé_14F1_520 16" xfId="657" xr:uid="{00000000-0005-0000-0000-000030020000}"/>
    <cellStyle name="Ociriniaue_14F1_520 17" xfId="665" xr:uid="{00000000-0005-0000-0000-000031020000}"/>
    <cellStyle name="Ôčíŕíńîâűé_14F1_520 17" xfId="672" xr:uid="{00000000-0005-0000-0000-000032020000}"/>
    <cellStyle name="Ociriniaue_14F1_520 18" xfId="661" xr:uid="{00000000-0005-0000-0000-000033020000}"/>
    <cellStyle name="Ôčíŕíńîâűé_14F1_520 18" xfId="687" xr:uid="{00000000-0005-0000-0000-000034020000}"/>
    <cellStyle name="Ociriniaue_14F1_520 19" xfId="645" xr:uid="{00000000-0005-0000-0000-000035020000}"/>
    <cellStyle name="Ôčíŕíńîâűé_14F1_520 19" xfId="700" xr:uid="{00000000-0005-0000-0000-000036020000}"/>
    <cellStyle name="Ociriniaue_14F1_520 2" xfId="520" xr:uid="{00000000-0005-0000-0000-000037020000}"/>
    <cellStyle name="Ôčíŕíńîâűé_14F1_520 2" xfId="521" xr:uid="{00000000-0005-0000-0000-000038020000}"/>
    <cellStyle name="Ociriniaue_14F1_520 20" xfId="547" xr:uid="{00000000-0005-0000-0000-000039020000}"/>
    <cellStyle name="Ôčíŕíńîâűé_14F1_520 20" xfId="714" xr:uid="{00000000-0005-0000-0000-00003A020000}"/>
    <cellStyle name="Ociriniaue_14F1_520 21" xfId="639" xr:uid="{00000000-0005-0000-0000-00003B020000}"/>
    <cellStyle name="Ôčíŕíńîâűé_14F1_520 21" xfId="723" xr:uid="{00000000-0005-0000-0000-00003C020000}"/>
    <cellStyle name="Ociriniaue_14F1_520 22" xfId="637" xr:uid="{00000000-0005-0000-0000-00003D020000}"/>
    <cellStyle name="Ôčíŕíńîâűé_14F1_520 22" xfId="733" xr:uid="{00000000-0005-0000-0000-00003E020000}"/>
    <cellStyle name="Ociriniaue_14F1_520 23" xfId="644" xr:uid="{00000000-0005-0000-0000-00003F020000}"/>
    <cellStyle name="Ôčíŕíńîâűé_14F1_520 23" xfId="741" xr:uid="{00000000-0005-0000-0000-000040020000}"/>
    <cellStyle name="Ociriniaue_14F1_520 24" xfId="574" xr:uid="{00000000-0005-0000-0000-000041020000}"/>
    <cellStyle name="Ôčíŕíńîâűé_14F1_520 24" xfId="750" xr:uid="{00000000-0005-0000-0000-000042020000}"/>
    <cellStyle name="Ociriniaue_14F1_520 25" xfId="799" xr:uid="{00000000-0005-0000-0000-000043020000}"/>
    <cellStyle name="Ôčíŕíńîâűé_14F1_520 25" xfId="800" xr:uid="{00000000-0005-0000-0000-000044020000}"/>
    <cellStyle name="Ociriniaue_14F1_520 26" xfId="449" xr:uid="{00000000-0005-0000-0000-000045020000}"/>
    <cellStyle name="Ôčíŕíńîâűé_14F1_520 26" xfId="450" xr:uid="{00000000-0005-0000-0000-000046020000}"/>
    <cellStyle name="Ociriniaue_14F1_520 27" xfId="805" xr:uid="{00000000-0005-0000-0000-000047020000}"/>
    <cellStyle name="Ôčíŕíńîâűé_14F1_520 27" xfId="806" xr:uid="{00000000-0005-0000-0000-000048020000}"/>
    <cellStyle name="Ociriniaue_14F1_520 28" xfId="454" xr:uid="{00000000-0005-0000-0000-000049020000}"/>
    <cellStyle name="Ôčíŕíńîâűé_14F1_520 28" xfId="455" xr:uid="{00000000-0005-0000-0000-00004A020000}"/>
    <cellStyle name="Ociriniaue_14F1_520 29" xfId="813" xr:uid="{00000000-0005-0000-0000-00004B020000}"/>
    <cellStyle name="Ôčíŕíńîâűé_14F1_520 29" xfId="814" xr:uid="{00000000-0005-0000-0000-00004C020000}"/>
    <cellStyle name="Ociriniaue_14F1_520 3" xfId="376" xr:uid="{00000000-0005-0000-0000-00004D020000}"/>
    <cellStyle name="Ôčíŕíńîâűé_14F1_520 3" xfId="375" xr:uid="{00000000-0005-0000-0000-00004E020000}"/>
    <cellStyle name="Ociriniaue_14F1_520 30" xfId="742" xr:uid="{00000000-0005-0000-0000-00004F020000}"/>
    <cellStyle name="Ôčíŕíńîâűé_14F1_520 30" xfId="724" xr:uid="{00000000-0005-0000-0000-000050020000}"/>
    <cellStyle name="Ociriniaue_14F1_520 4" xfId="514" xr:uid="{00000000-0005-0000-0000-000051020000}"/>
    <cellStyle name="Ôčíŕíńîâűé_14F1_520 4" xfId="515" xr:uid="{00000000-0005-0000-0000-000052020000}"/>
    <cellStyle name="Ociriniaue_14F1_520 5" xfId="369" xr:uid="{00000000-0005-0000-0000-000053020000}"/>
    <cellStyle name="Ôčíŕíńîâűé_14F1_520 5" xfId="368" xr:uid="{00000000-0005-0000-0000-000054020000}"/>
    <cellStyle name="Ociriniaue_14F1_520 6" xfId="527" xr:uid="{00000000-0005-0000-0000-000055020000}"/>
    <cellStyle name="Ôčíŕíńîâűé_14F1_520 6" xfId="528" xr:uid="{00000000-0005-0000-0000-000056020000}"/>
    <cellStyle name="Ociriniaue_14F1_520 7" xfId="360" xr:uid="{00000000-0005-0000-0000-000057020000}"/>
    <cellStyle name="Ôčíŕíńîâűé_14F1_520 7" xfId="359" xr:uid="{00000000-0005-0000-0000-000058020000}"/>
    <cellStyle name="Ociriniaue_14F1_520 8" xfId="578" xr:uid="{00000000-0005-0000-0000-000059020000}"/>
    <cellStyle name="Ôčíŕíńîâűé_14F1_520 8" xfId="552" xr:uid="{00000000-0005-0000-0000-00005A020000}"/>
    <cellStyle name="Ociriniaue_14F1_520 9" xfId="378" xr:uid="{00000000-0005-0000-0000-00005B020000}"/>
    <cellStyle name="Ôčíŕíńîâűé_14F1_520 9" xfId="377" xr:uid="{00000000-0005-0000-0000-00005C020000}"/>
    <cellStyle name="Ociriniaue_17F1_626" xfId="302" xr:uid="{00000000-0005-0000-0000-00005D020000}"/>
    <cellStyle name="Ôčíŕíńîâűé_17F1_626" xfId="303" xr:uid="{00000000-0005-0000-0000-00005E020000}"/>
    <cellStyle name="Ociriniaue_17F1_626 10" xfId="618" xr:uid="{00000000-0005-0000-0000-00005F020000}"/>
    <cellStyle name="Ôčíŕíńîâűé_17F1_626 10" xfId="622" xr:uid="{00000000-0005-0000-0000-000060020000}"/>
    <cellStyle name="Ociriniaue_17F1_626 11" xfId="583" xr:uid="{00000000-0005-0000-0000-000061020000}"/>
    <cellStyle name="Ôčíŕíńîâűé_17F1_626 11" xfId="579" xr:uid="{00000000-0005-0000-0000-000062020000}"/>
    <cellStyle name="Ociriniaue_17F1_626 12" xfId="625" xr:uid="{00000000-0005-0000-0000-000063020000}"/>
    <cellStyle name="Ôčíŕíńîâűé_17F1_626 12" xfId="355" xr:uid="{00000000-0005-0000-0000-000064020000}"/>
    <cellStyle name="Ociriniaue_17F1_626 13" xfId="611" xr:uid="{00000000-0005-0000-0000-000065020000}"/>
    <cellStyle name="Ôčíŕíńîâűé_17F1_626 13" xfId="615" xr:uid="{00000000-0005-0000-0000-000066020000}"/>
    <cellStyle name="Ociriniaue_17F1_626 14" xfId="655" xr:uid="{00000000-0005-0000-0000-000067020000}"/>
    <cellStyle name="Ôčíŕíńîâűé_17F1_626 14" xfId="649" xr:uid="{00000000-0005-0000-0000-000068020000}"/>
    <cellStyle name="Ociriniaue_17F1_626 15" xfId="636" xr:uid="{00000000-0005-0000-0000-000069020000}"/>
    <cellStyle name="Ôčíŕíńîâűé_17F1_626 15" xfId="671" xr:uid="{00000000-0005-0000-0000-00006A020000}"/>
    <cellStyle name="Ociriniaue_17F1_626 16" xfId="678" xr:uid="{00000000-0005-0000-0000-00006B020000}"/>
    <cellStyle name="Ôčíŕíńîâűé_17F1_626 16" xfId="673" xr:uid="{00000000-0005-0000-0000-00006C020000}"/>
    <cellStyle name="Ociriniaue_17F1_626 17" xfId="691" xr:uid="{00000000-0005-0000-0000-00006D020000}"/>
    <cellStyle name="Ôčíŕíńîâűé_17F1_626 17" xfId="638" xr:uid="{00000000-0005-0000-0000-00006E020000}"/>
    <cellStyle name="Ociriniaue_17F1_626 18" xfId="705" xr:uid="{00000000-0005-0000-0000-00006F020000}"/>
    <cellStyle name="Ôčíŕíńîâűé_17F1_626 18" xfId="640" xr:uid="{00000000-0005-0000-0000-000070020000}"/>
    <cellStyle name="Ociriniaue_17F1_626 19" xfId="716" xr:uid="{00000000-0005-0000-0000-000071020000}"/>
    <cellStyle name="Ôčíŕíńîâűé_17F1_626 19" xfId="660" xr:uid="{00000000-0005-0000-0000-000072020000}"/>
    <cellStyle name="Ociriniaue_17F1_626 2" xfId="522" xr:uid="{00000000-0005-0000-0000-000073020000}"/>
    <cellStyle name="Ôčíŕíńîâűé_17F1_626 2" xfId="523" xr:uid="{00000000-0005-0000-0000-000074020000}"/>
    <cellStyle name="Ociriniaue_17F1_626 20" xfId="726" xr:uid="{00000000-0005-0000-0000-000075020000}"/>
    <cellStyle name="Ôčíŕíńîâűé_17F1_626 20" xfId="546" xr:uid="{00000000-0005-0000-0000-000076020000}"/>
    <cellStyle name="Ociriniaue_17F1_626 21" xfId="735" xr:uid="{00000000-0005-0000-0000-000077020000}"/>
    <cellStyle name="Ôčíŕíńîâűé_17F1_626 21" xfId="630" xr:uid="{00000000-0005-0000-0000-000078020000}"/>
    <cellStyle name="Ociriniaue_17F1_626 22" xfId="744" xr:uid="{00000000-0005-0000-0000-000079020000}"/>
    <cellStyle name="Ôčíŕíńîâűé_17F1_626 22" xfId="675" xr:uid="{00000000-0005-0000-0000-00007A020000}"/>
    <cellStyle name="Ociriniaue_17F1_626 23" xfId="752" xr:uid="{00000000-0005-0000-0000-00007B020000}"/>
    <cellStyle name="Ôčíŕíńîâűé_17F1_626 23" xfId="688" xr:uid="{00000000-0005-0000-0000-00007C020000}"/>
    <cellStyle name="Ociriniaue_17F1_626 24" xfId="759" xr:uid="{00000000-0005-0000-0000-00007D020000}"/>
    <cellStyle name="Ôčíŕíńîâűé_17F1_626 24" xfId="702" xr:uid="{00000000-0005-0000-0000-00007E020000}"/>
    <cellStyle name="Ociriniaue_17F1_626 25" xfId="801" xr:uid="{00000000-0005-0000-0000-00007F020000}"/>
    <cellStyle name="Ôčíŕíńîâűé_17F1_626 25" xfId="802" xr:uid="{00000000-0005-0000-0000-000080020000}"/>
    <cellStyle name="Ociriniaue_17F1_626 26" xfId="451" xr:uid="{00000000-0005-0000-0000-000081020000}"/>
    <cellStyle name="Ôčíŕíńîâűé_17F1_626 26" xfId="452" xr:uid="{00000000-0005-0000-0000-000082020000}"/>
    <cellStyle name="Ociriniaue_17F1_626 27" xfId="807" xr:uid="{00000000-0005-0000-0000-000083020000}"/>
    <cellStyle name="Ôčíŕíńîâűé_17F1_626 27" xfId="810" xr:uid="{00000000-0005-0000-0000-000084020000}"/>
    <cellStyle name="Ociriniaue_17F1_626 28" xfId="456" xr:uid="{00000000-0005-0000-0000-000085020000}"/>
    <cellStyle name="Ôčíŕíńîâűé_17F1_626 28" xfId="777" xr:uid="{00000000-0005-0000-0000-000086020000}"/>
    <cellStyle name="Ociriniaue_17F1_626 29" xfId="815" xr:uid="{00000000-0005-0000-0000-000087020000}"/>
    <cellStyle name="Ôčíŕíńîâűé_17F1_626 29" xfId="818" xr:uid="{00000000-0005-0000-0000-000088020000}"/>
    <cellStyle name="Ociriniaue_17F1_626 3" xfId="374" xr:uid="{00000000-0005-0000-0000-000089020000}"/>
    <cellStyle name="Ôčíŕíńîâűé_17F1_626 3" xfId="373" xr:uid="{00000000-0005-0000-0000-00008A020000}"/>
    <cellStyle name="Ociriniaue_17F1_626 30" xfId="701" xr:uid="{00000000-0005-0000-0000-00008B020000}"/>
    <cellStyle name="Ôčíŕíńîâűé_17F1_626 30" xfId="459" xr:uid="{00000000-0005-0000-0000-00008C020000}"/>
    <cellStyle name="Ociriniaue_17F1_626 4" xfId="516" xr:uid="{00000000-0005-0000-0000-00008D020000}"/>
    <cellStyle name="Ôčíŕíńîâűé_17F1_626 4" xfId="517" xr:uid="{00000000-0005-0000-0000-00008E020000}"/>
    <cellStyle name="Ociriniaue_17F1_626 5" xfId="367" xr:uid="{00000000-0005-0000-0000-00008F020000}"/>
    <cellStyle name="Ôčíŕíńîâűé_17F1_626 5" xfId="364" xr:uid="{00000000-0005-0000-0000-000090020000}"/>
    <cellStyle name="Ociriniaue_17F1_626 6" xfId="529" xr:uid="{00000000-0005-0000-0000-000091020000}"/>
    <cellStyle name="Ôčíŕíńîâűé_17F1_626 6" xfId="534" xr:uid="{00000000-0005-0000-0000-000092020000}"/>
    <cellStyle name="Ociriniaue_17F1_626 7" xfId="358" xr:uid="{00000000-0005-0000-0000-000093020000}"/>
    <cellStyle name="Ôčíŕíńîâűé_17F1_626 7" xfId="568" xr:uid="{00000000-0005-0000-0000-000094020000}"/>
    <cellStyle name="Ociriniaue_17F1_626 8" xfId="558" xr:uid="{00000000-0005-0000-0000-000095020000}"/>
    <cellStyle name="Ôčíŕíńîâűé_17F1_626 8" xfId="595" xr:uid="{00000000-0005-0000-0000-000096020000}"/>
    <cellStyle name="Ociriniaue_17F1_626 9" xfId="370" xr:uid="{00000000-0005-0000-0000-000097020000}"/>
    <cellStyle name="Ôčíŕíńîâűé_17F1_626 9" xfId="361" xr:uid="{00000000-0005-0000-0000-000098020000}"/>
    <cellStyle name="Ociriniaue_19F1_628" xfId="304" xr:uid="{00000000-0005-0000-0000-000099020000}"/>
    <cellStyle name="Ôčíŕíńîâűé_19F1_628" xfId="305" xr:uid="{00000000-0005-0000-0000-00009A020000}"/>
    <cellStyle name="Ociriniaue_19F1_628 10" xfId="620" xr:uid="{00000000-0005-0000-0000-00009B020000}"/>
    <cellStyle name="Ôčíŕíńîâűé_19F1_628 10" xfId="553" xr:uid="{00000000-0005-0000-0000-00009C020000}"/>
    <cellStyle name="Ociriniaue_19F1_628 11" xfId="584" xr:uid="{00000000-0005-0000-0000-00009D020000}"/>
    <cellStyle name="Ôčíŕíńîâűé_19F1_628 11" xfId="554" xr:uid="{00000000-0005-0000-0000-00009E020000}"/>
    <cellStyle name="Ociriniaue_19F1_628 12" xfId="567" xr:uid="{00000000-0005-0000-0000-00009F020000}"/>
    <cellStyle name="Ôčíŕíńîâűé_19F1_628 12" xfId="573" xr:uid="{00000000-0005-0000-0000-0000A0020000}"/>
    <cellStyle name="Ociriniaue_19F1_628 13" xfId="592" xr:uid="{00000000-0005-0000-0000-0000A1020000}"/>
    <cellStyle name="Ôčíŕíńîâűé_19F1_628 13" xfId="548" xr:uid="{00000000-0005-0000-0000-0000A2020000}"/>
    <cellStyle name="Ociriniaue_19F1_628 14" xfId="656" xr:uid="{00000000-0005-0000-0000-0000A3020000}"/>
    <cellStyle name="Ôčíŕíńîâűé_19F1_628 14" xfId="626" xr:uid="{00000000-0005-0000-0000-0000A4020000}"/>
    <cellStyle name="Ociriniaue_19F1_628 15" xfId="668" xr:uid="{00000000-0005-0000-0000-0000A5020000}"/>
    <cellStyle name="Ôčíŕíńîâűé_19F1_628 15" xfId="659" xr:uid="{00000000-0005-0000-0000-0000A6020000}"/>
    <cellStyle name="Ociriniaue_19F1_628 16" xfId="679" xr:uid="{00000000-0005-0000-0000-0000A7020000}"/>
    <cellStyle name="Ôčíŕíńîâűé_19F1_628 16" xfId="686" xr:uid="{00000000-0005-0000-0000-0000A8020000}"/>
    <cellStyle name="Ociriniaue_19F1_628 17" xfId="692" xr:uid="{00000000-0005-0000-0000-0000A9020000}"/>
    <cellStyle name="Ôčíŕíńîâűé_19F1_628 17" xfId="699" xr:uid="{00000000-0005-0000-0000-0000AA020000}"/>
    <cellStyle name="Ociriniaue_19F1_628 18" xfId="706" xr:uid="{00000000-0005-0000-0000-0000AB020000}"/>
    <cellStyle name="Ôčíŕíńîâűé_19F1_628 18" xfId="713" xr:uid="{00000000-0005-0000-0000-0000AC020000}"/>
    <cellStyle name="Ociriniaue_19F1_628 19" xfId="717" xr:uid="{00000000-0005-0000-0000-0000AD020000}"/>
    <cellStyle name="Ôčíŕíńîâűé_19F1_628 19" xfId="722" xr:uid="{00000000-0005-0000-0000-0000AE020000}"/>
    <cellStyle name="Ociriniaue_19F1_628 2" xfId="524" xr:uid="{00000000-0005-0000-0000-0000AF020000}"/>
    <cellStyle name="Ôčíŕíńîâűé_19F1_628 2" xfId="525" xr:uid="{00000000-0005-0000-0000-0000B0020000}"/>
    <cellStyle name="Ociriniaue_19F1_628 20" xfId="727" xr:uid="{00000000-0005-0000-0000-0000B1020000}"/>
    <cellStyle name="Ôčíŕíńîâűé_19F1_628 20" xfId="732" xr:uid="{00000000-0005-0000-0000-0000B2020000}"/>
    <cellStyle name="Ociriniaue_19F1_628 21" xfId="736" xr:uid="{00000000-0005-0000-0000-0000B3020000}"/>
    <cellStyle name="Ôčíŕíńîâűé_19F1_628 21" xfId="740" xr:uid="{00000000-0005-0000-0000-0000B4020000}"/>
    <cellStyle name="Ociriniaue_19F1_628 22" xfId="745" xr:uid="{00000000-0005-0000-0000-0000B5020000}"/>
    <cellStyle name="Ôčíŕíńîâűé_19F1_628 22" xfId="749" xr:uid="{00000000-0005-0000-0000-0000B6020000}"/>
    <cellStyle name="Ociriniaue_19F1_628 23" xfId="753" xr:uid="{00000000-0005-0000-0000-0000B7020000}"/>
    <cellStyle name="Ôčíŕíńîâűé_19F1_628 23" xfId="757" xr:uid="{00000000-0005-0000-0000-0000B8020000}"/>
    <cellStyle name="Ociriniaue_19F1_628 24" xfId="760" xr:uid="{00000000-0005-0000-0000-0000B9020000}"/>
    <cellStyle name="Ôčíŕíńîâűé_19F1_628 24" xfId="764" xr:uid="{00000000-0005-0000-0000-0000BA020000}"/>
    <cellStyle name="Ociriniaue_19F1_628 25" xfId="803" xr:uid="{00000000-0005-0000-0000-0000BB020000}"/>
    <cellStyle name="Ôčíŕíńîâűé_19F1_628 25" xfId="804" xr:uid="{00000000-0005-0000-0000-0000BC020000}"/>
    <cellStyle name="Ociriniaue_19F1_628 26" xfId="453" xr:uid="{00000000-0005-0000-0000-0000BD020000}"/>
    <cellStyle name="Ôčíŕíńîâűé_19F1_628 26" xfId="616" xr:uid="{00000000-0005-0000-0000-0000BE020000}"/>
    <cellStyle name="Ociriniaue_19F1_628 27" xfId="811" xr:uid="{00000000-0005-0000-0000-0000BF020000}"/>
    <cellStyle name="Ôčíŕíńîâűé_19F1_628 27" xfId="812" xr:uid="{00000000-0005-0000-0000-0000C0020000}"/>
    <cellStyle name="Ociriniaue_19F1_628 28" xfId="775" xr:uid="{00000000-0005-0000-0000-0000C1020000}"/>
    <cellStyle name="Ôčíŕíńîâűé_19F1_628 28" xfId="769" xr:uid="{00000000-0005-0000-0000-0000C2020000}"/>
    <cellStyle name="Ociriniaue_19F1_628 29" xfId="819" xr:uid="{00000000-0005-0000-0000-0000C3020000}"/>
    <cellStyle name="Ôčíŕíńîâűé_19F1_628 29" xfId="820" xr:uid="{00000000-0005-0000-0000-0000C4020000}"/>
    <cellStyle name="Ociriniaue_19F1_628 3" xfId="372" xr:uid="{00000000-0005-0000-0000-0000C5020000}"/>
    <cellStyle name="Ôčíŕíńîâűé_19F1_628 3" xfId="371" xr:uid="{00000000-0005-0000-0000-0000C6020000}"/>
    <cellStyle name="Ociriniaue_19F1_628 30" xfId="460" xr:uid="{00000000-0005-0000-0000-0000C7020000}"/>
    <cellStyle name="Ôčíŕíńîâűé_19F1_628 30" xfId="461" xr:uid="{00000000-0005-0000-0000-0000C8020000}"/>
    <cellStyle name="Ociriniaue_19F1_628 4" xfId="518" xr:uid="{00000000-0005-0000-0000-0000C9020000}"/>
    <cellStyle name="Ôčíŕíńîâűé_19F1_628 4" xfId="519" xr:uid="{00000000-0005-0000-0000-0000CA020000}"/>
    <cellStyle name="Ociriniaue_19F1_628 5" xfId="363" xr:uid="{00000000-0005-0000-0000-0000CB020000}"/>
    <cellStyle name="Ôčíŕíńîâűé_19F1_628 5" xfId="362" xr:uid="{00000000-0005-0000-0000-0000CC020000}"/>
    <cellStyle name="Ociriniaue_19F1_628 6" xfId="535" xr:uid="{00000000-0005-0000-0000-0000CD020000}"/>
    <cellStyle name="Ôčíŕíńîâűé_19F1_628 6" xfId="536" xr:uid="{00000000-0005-0000-0000-0000CE020000}"/>
    <cellStyle name="Ociriniaue_19F1_628 7" xfId="569" xr:uid="{00000000-0005-0000-0000-0000CF020000}"/>
    <cellStyle name="Ôčíŕíńîâűé_19F1_628 7" xfId="570" xr:uid="{00000000-0005-0000-0000-0000D0020000}"/>
    <cellStyle name="Ociriniaue_19F1_628 8" xfId="601" xr:uid="{00000000-0005-0000-0000-0000D1020000}"/>
    <cellStyle name="Ôčíŕíńîâűé_19F1_628 8" xfId="598" xr:uid="{00000000-0005-0000-0000-0000D2020000}"/>
    <cellStyle name="Ociriniaue_19F1_628 9" xfId="551" xr:uid="{00000000-0005-0000-0000-0000D3020000}"/>
    <cellStyle name="Ôčíŕíńîâűé_19F1_628 9" xfId="571" xr:uid="{00000000-0005-0000-0000-0000D4020000}"/>
    <cellStyle name="Ociriniaue_240_60_7" xfId="306" xr:uid="{00000000-0005-0000-0000-0000D5020000}"/>
    <cellStyle name="Ôčíŕíńîâűé_240_60_7" xfId="307" xr:uid="{00000000-0005-0000-0000-0000D6020000}"/>
    <cellStyle name="Ociriniaue_240_61DB" xfId="308" xr:uid="{00000000-0005-0000-0000-0000D7020000}"/>
    <cellStyle name="Ôčíŕíńîâűé_240_61DB" xfId="309" xr:uid="{00000000-0005-0000-0000-0000D8020000}"/>
    <cellStyle name="Ociriniaue_5F1_140" xfId="310" xr:uid="{00000000-0005-0000-0000-0000D9020000}"/>
    <cellStyle name="Ôčíŕíńîâűé_5F1_140" xfId="311" xr:uid="{00000000-0005-0000-0000-0000DA020000}"/>
    <cellStyle name="Ociriniaue_5F1_140 10" xfId="624" xr:uid="{00000000-0005-0000-0000-0000DB020000}"/>
    <cellStyle name="Ôčíŕíńîâűé_5F1_140 10" xfId="603" xr:uid="{00000000-0005-0000-0000-0000DC020000}"/>
    <cellStyle name="Ociriniaue_5F1_140 11" xfId="576" xr:uid="{00000000-0005-0000-0000-0000DD020000}"/>
    <cellStyle name="Ôčíŕíńîâűé_5F1_140 11" xfId="608" xr:uid="{00000000-0005-0000-0000-0000DE020000}"/>
    <cellStyle name="Ociriniaue_5F1_140 12" xfId="652" xr:uid="{00000000-0005-0000-0000-0000DF020000}"/>
    <cellStyle name="Ôčíŕíńîâűé_5F1_140 12" xfId="642" xr:uid="{00000000-0005-0000-0000-0000E0020000}"/>
    <cellStyle name="Ociriniaue_5F1_140 13" xfId="633" xr:uid="{00000000-0005-0000-0000-0000E1020000}"/>
    <cellStyle name="Ôčíŕíńîâűé_5F1_140 13" xfId="664" xr:uid="{00000000-0005-0000-0000-0000E2020000}"/>
    <cellStyle name="Ociriniaue_5F1_140 14" xfId="685" xr:uid="{00000000-0005-0000-0000-0000E3020000}"/>
    <cellStyle name="Ôčíŕíńîâűé_5F1_140 14" xfId="682" xr:uid="{00000000-0005-0000-0000-0000E4020000}"/>
    <cellStyle name="Ociriniaue_5F1_140 15" xfId="698" xr:uid="{00000000-0005-0000-0000-0000E5020000}"/>
    <cellStyle name="Ôčíŕíńîâűé_5F1_140 15" xfId="695" xr:uid="{00000000-0005-0000-0000-0000E6020000}"/>
    <cellStyle name="Ociriniaue_5F1_140 16" xfId="712" xr:uid="{00000000-0005-0000-0000-0000E7020000}"/>
    <cellStyle name="Ôčíŕíńîâűé_5F1_140 16" xfId="709" xr:uid="{00000000-0005-0000-0000-0000E8020000}"/>
    <cellStyle name="Ociriniaue_5F1_140 17" xfId="721" xr:uid="{00000000-0005-0000-0000-0000E9020000}"/>
    <cellStyle name="Ôčíŕíńîâűé_5F1_140 17" xfId="720" xr:uid="{00000000-0005-0000-0000-0000EA020000}"/>
    <cellStyle name="Ociriniaue_5F1_140 18" xfId="731" xr:uid="{00000000-0005-0000-0000-0000EB020000}"/>
    <cellStyle name="Ôčíŕíńîâűé_5F1_140 18" xfId="730" xr:uid="{00000000-0005-0000-0000-0000EC020000}"/>
    <cellStyle name="Ociriniaue_5F1_140 19" xfId="739" xr:uid="{00000000-0005-0000-0000-0000ED020000}"/>
    <cellStyle name="Ôčíŕíńîâűé_5F1_140 19" xfId="738" xr:uid="{00000000-0005-0000-0000-0000EE020000}"/>
    <cellStyle name="Ociriniaue_5F1_140 2" xfId="530" xr:uid="{00000000-0005-0000-0000-0000EF020000}"/>
    <cellStyle name="Ôčíŕíńîâűé_5F1_140 2" xfId="531" xr:uid="{00000000-0005-0000-0000-0000F0020000}"/>
    <cellStyle name="Ociriniaue_5F1_140 20" xfId="748" xr:uid="{00000000-0005-0000-0000-0000F1020000}"/>
    <cellStyle name="Ôčíŕíńîâűé_5F1_140 20" xfId="747" xr:uid="{00000000-0005-0000-0000-0000F2020000}"/>
    <cellStyle name="Ociriniaue_5F1_140 21" xfId="756" xr:uid="{00000000-0005-0000-0000-0000F3020000}"/>
    <cellStyle name="Ôčíŕíńîâűé_5F1_140 21" xfId="755" xr:uid="{00000000-0005-0000-0000-0000F4020000}"/>
    <cellStyle name="Ociriniaue_5F1_140 22" xfId="763" xr:uid="{00000000-0005-0000-0000-0000F5020000}"/>
    <cellStyle name="Ôčíŕíńîâűé_5F1_140 22" xfId="762" xr:uid="{00000000-0005-0000-0000-0000F6020000}"/>
    <cellStyle name="Ociriniaue_5F1_140 23" xfId="768" xr:uid="{00000000-0005-0000-0000-0000F7020000}"/>
    <cellStyle name="Ôčíŕíńîâűé_5F1_140 23" xfId="767" xr:uid="{00000000-0005-0000-0000-0000F8020000}"/>
    <cellStyle name="Ociriniaue_5F1_140 24" xfId="773" xr:uid="{00000000-0005-0000-0000-0000F9020000}"/>
    <cellStyle name="Ôčíŕíńîâűé_5F1_140 24" xfId="772" xr:uid="{00000000-0005-0000-0000-0000FA020000}"/>
    <cellStyle name="Ociriniaue_5F1_140 25" xfId="808" xr:uid="{00000000-0005-0000-0000-0000FB020000}"/>
    <cellStyle name="Ôčíŕíńîâűé_5F1_140 25" xfId="809" xr:uid="{00000000-0005-0000-0000-0000FC020000}"/>
    <cellStyle name="Ociriniaue_5F1_140 26" xfId="457" xr:uid="{00000000-0005-0000-0000-0000FD020000}"/>
    <cellStyle name="Ôčíŕíńîâűé_5F1_140 26" xfId="643" xr:uid="{00000000-0005-0000-0000-0000FE020000}"/>
    <cellStyle name="Ociriniaue_5F1_140 27" xfId="816" xr:uid="{00000000-0005-0000-0000-0000FF020000}"/>
    <cellStyle name="Ôčíŕíńîâűé_5F1_140 27" xfId="817" xr:uid="{00000000-0005-0000-0000-000000030000}"/>
    <cellStyle name="Ociriniaue_5F1_140 28" xfId="674" xr:uid="{00000000-0005-0000-0000-000001030000}"/>
    <cellStyle name="Ôčíŕíńîâűé_5F1_140 28" xfId="458" xr:uid="{00000000-0005-0000-0000-000002030000}"/>
    <cellStyle name="Ociriniaue_5F1_140 29" xfId="824" xr:uid="{00000000-0005-0000-0000-000003030000}"/>
    <cellStyle name="Ôčíŕíńîâűé_5F1_140 29" xfId="823" xr:uid="{00000000-0005-0000-0000-000004030000}"/>
    <cellStyle name="Ociriniaue_5F1_140 3" xfId="366" xr:uid="{00000000-0005-0000-0000-000005030000}"/>
    <cellStyle name="Ôčíŕíńîâűé_5F1_140 3" xfId="365" xr:uid="{00000000-0005-0000-0000-000006030000}"/>
    <cellStyle name="Ociriniaue_5F1_140 30" xfId="828" xr:uid="{00000000-0005-0000-0000-000007030000}"/>
    <cellStyle name="Ôčíŕíńîâűé_5F1_140 30" xfId="827" xr:uid="{00000000-0005-0000-0000-000008030000}"/>
    <cellStyle name="Ociriniaue_5F1_140 4" xfId="532" xr:uid="{00000000-0005-0000-0000-000009030000}"/>
    <cellStyle name="Ôčíŕíńîâűé_5F1_140 4" xfId="533" xr:uid="{00000000-0005-0000-0000-00000A030000}"/>
    <cellStyle name="Ociriniaue_5F1_140 5" xfId="357" xr:uid="{00000000-0005-0000-0000-00000B030000}"/>
    <cellStyle name="Ôčíŕíńîâűé_5F1_140 5" xfId="356" xr:uid="{00000000-0005-0000-0000-00000C030000}"/>
    <cellStyle name="Ociriniaue_5F1_140 6" xfId="541" xr:uid="{00000000-0005-0000-0000-00000D030000}"/>
    <cellStyle name="Ôčíŕíńîâűé_5F1_140 6" xfId="542" xr:uid="{00000000-0005-0000-0000-00000E030000}"/>
    <cellStyle name="Ociriniaue_5F1_140 7" xfId="590" xr:uid="{00000000-0005-0000-0000-00000F030000}"/>
    <cellStyle name="Ôčíŕíńîâűé_5F1_140 7" xfId="587" xr:uid="{00000000-0005-0000-0000-000010030000}"/>
    <cellStyle name="Ociriniaue_5F1_140 8" xfId="577" xr:uid="{00000000-0005-0000-0000-000011030000}"/>
    <cellStyle name="Ôčíŕíńîâűé_5F1_140 8" xfId="604" xr:uid="{00000000-0005-0000-0000-000012030000}"/>
    <cellStyle name="Ociriniaue_5F1_140 9" xfId="591" xr:uid="{00000000-0005-0000-0000-000013030000}"/>
    <cellStyle name="Ôčíŕíńîâűé_5F1_140 9" xfId="549" xr:uid="{00000000-0005-0000-0000-000014030000}"/>
    <cellStyle name="Ociriniaue_620_60_7" xfId="312" xr:uid="{00000000-0005-0000-0000-000015030000}"/>
    <cellStyle name="Ôčíŕíńîâűé_620_60_7" xfId="313" xr:uid="{00000000-0005-0000-0000-000016030000}"/>
    <cellStyle name="Ociriniaue_TMP626" xfId="314" xr:uid="{00000000-0005-0000-0000-000017030000}"/>
    <cellStyle name="Ôčíŕíńîâűé_TMP626" xfId="315" xr:uid="{00000000-0005-0000-0000-000018030000}"/>
    <cellStyle name="Option" xfId="316" xr:uid="{00000000-0005-0000-0000-000019030000}"/>
    <cellStyle name="OptionHeading" xfId="317" xr:uid="{00000000-0005-0000-0000-00001A030000}"/>
    <cellStyle name="Percent [2]" xfId="318" xr:uid="{00000000-0005-0000-0000-00001B030000}"/>
    <cellStyle name="Product" xfId="319" xr:uid="{00000000-0005-0000-0000-00001C030000}"/>
    <cellStyle name="Unit" xfId="320" xr:uid="{00000000-0005-0000-0000-00001D030000}"/>
    <cellStyle name="Заголовок" xfId="321" xr:uid="{00000000-0005-0000-0000-00001E030000}"/>
    <cellStyle name="Итоги" xfId="322" xr:uid="{00000000-0005-0000-0000-00001F030000}"/>
    <cellStyle name="Итого по строке" xfId="323" xr:uid="{00000000-0005-0000-0000-000020030000}"/>
    <cellStyle name="Обычный" xfId="0" builtinId="0"/>
    <cellStyle name="Обычный 2" xfId="324" xr:uid="{00000000-0005-0000-0000-000022030000}"/>
    <cellStyle name="Обычный 2 2" xfId="325" xr:uid="{00000000-0005-0000-0000-000023030000}"/>
    <cellStyle name="Обычный 2 2 2" xfId="341" xr:uid="{00000000-0005-0000-0000-000024030000}"/>
    <cellStyle name="Обычный 2 2 2 2" xfId="348" xr:uid="{00000000-0005-0000-0000-000025030000}"/>
    <cellStyle name="Обычный 2 2 2 2 2" xfId="564" xr:uid="{00000000-0005-0000-0000-000026030000}"/>
    <cellStyle name="Обычный 2 2 2 3" xfId="557" xr:uid="{00000000-0005-0000-0000-000027030000}"/>
    <cellStyle name="Обычный 2 2 3" xfId="345" xr:uid="{00000000-0005-0000-0000-000028030000}"/>
    <cellStyle name="Обычный 2 2 3 2" xfId="561" xr:uid="{00000000-0005-0000-0000-000029030000}"/>
    <cellStyle name="Обычный 2 2 4" xfId="545" xr:uid="{00000000-0005-0000-0000-00002A030000}"/>
    <cellStyle name="Обычный 3" xfId="335" xr:uid="{00000000-0005-0000-0000-00002B030000}"/>
    <cellStyle name="Обычный 3 2" xfId="342" xr:uid="{00000000-0005-0000-0000-00002C030000}"/>
    <cellStyle name="Обычный 4" xfId="349" xr:uid="{00000000-0005-0000-0000-00002D030000}"/>
    <cellStyle name="Обычный 4 2" xfId="565" xr:uid="{00000000-0005-0000-0000-00002E030000}"/>
    <cellStyle name="Обычный 5" xfId="352" xr:uid="{00000000-0005-0000-0000-00002F030000}"/>
    <cellStyle name="Обычный 6" xfId="353" xr:uid="{00000000-0005-0000-0000-000030030000}"/>
    <cellStyle name="Обычный_2010 05 07-ОренбургНефть (добавление в OIS двух предприятий) 2" xfId="1" xr:uid="{00000000-0005-0000-0000-000031030000}"/>
    <cellStyle name="Обычный_К презентации_Нижневартовск" xfId="351" xr:uid="{00000000-0005-0000-0000-000032030000}"/>
    <cellStyle name="Обычный_численность" xfId="350" xr:uid="{00000000-0005-0000-0000-000033030000}"/>
    <cellStyle name="Основа таблицы" xfId="326" xr:uid="{00000000-0005-0000-0000-000034030000}"/>
    <cellStyle name="Подзаголовок" xfId="327" xr:uid="{00000000-0005-0000-0000-000035030000}"/>
    <cellStyle name="Подстрока" xfId="328" xr:uid="{00000000-0005-0000-0000-000036030000}"/>
    <cellStyle name="Примечание 2" xfId="337" xr:uid="{00000000-0005-0000-0000-000037030000}"/>
    <cellStyle name="Простая строка" xfId="329" xr:uid="{00000000-0005-0000-0000-000038030000}"/>
    <cellStyle name="Сложный заголовок" xfId="330" xr:uid="{00000000-0005-0000-0000-000039030000}"/>
    <cellStyle name="Стиль 1" xfId="331" xr:uid="{00000000-0005-0000-0000-00003A030000}"/>
    <cellStyle name="Стиль 1 2" xfId="338" xr:uid="{00000000-0005-0000-0000-00003B030000}"/>
    <cellStyle name="Тысячи [0]_laroux" xfId="332" xr:uid="{00000000-0005-0000-0000-00003C030000}"/>
    <cellStyle name="Тысячи [а]" xfId="333" xr:uid="{00000000-0005-0000-0000-00003D030000}"/>
    <cellStyle name="Тысячи_laroux" xfId="334" xr:uid="{00000000-0005-0000-0000-00003E030000}"/>
  </cellStyles>
  <dxfs count="127">
    <dxf>
      <font>
        <color rgb="FF9C0006"/>
      </font>
      <fill>
        <patternFill>
          <bgColor rgb="FFFFC7CE"/>
        </patternFill>
      </fill>
    </dxf>
    <dxf>
      <numFmt numFmtId="4" formatCode="#,##0.00"/>
    </dxf>
    <dxf>
      <alignment horizontal="center" readingOrder="0"/>
    </dxf>
    <dxf>
      <border>
        <bottom style="medium">
          <color indexed="64"/>
        </bottom>
      </border>
    </dxf>
    <dxf>
      <border>
        <right style="medium">
          <color indexed="64"/>
        </right>
        <bottom style="medium">
          <color indexed="64"/>
        </bottom>
      </border>
    </dxf>
    <dxf>
      <border>
        <right style="medium">
          <color indexed="64"/>
        </right>
        <bottom style="medium">
          <color indexed="64"/>
        </bottom>
      </border>
    </dxf>
    <dxf>
      <font>
        <sz val="8"/>
      </font>
    </dxf>
    <dxf>
      <border>
        <left style="medium">
          <color indexed="64"/>
        </left>
      </border>
    </dxf>
    <dxf>
      <border>
        <left style="medium">
          <color indexed="64"/>
        </left>
      </border>
    </dxf>
    <dxf>
      <numFmt numFmtId="3" formatCode="#,##0"/>
    </dxf>
    <dxf>
      <numFmt numFmtId="3" formatCode="#,##0"/>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readingOrder="0"/>
    </dxf>
    <dxf>
      <alignment horizontal="center" readingOrder="0"/>
    </dxf>
    <dxf>
      <font>
        <sz val="8"/>
      </font>
    </dxf>
    <dxf>
      <font>
        <sz val="8"/>
      </font>
    </dxf>
    <dxf>
      <font>
        <sz val="8"/>
      </font>
    </dxf>
    <dxf>
      <font>
        <sz val="8"/>
      </font>
    </dxf>
    <dxf>
      <numFmt numFmtId="3" formatCode="#,##0"/>
    </dxf>
    <dxf>
      <numFmt numFmtId="3" formatCode="#,##0"/>
    </dxf>
    <dxf>
      <font>
        <b/>
      </font>
    </dxf>
    <dxf>
      <numFmt numFmtId="3" formatCode="#,##0"/>
    </dxf>
    <dxf>
      <alignment horizontal="center" readingOrder="0"/>
    </dxf>
    <dxf>
      <alignment horizontal="center" readingOrder="0"/>
    </dxf>
    <dxf>
      <alignment horizontal="center" readingOrder="0"/>
    </dxf>
    <dxf>
      <alignment wrapText="1" readingOrder="0"/>
    </dxf>
    <dxf>
      <alignment horizontal="center" readingOrder="0"/>
    </dxf>
    <dxf>
      <font>
        <sz val="10"/>
      </font>
    </dxf>
    <dxf>
      <font>
        <sz val="1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8"/>
      </font>
    </dxf>
    <dxf>
      <font>
        <sz val="8"/>
      </font>
    </dxf>
    <dxf>
      <border>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ont>
        <sz val="8"/>
      </font>
    </dxf>
    <dxf>
      <alignment horizontal="center" readingOrder="0"/>
    </dxf>
    <dxf>
      <font>
        <sz val="8"/>
      </font>
    </dxf>
    <dxf>
      <font>
        <sz val="8"/>
      </font>
    </dxf>
    <dxf>
      <font>
        <sz val="8"/>
      </font>
    </dxf>
    <dxf>
      <alignment horizontal="center" readingOrder="0"/>
    </dxf>
    <dxf>
      <font>
        <sz val="8"/>
      </font>
    </dxf>
    <dxf>
      <font>
        <sz val="8"/>
      </font>
    </dxf>
    <dxf>
      <numFmt numFmtId="3" formatCode="#,##0"/>
    </dxf>
    <dxf>
      <numFmt numFmtId="3" formatCode="#,##0"/>
    </dxf>
    <dxf>
      <numFmt numFmtId="3" formatCode="#,##0"/>
    </dxf>
    <dxf>
      <numFmt numFmtId="3" formatCode="#,##0"/>
    </dxf>
    <dxf>
      <alignment horizontal="center" readingOrder="0"/>
    </dxf>
    <dxf>
      <border>
        <left style="medium">
          <color indexed="64"/>
        </left>
      </border>
    </dxf>
    <dxf>
      <border>
        <left style="medium">
          <color indexed="64"/>
        </left>
      </border>
    </dxf>
    <dxf>
      <border>
        <left style="medium">
          <color indexed="64"/>
        </left>
      </border>
    </dxf>
    <dxf>
      <font>
        <b/>
      </font>
    </dxf>
    <dxf>
      <font>
        <b/>
      </font>
    </dxf>
    <dxf>
      <font>
        <sz val="10"/>
      </font>
    </dxf>
    <dxf>
      <font>
        <sz val="10"/>
      </font>
    </dxf>
    <dxf>
      <alignment horizontal="center" readingOrder="0"/>
    </dxf>
    <dxf>
      <alignment horizontal="center" readingOrder="0"/>
    </dxf>
    <dxf>
      <font>
        <sz val="8"/>
      </font>
    </dxf>
    <dxf>
      <font>
        <sz val="8"/>
      </font>
    </dxf>
    <dxf>
      <font>
        <sz val="8"/>
      </font>
    </dxf>
    <dxf>
      <font>
        <sz val="8"/>
      </font>
    </dxf>
    <dxf>
      <font>
        <sz val="8"/>
      </font>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3" formatCode="#,##0"/>
    </dxf>
    <dxf>
      <alignment horizontal="center" readingOrder="0"/>
    </dxf>
    <dxf>
      <alignment horizontal="center" readingOrder="0"/>
    </dxf>
    <dxf>
      <numFmt numFmtId="3" formatCode="#,##0"/>
    </dxf>
    <dxf>
      <numFmt numFmtId="3" formatCode="#,##0"/>
    </dxf>
    <dxf>
      <numFmt numFmtId="3" formatCode="#,##0"/>
    </dxf>
    <dxf>
      <numFmt numFmtId="3" formatCode="#,##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4" formatCode="#,##0.00"/>
    </dxf>
    <dxf>
      <border>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4" formatCode="#,##0.00"/>
    </dxf>
    <dxf>
      <border>
        <top style="medium">
          <color indexed="64"/>
        </top>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4" formatCode="#,##0.00"/>
    </dxf>
    <dxf>
      <numFmt numFmtId="4" formatCode="#,##0.00"/>
    </dxf>
    <dxf>
      <numFmt numFmtId="4" formatCode="#,##0.00"/>
    </dxf>
    <dxf>
      <numFmt numFmtId="4" formatCode="#,##0.00"/>
    </dxf>
    <dxf>
      <font>
        <sz val="8"/>
      </font>
    </dxf>
    <dxf>
      <font>
        <sz val="8"/>
      </font>
    </dxf>
    <dxf>
      <font>
        <sz val="8"/>
      </font>
    </dxf>
    <dxf>
      <font>
        <sz val="8"/>
      </font>
    </dxf>
    <dxf>
      <font>
        <sz val="8"/>
      </font>
    </dxf>
    <dxf>
      <numFmt numFmtId="4" formatCode="#,##0.00"/>
    </dxf>
  </dxfs>
  <tableStyles count="0" defaultTableStyle="TableStyleMedium2" defaultPivotStyle="PivotStyleLight16"/>
  <colors>
    <mruColors>
      <color rgb="FFCC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5.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openxmlformats.org/officeDocument/2006/relationships/theme" Target="theme/theme1.xml"/><Relationship Id="rId35"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0</xdr:row>
          <xdr:rowOff>123825</xdr:rowOff>
        </xdr:from>
        <xdr:to>
          <xdr:col>2</xdr:col>
          <xdr:colOff>1771650</xdr:colOff>
          <xdr:row>3</xdr:row>
          <xdr:rowOff>19050</xdr:rowOff>
        </xdr:to>
        <xdr:sp macro="" textlink="">
          <xdr:nvSpPr>
            <xdr:cNvPr id="66566" name="CommandButton1" hidden="1">
              <a:extLst>
                <a:ext uri="{63B3BB69-23CF-44E3-9099-C40C66FF867C}">
                  <a14:compatExt spid="_x0000_s66566"/>
                </a:ext>
                <a:ext uri="{FF2B5EF4-FFF2-40B4-BE49-F238E27FC236}">
                  <a16:creationId xmlns:a16="http://schemas.microsoft.com/office/drawing/2014/main" id="{00000000-0008-0000-0300-000006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2162175</xdr:colOff>
          <xdr:row>0</xdr:row>
          <xdr:rowOff>114300</xdr:rowOff>
        </xdr:from>
        <xdr:to>
          <xdr:col>2</xdr:col>
          <xdr:colOff>3838575</xdr:colOff>
          <xdr:row>3</xdr:row>
          <xdr:rowOff>0</xdr:rowOff>
        </xdr:to>
        <xdr:sp macro="" textlink="">
          <xdr:nvSpPr>
            <xdr:cNvPr id="66569" name="CommandButton2"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47625</xdr:rowOff>
        </xdr:from>
        <xdr:to>
          <xdr:col>3</xdr:col>
          <xdr:colOff>1466850</xdr:colOff>
          <xdr:row>0</xdr:row>
          <xdr:rowOff>466725</xdr:rowOff>
        </xdr:to>
        <xdr:sp macro="" textlink="">
          <xdr:nvSpPr>
            <xdr:cNvPr id="67585" name="CommandButton1" hidden="1">
              <a:extLst>
                <a:ext uri="{63B3BB69-23CF-44E3-9099-C40C66FF867C}">
                  <a14:compatExt spid="_x0000_s67585"/>
                </a:ext>
                <a:ext uri="{FF2B5EF4-FFF2-40B4-BE49-F238E27FC236}">
                  <a16:creationId xmlns:a16="http://schemas.microsoft.com/office/drawing/2014/main" id="{00000000-0008-0000-0400-000001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0</xdr:row>
          <xdr:rowOff>57150</xdr:rowOff>
        </xdr:from>
        <xdr:to>
          <xdr:col>4</xdr:col>
          <xdr:colOff>1362075</xdr:colOff>
          <xdr:row>0</xdr:row>
          <xdr:rowOff>466725</xdr:rowOff>
        </xdr:to>
        <xdr:sp macro="" textlink="">
          <xdr:nvSpPr>
            <xdr:cNvPr id="67586" name="CommandButton2" hidden="1">
              <a:extLst>
                <a:ext uri="{63B3BB69-23CF-44E3-9099-C40C66FF867C}">
                  <a14:compatExt spid="_x0000_s67586"/>
                </a:ext>
                <a:ext uri="{FF2B5EF4-FFF2-40B4-BE49-F238E27FC236}">
                  <a16:creationId xmlns:a16="http://schemas.microsoft.com/office/drawing/2014/main" id="{00000000-0008-0000-0400-000002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1190625</xdr:colOff>
          <xdr:row>0</xdr:row>
          <xdr:rowOff>95250</xdr:rowOff>
        </xdr:from>
        <xdr:to>
          <xdr:col>2</xdr:col>
          <xdr:colOff>2628900</xdr:colOff>
          <xdr:row>2</xdr:row>
          <xdr:rowOff>123825</xdr:rowOff>
        </xdr:to>
        <xdr:sp macro="" textlink="">
          <xdr:nvSpPr>
            <xdr:cNvPr id="70659" name="CommandButton1" hidden="1">
              <a:extLst>
                <a:ext uri="{63B3BB69-23CF-44E3-9099-C40C66FF867C}">
                  <a14:compatExt spid="_x0000_s70659"/>
                </a:ext>
                <a:ext uri="{FF2B5EF4-FFF2-40B4-BE49-F238E27FC236}">
                  <a16:creationId xmlns:a16="http://schemas.microsoft.com/office/drawing/2014/main" id="{00000000-0008-0000-0600-000003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3076575</xdr:colOff>
          <xdr:row>0</xdr:row>
          <xdr:rowOff>76200</xdr:rowOff>
        </xdr:from>
        <xdr:to>
          <xdr:col>2</xdr:col>
          <xdr:colOff>4533900</xdr:colOff>
          <xdr:row>2</xdr:row>
          <xdr:rowOff>123825</xdr:rowOff>
        </xdr:to>
        <xdr:sp macro="" textlink="">
          <xdr:nvSpPr>
            <xdr:cNvPr id="70660" name="CommandButton2" hidden="1">
              <a:extLst>
                <a:ext uri="{63B3BB69-23CF-44E3-9099-C40C66FF867C}">
                  <a14:compatExt spid="_x0000_s70660"/>
                </a:ext>
                <a:ext uri="{FF2B5EF4-FFF2-40B4-BE49-F238E27FC236}">
                  <a16:creationId xmlns:a16="http://schemas.microsoft.com/office/drawing/2014/main" id="{00000000-0008-0000-0600-000004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3</xdr:col>
      <xdr:colOff>101600</xdr:colOff>
      <xdr:row>3</xdr:row>
      <xdr:rowOff>161925</xdr:rowOff>
    </xdr:to>
    <xdr:sp macro="" textlink="">
      <xdr:nvSpPr>
        <xdr:cNvPr id="2" name="CommandButton1" hidden="1">
          <a:extLst>
            <a:ext uri="{63B3BB69-23CF-44E3-9099-C40C66FF867C}">
              <a14:compatExt xmlns:a14="http://schemas.microsoft.com/office/drawing/2010/main" spid="_x0000_s70659"/>
            </a:ext>
            <a:ext uri="{FF2B5EF4-FFF2-40B4-BE49-F238E27FC236}">
              <a16:creationId xmlns:a16="http://schemas.microsoft.com/office/drawing/2014/main" id="{00000000-0008-0000-0700-000002000000}"/>
            </a:ext>
          </a:extLst>
        </xdr:cNvPr>
        <xdr:cNvSpPr/>
      </xdr:nvSpPr>
      <xdr:spPr bwMode="auto">
        <a:xfrm>
          <a:off x="3390900" y="0"/>
          <a:ext cx="1311275" cy="3619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0</xdr:colOff>
      <xdr:row>2</xdr:row>
      <xdr:rowOff>0</xdr:rowOff>
    </xdr:from>
    <xdr:to>
      <xdr:col>3</xdr:col>
      <xdr:colOff>127000</xdr:colOff>
      <xdr:row>3</xdr:row>
      <xdr:rowOff>187325</xdr:rowOff>
    </xdr:to>
    <xdr:sp macro="" textlink="">
      <xdr:nvSpPr>
        <xdr:cNvPr id="3" name="CommandButton2" hidden="1">
          <a:extLst>
            <a:ext uri="{63B3BB69-23CF-44E3-9099-C40C66FF867C}">
              <a14:compatExt xmlns:a14="http://schemas.microsoft.com/office/drawing/2010/main" spid="_x0000_s70660"/>
            </a:ext>
            <a:ext uri="{FF2B5EF4-FFF2-40B4-BE49-F238E27FC236}">
              <a16:creationId xmlns:a16="http://schemas.microsoft.com/office/drawing/2014/main" id="{00000000-0008-0000-0700-000003000000}"/>
            </a:ext>
          </a:extLst>
        </xdr:cNvPr>
        <xdr:cNvSpPr/>
      </xdr:nvSpPr>
      <xdr:spPr bwMode="auto">
        <a:xfrm>
          <a:off x="3390900" y="0"/>
          <a:ext cx="1336675" cy="3873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19050</xdr:rowOff>
        </xdr:from>
        <xdr:to>
          <xdr:col>2</xdr:col>
          <xdr:colOff>9525</xdr:colOff>
          <xdr:row>1</xdr:row>
          <xdr:rowOff>180975</xdr:rowOff>
        </xdr:to>
        <xdr:sp macro="" textlink="">
          <xdr:nvSpPr>
            <xdr:cNvPr id="71682" name="CommandButton1" hidden="1">
              <a:extLst>
                <a:ext uri="{63B3BB69-23CF-44E3-9099-C40C66FF867C}">
                  <a14:compatExt spid="_x0000_s71682"/>
                </a:ext>
                <a:ext uri="{FF2B5EF4-FFF2-40B4-BE49-F238E27FC236}">
                  <a16:creationId xmlns:a16="http://schemas.microsoft.com/office/drawing/2014/main" id="{00000000-0008-0000-07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9525</xdr:colOff>
          <xdr:row>1</xdr:row>
          <xdr:rowOff>180975</xdr:rowOff>
        </xdr:to>
        <xdr:sp macro="" textlink="">
          <xdr:nvSpPr>
            <xdr:cNvPr id="71683" name="CommandButton2" hidden="1">
              <a:extLst>
                <a:ext uri="{63B3BB69-23CF-44E3-9099-C40C66FF867C}">
                  <a14:compatExt spid="_x0000_s71683"/>
                </a:ext>
                <a:ext uri="{FF2B5EF4-FFF2-40B4-BE49-F238E27FC236}">
                  <a16:creationId xmlns:a16="http://schemas.microsoft.com/office/drawing/2014/main" id="{00000000-0008-0000-07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0</xdr:row>
          <xdr:rowOff>85725</xdr:rowOff>
        </xdr:from>
        <xdr:to>
          <xdr:col>3</xdr:col>
          <xdr:colOff>1057275</xdr:colOff>
          <xdr:row>0</xdr:row>
          <xdr:rowOff>390525</xdr:rowOff>
        </xdr:to>
        <xdr:sp macro="" textlink="">
          <xdr:nvSpPr>
            <xdr:cNvPr id="86017" name="CommandButton1" hidden="1">
              <a:extLst>
                <a:ext uri="{63B3BB69-23CF-44E3-9099-C40C66FF867C}">
                  <a14:compatExt spid="_x0000_s86017"/>
                </a:ext>
                <a:ext uri="{FF2B5EF4-FFF2-40B4-BE49-F238E27FC236}">
                  <a16:creationId xmlns:a16="http://schemas.microsoft.com/office/drawing/2014/main" id="{00000000-0008-0000-0C00-000001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1054;&#1055;&#1040;&#1050;\&#1054;&#1090;&#1095;&#1077;&#1090;&#1085;&#1086;&#1089;&#1090;&#1100;\26%20&#1090;&#1077;&#1093;&#1085;&#1080;&#1095;&#1077;&#1089;&#1082;&#1080;&#1077;%20&#1092;&#1072;&#1081;&#1083;&#1099;\&#1044;&#1056;&#1055;_&#1096;&#1072;&#1073;&#1083;&#1086;&#1085;-ver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струкция"/>
      <sheetName val="ДРП - свод"/>
      <sheetName val="Инициатива_Мск"/>
      <sheetName val="ДРП - НН-ОЦО"/>
      <sheetName val="Лист1"/>
      <sheetName val="КомандРасходы"/>
      <sheetName val="справочник сотрудников"/>
      <sheetName val="ставки"/>
      <sheetName val="Бюджет.оценка подряда"/>
      <sheetName val="МТР_Оборудование_ПО"/>
      <sheetName val="СВОД"/>
      <sheetName val="Бюджет"/>
      <sheetName val="ИнвестБюдж"/>
      <sheetName val="ИсполнБюджет"/>
      <sheetName val="ТКС"/>
      <sheetName val="Фильтры"/>
      <sheetName val="Справочник ролей"/>
      <sheetName val="справочник"/>
    </sheetNames>
    <sheetDataSet>
      <sheetData sheetId="0" refreshError="1"/>
      <sheetData sheetId="1" refreshError="1"/>
      <sheetData sheetId="2" refreshError="1"/>
      <sheetData sheetId="3"/>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1">
          <cell r="K1" t="str">
            <v>РПУ</v>
          </cell>
        </row>
        <row r="2">
          <cell r="B2" t="str">
            <v>Диспетчерская служба</v>
          </cell>
          <cell r="C2" t="str">
            <v>к1</v>
          </cell>
          <cell r="K2" t="str">
            <v>ПУ в г. Москва</v>
          </cell>
        </row>
        <row r="3">
          <cell r="A3" t="str">
            <v>ОП в г. Москва (РЦ в г. Рязань)</v>
          </cell>
          <cell r="B3" t="str">
            <v>Диспетчерская служба</v>
          </cell>
          <cell r="C3" t="str">
            <v>к2</v>
          </cell>
          <cell r="K3" t="str">
            <v>ПУ в г. Москва</v>
          </cell>
        </row>
        <row r="4">
          <cell r="A4" t="str">
            <v>РЦ в г. Рязань</v>
          </cell>
          <cell r="B4" t="str">
            <v>Диспетчерская служба</v>
          </cell>
          <cell r="C4" t="str">
            <v>к3</v>
          </cell>
          <cell r="K4" t="str">
            <v>ПУ в г. Москва</v>
          </cell>
        </row>
        <row r="5">
          <cell r="A5" t="str">
            <v>РЦ в г. Саратов</v>
          </cell>
          <cell r="B5" t="str">
            <v>Диспетчерская служба</v>
          </cell>
          <cell r="C5" t="str">
            <v>к4</v>
          </cell>
          <cell r="K5" t="str">
            <v>ПУ в г. Москва</v>
          </cell>
        </row>
        <row r="6">
          <cell r="A6" t="str">
            <v>РПУ в г. Санкт-Петербург</v>
          </cell>
          <cell r="B6" t="str">
            <v>Диспетчерская служба</v>
          </cell>
          <cell r="C6" t="str">
            <v>к5</v>
          </cell>
          <cell r="K6" t="str">
            <v>ПУ в г. Москва</v>
          </cell>
        </row>
        <row r="7">
          <cell r="A7" t="str">
            <v>РПУ в г. Архангельск</v>
          </cell>
          <cell r="B7" t="str">
            <v>НСИ/ НОБ</v>
          </cell>
          <cell r="K7" t="str">
            <v>ПУ в г. Москва</v>
          </cell>
        </row>
        <row r="8">
          <cell r="A8" t="str">
            <v>РПУ в г. Усинск</v>
          </cell>
          <cell r="B8" t="str">
            <v>НСИ/ НОБ</v>
          </cell>
          <cell r="K8" t="str">
            <v>ПУ в г. Москва</v>
          </cell>
        </row>
        <row r="9">
          <cell r="A9" t="str">
            <v>РПУ в г. Воронеж</v>
          </cell>
          <cell r="B9" t="str">
            <v>НСИ/ НОБ</v>
          </cell>
          <cell r="K9" t="str">
            <v>ПУ в г. Москва</v>
          </cell>
        </row>
        <row r="10">
          <cell r="B10" t="str">
            <v>НСИ/ НОБ</v>
          </cell>
          <cell r="K10" t="str">
            <v>ПУ в г. Москва</v>
          </cell>
        </row>
        <row r="11">
          <cell r="B11" t="str">
            <v>НСИ/ НОБ</v>
          </cell>
          <cell r="K11" t="str">
            <v>ПУ в г. Москва</v>
          </cell>
        </row>
        <row r="12">
          <cell r="B12" t="str">
            <v>Закупки. Управление договорами.</v>
          </cell>
          <cell r="K12" t="str">
            <v>ПУ в г. Москва</v>
          </cell>
        </row>
        <row r="13">
          <cell r="B13" t="str">
            <v>Закупки. Управление договорами.</v>
          </cell>
          <cell r="K13" t="str">
            <v>ПУ в г. Москва</v>
          </cell>
        </row>
        <row r="14">
          <cell r="B14" t="str">
            <v>Закупки. Управление договорами.</v>
          </cell>
          <cell r="K14" t="str">
            <v>ПУ в г. Москва</v>
          </cell>
        </row>
        <row r="15">
          <cell r="B15" t="str">
            <v>Закупки. Управление договорами.</v>
          </cell>
          <cell r="K15" t="str">
            <v>ПУ в г. Москва</v>
          </cell>
        </row>
        <row r="16">
          <cell r="B16" t="str">
            <v>Закупки. Управление договорами.</v>
          </cell>
          <cell r="K16" t="str">
            <v>ОП в г. Москва (РЦ в г. Рязань)</v>
          </cell>
        </row>
        <row r="17">
          <cell r="K17" t="str">
            <v>ОП в г. Москва (РЦ в г. Рязань)</v>
          </cell>
        </row>
        <row r="18">
          <cell r="K18" t="str">
            <v>ОП в г. Москва (РЦ в г. Рязань)</v>
          </cell>
        </row>
        <row r="19">
          <cell r="K19" t="str">
            <v>ОП в г. Москва (РЦ в г. Рязань)</v>
          </cell>
        </row>
        <row r="20">
          <cell r="K20" t="str">
            <v>ОП в г. Москва (РЦ в г. Рязань)</v>
          </cell>
        </row>
        <row r="21">
          <cell r="K21" t="str">
            <v>ОП в г. Москва (РЦ в г. Рязань)</v>
          </cell>
        </row>
        <row r="22">
          <cell r="K22" t="str">
            <v>ОП в г. Москва (РЦ в г. Рязань)</v>
          </cell>
        </row>
        <row r="23">
          <cell r="K23" t="str">
            <v>ОП в г. Москва (РЦ в г. Рязань)</v>
          </cell>
        </row>
        <row r="24">
          <cell r="K24" t="str">
            <v>ОП в г. Москва (РЦ в г. Рязань)</v>
          </cell>
        </row>
        <row r="25">
          <cell r="K25" t="str">
            <v>ОП в г. Москва (РЦ в г. Рязань)</v>
          </cell>
        </row>
        <row r="26">
          <cell r="K26" t="str">
            <v>ОП в г. Москва (РЦ в г. Рязань)</v>
          </cell>
        </row>
        <row r="27">
          <cell r="K27" t="str">
            <v>ОП в г. Москва (РЦ в г. Рязань)</v>
          </cell>
        </row>
        <row r="28">
          <cell r="K28" t="str">
            <v>ОП в г. Москва (РЦ в г. Рязань)</v>
          </cell>
        </row>
        <row r="29">
          <cell r="K29" t="str">
            <v>ОП в г. Москва (РЦ в г. Рязань)</v>
          </cell>
        </row>
        <row r="30">
          <cell r="K30" t="str">
            <v>РЦ в г. Рязань</v>
          </cell>
        </row>
        <row r="31">
          <cell r="K31" t="str">
            <v>РЦ в г. Рязань</v>
          </cell>
        </row>
        <row r="32">
          <cell r="K32" t="str">
            <v>РЦ в г. Рязань</v>
          </cell>
        </row>
        <row r="33">
          <cell r="K33" t="str">
            <v>РЦ в г. Рязань</v>
          </cell>
        </row>
        <row r="34">
          <cell r="K34" t="str">
            <v>РЦ в г. Рязань</v>
          </cell>
        </row>
        <row r="35">
          <cell r="K35" t="str">
            <v>РЦ в г. Рязань</v>
          </cell>
        </row>
        <row r="36">
          <cell r="K36" t="str">
            <v>РЦ в г. Рязань</v>
          </cell>
        </row>
        <row r="37">
          <cell r="K37" t="str">
            <v>РЦ в г. Рязань</v>
          </cell>
        </row>
        <row r="38">
          <cell r="K38" t="str">
            <v>РЦ в г. Рязань</v>
          </cell>
        </row>
        <row r="39">
          <cell r="K39" t="str">
            <v>РЦ в г. Рязань</v>
          </cell>
        </row>
        <row r="40">
          <cell r="K40" t="str">
            <v>РЦ в г. Рязань</v>
          </cell>
        </row>
        <row r="41">
          <cell r="K41" t="str">
            <v>РЦ в г. Рязань</v>
          </cell>
        </row>
        <row r="42">
          <cell r="K42" t="str">
            <v>РЦ в г. Рязань</v>
          </cell>
        </row>
        <row r="43">
          <cell r="K43" t="str">
            <v>РЦ в г. Рязань</v>
          </cell>
        </row>
        <row r="44">
          <cell r="K44" t="str">
            <v>РЦ в г. Саратов</v>
          </cell>
        </row>
        <row r="45">
          <cell r="K45" t="str">
            <v>РЦ в г. Саратов</v>
          </cell>
        </row>
        <row r="46">
          <cell r="K46" t="str">
            <v>РЦ в г. Саратов</v>
          </cell>
        </row>
        <row r="47">
          <cell r="K47" t="str">
            <v>РЦ в г. Саратов</v>
          </cell>
        </row>
        <row r="48">
          <cell r="K48" t="str">
            <v>РЦ в г. Саратов</v>
          </cell>
        </row>
        <row r="49">
          <cell r="K49" t="str">
            <v>РЦ в г. Саратов</v>
          </cell>
        </row>
        <row r="50">
          <cell r="K50" t="str">
            <v>РЦ в г. Саратов</v>
          </cell>
        </row>
        <row r="51">
          <cell r="K51" t="str">
            <v>РЦ в г. Саратов</v>
          </cell>
        </row>
        <row r="52">
          <cell r="K52" t="str">
            <v>РЦ в г. Саратов</v>
          </cell>
        </row>
        <row r="53">
          <cell r="K53" t="str">
            <v>РЦ в г. Саратов</v>
          </cell>
        </row>
        <row r="54">
          <cell r="K54" t="str">
            <v>РЦ в г. Саратов</v>
          </cell>
        </row>
        <row r="55">
          <cell r="K55" t="str">
            <v>РЦ в г. Саратов</v>
          </cell>
        </row>
        <row r="56">
          <cell r="K56" t="str">
            <v>РЦ в г. Саратов</v>
          </cell>
        </row>
        <row r="57">
          <cell r="K57" t="str">
            <v>РЦ в г. Саратов</v>
          </cell>
        </row>
        <row r="58">
          <cell r="K58" t="str">
            <v>РПУ в г. Санкт-Петербург</v>
          </cell>
        </row>
        <row r="59">
          <cell r="K59" t="str">
            <v>РПУ в г. Санкт-Петербург</v>
          </cell>
        </row>
        <row r="60">
          <cell r="K60" t="str">
            <v>РПУ в г. Санкт-Петербург</v>
          </cell>
        </row>
        <row r="61">
          <cell r="K61" t="str">
            <v>РПУ в г. Санкт-Петербург</v>
          </cell>
        </row>
        <row r="62">
          <cell r="K62" t="str">
            <v>РПУ в г. Санкт-Петербург</v>
          </cell>
        </row>
        <row r="63">
          <cell r="K63" t="str">
            <v>РПУ в г. Санкт-Петербург</v>
          </cell>
        </row>
        <row r="64">
          <cell r="K64" t="str">
            <v>РПУ в г. Санкт-Петербург</v>
          </cell>
        </row>
        <row r="65">
          <cell r="K65" t="str">
            <v>РПУ в г. Санкт-Петербург</v>
          </cell>
        </row>
        <row r="66">
          <cell r="K66" t="str">
            <v>РПУ в г. Санкт-Петербург</v>
          </cell>
        </row>
        <row r="67">
          <cell r="K67" t="str">
            <v>РПУ в г. Санкт-Петербург</v>
          </cell>
        </row>
        <row r="68">
          <cell r="K68" t="str">
            <v>РПУ в г. Санкт-Петербург</v>
          </cell>
        </row>
        <row r="69">
          <cell r="K69" t="str">
            <v>РПУ в г. Санкт-Петербург</v>
          </cell>
        </row>
        <row r="70">
          <cell r="K70" t="str">
            <v>РПУ в г. Санкт-Петербург</v>
          </cell>
        </row>
        <row r="71">
          <cell r="K71" t="str">
            <v>РПУ в г. Санкт-Петербург</v>
          </cell>
        </row>
        <row r="72">
          <cell r="K72" t="str">
            <v>РПУ в г. Архангельск</v>
          </cell>
        </row>
        <row r="73">
          <cell r="K73" t="str">
            <v>РПУ в г. Архангельск</v>
          </cell>
        </row>
        <row r="74">
          <cell r="K74" t="str">
            <v>РПУ в г. Архангельск</v>
          </cell>
        </row>
        <row r="75">
          <cell r="K75" t="str">
            <v>РПУ в г. Архангельск</v>
          </cell>
        </row>
        <row r="76">
          <cell r="K76" t="str">
            <v>РПУ в г. Архангельск</v>
          </cell>
        </row>
        <row r="77">
          <cell r="K77" t="str">
            <v>РПУ в г. Архангельск</v>
          </cell>
        </row>
        <row r="78">
          <cell r="K78" t="str">
            <v>РПУ в г. Архангельск</v>
          </cell>
        </row>
        <row r="79">
          <cell r="K79" t="str">
            <v>РПУ в г. Архангельск</v>
          </cell>
        </row>
        <row r="80">
          <cell r="K80" t="str">
            <v>РПУ в г. Архангельск</v>
          </cell>
        </row>
        <row r="81">
          <cell r="K81" t="str">
            <v>РПУ в г. Архангельск</v>
          </cell>
        </row>
        <row r="82">
          <cell r="K82" t="str">
            <v>РПУ в г. Архангельск</v>
          </cell>
        </row>
        <row r="83">
          <cell r="K83" t="str">
            <v>РПУ в г. Архангельск</v>
          </cell>
        </row>
        <row r="84">
          <cell r="K84" t="str">
            <v>РПУ в г. Архангельск</v>
          </cell>
        </row>
        <row r="85">
          <cell r="K85" t="str">
            <v>РПУ в г. Архангельск</v>
          </cell>
        </row>
        <row r="86">
          <cell r="K86" t="str">
            <v>РПУ в г. Усинск</v>
          </cell>
        </row>
        <row r="87">
          <cell r="K87" t="str">
            <v>РПУ в г. Усинск</v>
          </cell>
        </row>
        <row r="88">
          <cell r="K88" t="str">
            <v>РПУ в г. Усинск</v>
          </cell>
        </row>
        <row r="89">
          <cell r="K89" t="str">
            <v>РПУ в г. Усинск</v>
          </cell>
        </row>
        <row r="90">
          <cell r="K90" t="str">
            <v>РПУ в г. Усинск</v>
          </cell>
        </row>
        <row r="91">
          <cell r="K91" t="str">
            <v>РПУ в г. Усинск</v>
          </cell>
        </row>
        <row r="92">
          <cell r="K92" t="str">
            <v>РПУ в г. Усинск</v>
          </cell>
        </row>
        <row r="93">
          <cell r="K93" t="str">
            <v>РПУ в г. Усинск</v>
          </cell>
        </row>
        <row r="94">
          <cell r="K94" t="str">
            <v>РПУ в г. Усинск</v>
          </cell>
        </row>
        <row r="95">
          <cell r="K95" t="str">
            <v>РПУ в г. Усинск</v>
          </cell>
        </row>
        <row r="96">
          <cell r="K96" t="str">
            <v>РПУ в г. Усинск</v>
          </cell>
        </row>
        <row r="97">
          <cell r="K97" t="str">
            <v>РПУ в г. Усинск</v>
          </cell>
        </row>
        <row r="98">
          <cell r="K98" t="str">
            <v>РПУ в г. Усинск</v>
          </cell>
        </row>
        <row r="99">
          <cell r="K99" t="str">
            <v>РПУ в г. Усинск</v>
          </cell>
        </row>
        <row r="100">
          <cell r="K100" t="str">
            <v>РПУ в г. Воронеж</v>
          </cell>
        </row>
        <row r="101">
          <cell r="K101" t="str">
            <v>РПУ в г. Воронеж</v>
          </cell>
        </row>
        <row r="102">
          <cell r="K102" t="str">
            <v>РПУ в г. Воронеж</v>
          </cell>
        </row>
        <row r="103">
          <cell r="K103" t="str">
            <v>РПУ в г. Воронеж</v>
          </cell>
        </row>
        <row r="104">
          <cell r="K104" t="str">
            <v>РПУ в г. Воронеж</v>
          </cell>
        </row>
        <row r="105">
          <cell r="K105" t="str">
            <v>РПУ в г. Воронеж</v>
          </cell>
        </row>
        <row r="106">
          <cell r="K106" t="str">
            <v>РПУ в г. Воронеж</v>
          </cell>
        </row>
        <row r="107">
          <cell r="K107" t="str">
            <v>РПУ в г. Воронеж</v>
          </cell>
        </row>
        <row r="108">
          <cell r="K108" t="str">
            <v>РПУ в г. Воронеж</v>
          </cell>
        </row>
        <row r="109">
          <cell r="K109" t="str">
            <v>РПУ в г. Воронеж</v>
          </cell>
        </row>
        <row r="110">
          <cell r="K110" t="str">
            <v>РПУ в г. Воронеж</v>
          </cell>
        </row>
        <row r="111">
          <cell r="K111" t="str">
            <v>РПУ в г. Воронеж</v>
          </cell>
        </row>
        <row r="112">
          <cell r="K112" t="str">
            <v>РПУ в г. Воронеж</v>
          </cell>
        </row>
        <row r="113">
          <cell r="K113" t="str">
            <v>РПУ в г. Воронеж</v>
          </cell>
        </row>
        <row r="114">
          <cell r="K114" t="str">
            <v>Хабаровское РПУ</v>
          </cell>
        </row>
        <row r="115">
          <cell r="K115" t="str">
            <v>Хабаровское РПУ</v>
          </cell>
        </row>
        <row r="116">
          <cell r="K116" t="str">
            <v>Хабаровское РПУ</v>
          </cell>
        </row>
        <row r="117">
          <cell r="K117" t="str">
            <v>Хабаровское РПУ</v>
          </cell>
        </row>
        <row r="118">
          <cell r="K118" t="str">
            <v>Хабаровское РПУ</v>
          </cell>
        </row>
        <row r="119">
          <cell r="K119" t="str">
            <v>Хабаровское РПУ</v>
          </cell>
        </row>
        <row r="120">
          <cell r="K120" t="str">
            <v>Хабаровское РПУ</v>
          </cell>
        </row>
        <row r="121">
          <cell r="K121" t="str">
            <v>Хабаровское РПУ</v>
          </cell>
        </row>
        <row r="122">
          <cell r="K122" t="str">
            <v>Хабаровское РПУ</v>
          </cell>
        </row>
        <row r="123">
          <cell r="K123" t="str">
            <v>Хабаровское РПУ</v>
          </cell>
        </row>
        <row r="124">
          <cell r="K124" t="str">
            <v>Хабаровское РПУ</v>
          </cell>
        </row>
        <row r="125">
          <cell r="K125" t="str">
            <v>Хабаровское РПУ</v>
          </cell>
        </row>
        <row r="126">
          <cell r="K126" t="str">
            <v>Хабаровское РПУ</v>
          </cell>
        </row>
        <row r="127">
          <cell r="K127" t="str">
            <v>Хабаровское РПУ</v>
          </cell>
        </row>
        <row r="128">
          <cell r="K128" t="str">
            <v>Приморское РПУ</v>
          </cell>
        </row>
        <row r="129">
          <cell r="K129" t="str">
            <v>Приморское РПУ</v>
          </cell>
        </row>
        <row r="130">
          <cell r="K130" t="str">
            <v>Приморское РПУ</v>
          </cell>
        </row>
        <row r="131">
          <cell r="K131" t="str">
            <v>Приморское РПУ</v>
          </cell>
        </row>
        <row r="132">
          <cell r="K132" t="str">
            <v>Приморское РПУ</v>
          </cell>
        </row>
        <row r="133">
          <cell r="K133" t="str">
            <v>Приморское РПУ</v>
          </cell>
        </row>
        <row r="134">
          <cell r="K134" t="str">
            <v>Приморское РПУ</v>
          </cell>
        </row>
        <row r="135">
          <cell r="K135" t="str">
            <v>Приморское РПУ</v>
          </cell>
        </row>
        <row r="136">
          <cell r="K136" t="str">
            <v>Приморское РПУ</v>
          </cell>
        </row>
        <row r="137">
          <cell r="K137" t="str">
            <v>Приморское РПУ</v>
          </cell>
        </row>
        <row r="138">
          <cell r="K138" t="str">
            <v>Приморское РПУ</v>
          </cell>
        </row>
        <row r="139">
          <cell r="K139" t="str">
            <v>Приморское РПУ</v>
          </cell>
        </row>
        <row r="140">
          <cell r="K140" t="str">
            <v>Приморское РПУ</v>
          </cell>
        </row>
        <row r="141">
          <cell r="K141" t="str">
            <v>Приморское РПУ</v>
          </cell>
        </row>
        <row r="142">
          <cell r="K142" t="str">
            <v>Комсомольское РПУ</v>
          </cell>
        </row>
        <row r="143">
          <cell r="K143" t="str">
            <v>Комсомольское РПУ</v>
          </cell>
        </row>
        <row r="144">
          <cell r="K144" t="str">
            <v>Комсомольское РПУ</v>
          </cell>
        </row>
        <row r="145">
          <cell r="K145" t="str">
            <v>Комсомольское РПУ</v>
          </cell>
        </row>
        <row r="146">
          <cell r="K146" t="str">
            <v>Комсомольское РПУ</v>
          </cell>
        </row>
        <row r="147">
          <cell r="K147" t="str">
            <v>Комсомольское РПУ</v>
          </cell>
        </row>
        <row r="148">
          <cell r="K148" t="str">
            <v>Комсомольское РПУ</v>
          </cell>
        </row>
        <row r="149">
          <cell r="K149" t="str">
            <v>Комсомольское РПУ</v>
          </cell>
        </row>
        <row r="150">
          <cell r="K150" t="str">
            <v>Комсомольское РПУ</v>
          </cell>
        </row>
        <row r="151">
          <cell r="K151" t="str">
            <v>Комсомольское РПУ</v>
          </cell>
        </row>
        <row r="152">
          <cell r="K152" t="str">
            <v>Комсомольское РПУ</v>
          </cell>
        </row>
        <row r="153">
          <cell r="K153" t="str">
            <v>Комсомольское РПУ</v>
          </cell>
        </row>
        <row r="154">
          <cell r="K154" t="str">
            <v>Комсомольское РПУ</v>
          </cell>
        </row>
        <row r="155">
          <cell r="K155" t="str">
            <v>Комсомольское РПУ</v>
          </cell>
        </row>
        <row r="156">
          <cell r="K156" t="str">
            <v>Сахалинское РПУ</v>
          </cell>
        </row>
        <row r="157">
          <cell r="K157" t="str">
            <v>Сахалинское РПУ</v>
          </cell>
        </row>
        <row r="158">
          <cell r="K158" t="str">
            <v>Сахалинское РПУ</v>
          </cell>
        </row>
        <row r="159">
          <cell r="K159" t="str">
            <v>Сахалинское РПУ</v>
          </cell>
        </row>
        <row r="160">
          <cell r="K160" t="str">
            <v>Сахалинское РПУ</v>
          </cell>
        </row>
        <row r="161">
          <cell r="K161" t="str">
            <v>Сахалинское РПУ</v>
          </cell>
        </row>
        <row r="162">
          <cell r="K162" t="str">
            <v>Сахалинское РПУ</v>
          </cell>
        </row>
        <row r="163">
          <cell r="K163" t="str">
            <v>Сахалинское РПУ</v>
          </cell>
        </row>
        <row r="164">
          <cell r="K164" t="str">
            <v>Сахалинское РПУ</v>
          </cell>
        </row>
        <row r="165">
          <cell r="K165" t="str">
            <v>Сахалинское РПУ</v>
          </cell>
        </row>
        <row r="166">
          <cell r="K166" t="str">
            <v>Сахалинское РПУ</v>
          </cell>
        </row>
        <row r="167">
          <cell r="K167" t="str">
            <v>Сахалинское РПУ</v>
          </cell>
        </row>
        <row r="168">
          <cell r="K168" t="str">
            <v>Сахалинское РПУ</v>
          </cell>
        </row>
        <row r="169">
          <cell r="K169" t="str">
            <v>Сахалинское РПУ</v>
          </cell>
        </row>
        <row r="170">
          <cell r="K170" t="str">
            <v>РПУ "Ачинское"</v>
          </cell>
        </row>
        <row r="171">
          <cell r="K171" t="str">
            <v>РПУ "Ачинское"</v>
          </cell>
        </row>
        <row r="172">
          <cell r="K172" t="str">
            <v>РПУ "Ачинское"</v>
          </cell>
        </row>
        <row r="173">
          <cell r="K173" t="str">
            <v>РПУ "Ачинское"</v>
          </cell>
        </row>
        <row r="174">
          <cell r="K174" t="str">
            <v>РПУ "Ачинское"</v>
          </cell>
        </row>
        <row r="175">
          <cell r="K175" t="str">
            <v>РПУ "Ачинское"</v>
          </cell>
        </row>
        <row r="176">
          <cell r="K176" t="str">
            <v>РПУ "Ачинское"</v>
          </cell>
        </row>
        <row r="177">
          <cell r="K177" t="str">
            <v>РПУ "Ачинское"</v>
          </cell>
        </row>
        <row r="178">
          <cell r="K178" t="str">
            <v>РПУ "Ачинское"</v>
          </cell>
        </row>
        <row r="179">
          <cell r="K179" t="str">
            <v>РПУ "Ачинское"</v>
          </cell>
        </row>
        <row r="180">
          <cell r="K180" t="str">
            <v>РПУ "Ачинское"</v>
          </cell>
        </row>
        <row r="181">
          <cell r="K181" t="str">
            <v>РПУ "Ачинское"</v>
          </cell>
        </row>
        <row r="182">
          <cell r="K182" t="str">
            <v>РПУ "Ачинское"</v>
          </cell>
        </row>
        <row r="183">
          <cell r="K183" t="str">
            <v>РПУ "Ачинское"</v>
          </cell>
        </row>
        <row r="184">
          <cell r="K184" t="str">
            <v>РПУ "Томское"</v>
          </cell>
        </row>
        <row r="185">
          <cell r="K185" t="str">
            <v>РПУ "Томское"</v>
          </cell>
        </row>
        <row r="186">
          <cell r="K186" t="str">
            <v>РПУ "Томское"</v>
          </cell>
        </row>
        <row r="187">
          <cell r="K187" t="str">
            <v>РПУ "Томское"</v>
          </cell>
        </row>
        <row r="188">
          <cell r="K188" t="str">
            <v>РПУ "Томское"</v>
          </cell>
        </row>
        <row r="189">
          <cell r="K189" t="str">
            <v>РПУ "Томское"</v>
          </cell>
        </row>
        <row r="190">
          <cell r="K190" t="str">
            <v>РПУ "Томское"</v>
          </cell>
        </row>
        <row r="191">
          <cell r="K191" t="str">
            <v>РПУ "Томское"</v>
          </cell>
        </row>
        <row r="192">
          <cell r="K192" t="str">
            <v>РПУ "Томское"</v>
          </cell>
        </row>
        <row r="193">
          <cell r="K193" t="str">
            <v>РПУ "Томское"</v>
          </cell>
        </row>
        <row r="194">
          <cell r="K194" t="str">
            <v>РПУ "Томское"</v>
          </cell>
        </row>
        <row r="195">
          <cell r="K195" t="str">
            <v>РПУ "Томское"</v>
          </cell>
        </row>
        <row r="196">
          <cell r="K196" t="str">
            <v>РПУ "Томское"</v>
          </cell>
        </row>
        <row r="197">
          <cell r="K197" t="str">
            <v>РПУ "Томское"</v>
          </cell>
        </row>
        <row r="198">
          <cell r="K198" t="str">
            <v>РПУ "Иркутское"(Ангарск)</v>
          </cell>
        </row>
        <row r="199">
          <cell r="K199" t="str">
            <v>РПУ "Иркутское"(Ангарск)</v>
          </cell>
        </row>
        <row r="200">
          <cell r="K200" t="str">
            <v>РПУ "Иркутское"(Ангарск)</v>
          </cell>
        </row>
        <row r="201">
          <cell r="K201" t="str">
            <v>РПУ "Иркутское"(Ангарск)</v>
          </cell>
        </row>
        <row r="202">
          <cell r="K202" t="str">
            <v>РПУ "Иркутское"(Ангарск)</v>
          </cell>
        </row>
        <row r="203">
          <cell r="K203" t="str">
            <v>РПУ "Иркутское"(Ангарск)</v>
          </cell>
        </row>
        <row r="204">
          <cell r="K204" t="str">
            <v>РПУ "Иркутское"(Ангарск)</v>
          </cell>
        </row>
        <row r="205">
          <cell r="K205" t="str">
            <v>РПУ "Иркутское"(Ангарск)</v>
          </cell>
        </row>
        <row r="206">
          <cell r="K206" t="str">
            <v>РПУ "Иркутское"(Ангарск)</v>
          </cell>
        </row>
        <row r="207">
          <cell r="K207" t="str">
            <v>РПУ "Иркутское"(Ангарск)</v>
          </cell>
        </row>
        <row r="208">
          <cell r="K208" t="str">
            <v>РПУ "Иркутское"(Ангарск)</v>
          </cell>
        </row>
        <row r="209">
          <cell r="K209" t="str">
            <v>РПУ "Иркутское"(Ангарск)</v>
          </cell>
        </row>
        <row r="210">
          <cell r="K210" t="str">
            <v>РПУ "Иркутское"(Ангарск)</v>
          </cell>
        </row>
        <row r="211">
          <cell r="K211" t="str">
            <v>РПУ "Иркутское"(Ангарск)</v>
          </cell>
        </row>
        <row r="212">
          <cell r="K212" t="str">
            <v>РПУ "Иркутское"(ВЧНГ)</v>
          </cell>
        </row>
        <row r="213">
          <cell r="K213" t="str">
            <v>РПУ "Иркутское"(ВЧНГ)</v>
          </cell>
        </row>
        <row r="214">
          <cell r="K214" t="str">
            <v>РПУ "Иркутское"(ВЧНГ)</v>
          </cell>
        </row>
        <row r="215">
          <cell r="K215" t="str">
            <v>РПУ "Иркутское"(ВЧНГ)</v>
          </cell>
        </row>
        <row r="216">
          <cell r="K216" t="str">
            <v>РПУ "Иркутское"(ВЧНГ)</v>
          </cell>
        </row>
        <row r="217">
          <cell r="K217" t="str">
            <v>РПУ "Иркутское"(ВЧНГ)</v>
          </cell>
        </row>
        <row r="218">
          <cell r="K218" t="str">
            <v>РПУ "Иркутское"(ВЧНГ)</v>
          </cell>
        </row>
        <row r="219">
          <cell r="K219" t="str">
            <v>РПУ "Иркутское"(ВЧНГ)</v>
          </cell>
        </row>
        <row r="220">
          <cell r="K220" t="str">
            <v>РПУ "Иркутское"(ВЧНГ)</v>
          </cell>
        </row>
        <row r="221">
          <cell r="K221" t="str">
            <v>РПУ "Иркутское"(ВЧНГ)</v>
          </cell>
        </row>
        <row r="222">
          <cell r="K222" t="str">
            <v>РПУ "Иркутское"(ВЧНГ)</v>
          </cell>
        </row>
        <row r="223">
          <cell r="K223" t="str">
            <v>РПУ "Иркутское"(ВЧНГ)</v>
          </cell>
        </row>
        <row r="224">
          <cell r="K224" t="str">
            <v>РПУ "Иркутское"(ВЧНГ)</v>
          </cell>
        </row>
        <row r="225">
          <cell r="K225" t="str">
            <v>РПУ "Иркутское"(ВЧНГ)</v>
          </cell>
        </row>
        <row r="226">
          <cell r="K226" t="str">
            <v>РПУ "Красноярское"(КРК)</v>
          </cell>
        </row>
        <row r="227">
          <cell r="K227" t="str">
            <v>РПУ "Красноярское"(КРК)</v>
          </cell>
        </row>
        <row r="228">
          <cell r="K228" t="str">
            <v>РПУ "Красноярское"(КРК)</v>
          </cell>
        </row>
        <row r="229">
          <cell r="K229" t="str">
            <v>РПУ "Красноярское"(КРК)</v>
          </cell>
        </row>
        <row r="230">
          <cell r="K230" t="str">
            <v>РПУ "Красноярское"(КРК)</v>
          </cell>
        </row>
        <row r="231">
          <cell r="K231" t="str">
            <v>РПУ "Красноярское"(КРК)</v>
          </cell>
        </row>
        <row r="232">
          <cell r="K232" t="str">
            <v>РПУ "Красноярское"(КРК)</v>
          </cell>
        </row>
        <row r="233">
          <cell r="K233" t="str">
            <v>РПУ "Красноярское"(КРК)</v>
          </cell>
        </row>
        <row r="234">
          <cell r="K234" t="str">
            <v>РПУ "Красноярское"(КРК)</v>
          </cell>
        </row>
        <row r="235">
          <cell r="K235" t="str">
            <v>РПУ "Красноярское"(КРК)</v>
          </cell>
        </row>
        <row r="236">
          <cell r="K236" t="str">
            <v>РПУ "Красноярское"(КРК)</v>
          </cell>
        </row>
        <row r="237">
          <cell r="K237" t="str">
            <v>РПУ "Красноярское"(КРК)</v>
          </cell>
        </row>
        <row r="238">
          <cell r="K238" t="str">
            <v>РПУ "Красноярское"(КРК)</v>
          </cell>
        </row>
        <row r="239">
          <cell r="K239" t="str">
            <v>РПУ "Красноярское"(КРК)</v>
          </cell>
        </row>
        <row r="240">
          <cell r="K240" t="str">
            <v>РПУ "Красноярское"(ВПУ)</v>
          </cell>
        </row>
        <row r="241">
          <cell r="K241" t="str">
            <v>РПУ "Красноярское"(ВПУ)</v>
          </cell>
        </row>
        <row r="242">
          <cell r="K242" t="str">
            <v>РПУ "Красноярское"(ВПУ)</v>
          </cell>
        </row>
        <row r="243">
          <cell r="K243" t="str">
            <v>РПУ "Красноярское"(ВПУ)</v>
          </cell>
        </row>
        <row r="244">
          <cell r="K244" t="str">
            <v>РПУ "Красноярское"(ВПУ)</v>
          </cell>
        </row>
        <row r="245">
          <cell r="K245" t="str">
            <v>РПУ "Красноярское"(ВПУ)</v>
          </cell>
        </row>
        <row r="246">
          <cell r="K246" t="str">
            <v>РПУ "Красноярское"(ВПУ)</v>
          </cell>
        </row>
        <row r="247">
          <cell r="K247" t="str">
            <v>РПУ "Красноярское"(ВПУ)</v>
          </cell>
        </row>
        <row r="248">
          <cell r="K248" t="str">
            <v>РПУ "Красноярское"(ВПУ)</v>
          </cell>
        </row>
        <row r="249">
          <cell r="K249" t="str">
            <v>РПУ "Красноярское"(ВПУ)</v>
          </cell>
        </row>
        <row r="250">
          <cell r="K250" t="str">
            <v>РПУ "Красноярское"(ВПУ)</v>
          </cell>
        </row>
        <row r="251">
          <cell r="K251" t="str">
            <v>РПУ "Красноярское"(ВПУ)</v>
          </cell>
        </row>
        <row r="252">
          <cell r="K252" t="str">
            <v>РПУ "Красноярское"(ВПУ)</v>
          </cell>
        </row>
        <row r="253">
          <cell r="K253" t="str">
            <v>РПУ "Красноярское"(ВПУ)</v>
          </cell>
        </row>
        <row r="254">
          <cell r="K254" t="str">
            <v>РПУ "Красноярское"(ЮТМ)</v>
          </cell>
        </row>
        <row r="255">
          <cell r="K255" t="str">
            <v>РПУ "Красноярское"(ЮТМ)</v>
          </cell>
        </row>
        <row r="256">
          <cell r="K256" t="str">
            <v>РПУ "Красноярское"(ЮТМ)</v>
          </cell>
        </row>
        <row r="257">
          <cell r="K257" t="str">
            <v>РПУ "Красноярское"(ЮТМ)</v>
          </cell>
        </row>
        <row r="258">
          <cell r="K258" t="str">
            <v>РПУ "Красноярское"(ЮТМ)</v>
          </cell>
        </row>
        <row r="259">
          <cell r="K259" t="str">
            <v>РПУ "Красноярское"(ЮТМ)</v>
          </cell>
        </row>
        <row r="260">
          <cell r="K260" t="str">
            <v>РПУ "Красноярское"(ЮТМ)</v>
          </cell>
        </row>
        <row r="261">
          <cell r="K261" t="str">
            <v>РПУ "Красноярское"(ЮТМ)</v>
          </cell>
        </row>
        <row r="262">
          <cell r="K262" t="str">
            <v>РПУ "Красноярское"(ЮТМ)</v>
          </cell>
        </row>
        <row r="263">
          <cell r="K263" t="str">
            <v>РПУ "Красноярское"(ЮТМ)</v>
          </cell>
        </row>
        <row r="264">
          <cell r="K264" t="str">
            <v>РПУ "Красноярское"(ЮТМ)</v>
          </cell>
        </row>
        <row r="265">
          <cell r="K265" t="str">
            <v>РПУ "Красноярское"(ЮТМ)</v>
          </cell>
        </row>
        <row r="266">
          <cell r="K266" t="str">
            <v>РПУ "Красноярское"(ЮТМ)</v>
          </cell>
        </row>
        <row r="267">
          <cell r="K267" t="str">
            <v>РПУ "Красноярское"(ЮТМ)</v>
          </cell>
        </row>
        <row r="268">
          <cell r="K268" t="str">
            <v>Нефтеюганск РПУ</v>
          </cell>
        </row>
        <row r="269">
          <cell r="K269" t="str">
            <v>Нефтеюганск РПУ</v>
          </cell>
        </row>
        <row r="270">
          <cell r="K270" t="str">
            <v>Нефтеюганск РПУ</v>
          </cell>
        </row>
        <row r="271">
          <cell r="K271" t="str">
            <v>Нефтеюганск РПУ</v>
          </cell>
        </row>
        <row r="272">
          <cell r="K272" t="str">
            <v>Нефтеюганск РПУ</v>
          </cell>
        </row>
        <row r="273">
          <cell r="K273" t="str">
            <v>Нефтеюганск РПУ</v>
          </cell>
        </row>
        <row r="274">
          <cell r="K274" t="str">
            <v>Нефтеюганск РПУ</v>
          </cell>
        </row>
        <row r="275">
          <cell r="K275" t="str">
            <v>Нефтеюганск РПУ</v>
          </cell>
        </row>
        <row r="276">
          <cell r="K276" t="str">
            <v>Нефтеюганск РПУ</v>
          </cell>
        </row>
        <row r="277">
          <cell r="K277" t="str">
            <v>Нефтеюганск РПУ</v>
          </cell>
        </row>
        <row r="278">
          <cell r="K278" t="str">
            <v>Нефтеюганск РПУ</v>
          </cell>
        </row>
        <row r="279">
          <cell r="K279" t="str">
            <v>Нефтеюганск РПУ</v>
          </cell>
        </row>
        <row r="280">
          <cell r="K280" t="str">
            <v>Нефтеюганск РПУ</v>
          </cell>
        </row>
        <row r="281">
          <cell r="K281" t="str">
            <v>Нефтеюганск РПУ</v>
          </cell>
        </row>
        <row r="282">
          <cell r="K282" t="str">
            <v>Салехард РПУ</v>
          </cell>
        </row>
        <row r="283">
          <cell r="K283" t="str">
            <v>Салехард РПУ</v>
          </cell>
        </row>
        <row r="284">
          <cell r="K284" t="str">
            <v>Салехард РПУ</v>
          </cell>
        </row>
        <row r="285">
          <cell r="K285" t="str">
            <v>Салехард РПУ</v>
          </cell>
        </row>
        <row r="286">
          <cell r="K286" t="str">
            <v>Салехард РПУ</v>
          </cell>
        </row>
        <row r="287">
          <cell r="K287" t="str">
            <v>Салехард РПУ</v>
          </cell>
        </row>
        <row r="288">
          <cell r="K288" t="str">
            <v>Салехард РПУ</v>
          </cell>
        </row>
        <row r="289">
          <cell r="K289" t="str">
            <v>Салехард РПУ</v>
          </cell>
        </row>
        <row r="290">
          <cell r="K290" t="str">
            <v>Салехард РПУ</v>
          </cell>
        </row>
        <row r="291">
          <cell r="K291" t="str">
            <v>Салехард РПУ</v>
          </cell>
        </row>
        <row r="292">
          <cell r="K292" t="str">
            <v>Салехард РПУ</v>
          </cell>
        </row>
        <row r="293">
          <cell r="K293" t="str">
            <v>Салехард РПУ</v>
          </cell>
        </row>
        <row r="294">
          <cell r="K294" t="str">
            <v>Салехард РПУ</v>
          </cell>
        </row>
        <row r="295">
          <cell r="K295" t="str">
            <v>Салехард РПУ</v>
          </cell>
        </row>
        <row r="296">
          <cell r="K296" t="str">
            <v>Уфа РПУ</v>
          </cell>
        </row>
        <row r="297">
          <cell r="K297" t="str">
            <v>Уфа РПУ</v>
          </cell>
        </row>
        <row r="298">
          <cell r="K298" t="str">
            <v>Уфа РПУ</v>
          </cell>
        </row>
        <row r="299">
          <cell r="K299" t="str">
            <v>Уфа РПУ</v>
          </cell>
        </row>
        <row r="300">
          <cell r="K300" t="str">
            <v>Уфа РПУ</v>
          </cell>
        </row>
        <row r="301">
          <cell r="K301" t="str">
            <v>Уфа РПУ</v>
          </cell>
        </row>
        <row r="302">
          <cell r="K302" t="str">
            <v>Уфа РПУ</v>
          </cell>
        </row>
        <row r="303">
          <cell r="K303" t="str">
            <v>Уфа РПУ</v>
          </cell>
        </row>
        <row r="304">
          <cell r="K304" t="str">
            <v>Уфа РПУ</v>
          </cell>
        </row>
        <row r="305">
          <cell r="K305" t="str">
            <v>Уфа РПУ</v>
          </cell>
        </row>
        <row r="306">
          <cell r="K306" t="str">
            <v>Уфа РПУ</v>
          </cell>
        </row>
        <row r="307">
          <cell r="K307" t="str">
            <v>Уфа РПУ</v>
          </cell>
        </row>
        <row r="308">
          <cell r="K308" t="str">
            <v>Уфа РПУ</v>
          </cell>
        </row>
        <row r="309">
          <cell r="K309" t="str">
            <v>Уфа РПУ</v>
          </cell>
        </row>
        <row r="310">
          <cell r="K310" t="str">
            <v>Губкинский РПУ</v>
          </cell>
        </row>
        <row r="311">
          <cell r="K311" t="str">
            <v>Губкинский РПУ</v>
          </cell>
        </row>
        <row r="312">
          <cell r="K312" t="str">
            <v>Губкинский РПУ</v>
          </cell>
        </row>
        <row r="313">
          <cell r="K313" t="str">
            <v>Губкинский РПУ</v>
          </cell>
        </row>
        <row r="314">
          <cell r="K314" t="str">
            <v>Губкинский РПУ</v>
          </cell>
        </row>
        <row r="315">
          <cell r="K315" t="str">
            <v>Губкинский РПУ</v>
          </cell>
        </row>
        <row r="316">
          <cell r="K316" t="str">
            <v>Губкинский РПУ</v>
          </cell>
        </row>
        <row r="317">
          <cell r="K317" t="str">
            <v>Губкинский РПУ</v>
          </cell>
        </row>
        <row r="318">
          <cell r="K318" t="str">
            <v>Губкинский РПУ</v>
          </cell>
        </row>
        <row r="319">
          <cell r="K319" t="str">
            <v>Губкинский РПУ</v>
          </cell>
        </row>
        <row r="320">
          <cell r="K320" t="str">
            <v>Губкинский РПУ</v>
          </cell>
        </row>
        <row r="321">
          <cell r="K321" t="str">
            <v>Губкинский РПУ</v>
          </cell>
        </row>
        <row r="322">
          <cell r="K322" t="str">
            <v>Губкинский РПУ</v>
          </cell>
        </row>
        <row r="323">
          <cell r="K323" t="str">
            <v>Губкинский РПУ</v>
          </cell>
        </row>
        <row r="324">
          <cell r="K324" t="str">
            <v>Нягань РПУ</v>
          </cell>
        </row>
        <row r="325">
          <cell r="K325" t="str">
            <v>Нягань РПУ</v>
          </cell>
        </row>
        <row r="326">
          <cell r="K326" t="str">
            <v>Нягань РПУ</v>
          </cell>
        </row>
        <row r="327">
          <cell r="K327" t="str">
            <v>Нягань РПУ</v>
          </cell>
        </row>
        <row r="328">
          <cell r="K328" t="str">
            <v>Нягань РПУ</v>
          </cell>
        </row>
        <row r="329">
          <cell r="K329" t="str">
            <v>Нягань РПУ</v>
          </cell>
        </row>
        <row r="330">
          <cell r="K330" t="str">
            <v>Нягань РПУ</v>
          </cell>
        </row>
        <row r="331">
          <cell r="K331" t="str">
            <v>Нягань РПУ</v>
          </cell>
        </row>
        <row r="332">
          <cell r="K332" t="str">
            <v>Нягань РПУ</v>
          </cell>
        </row>
        <row r="333">
          <cell r="K333" t="str">
            <v>Нягань РПУ</v>
          </cell>
        </row>
        <row r="334">
          <cell r="K334" t="str">
            <v>Нягань РПУ</v>
          </cell>
        </row>
        <row r="335">
          <cell r="K335" t="str">
            <v>Нягань РПУ</v>
          </cell>
        </row>
        <row r="336">
          <cell r="K336" t="str">
            <v>Нягань РПУ</v>
          </cell>
        </row>
        <row r="337">
          <cell r="K337" t="str">
            <v>Нягань РПУ</v>
          </cell>
        </row>
        <row r="338">
          <cell r="K338" t="str">
            <v>Тюмень РПУ</v>
          </cell>
        </row>
        <row r="339">
          <cell r="K339" t="str">
            <v>Тюмень РПУ</v>
          </cell>
        </row>
        <row r="340">
          <cell r="K340" t="str">
            <v>Тюмень РПУ</v>
          </cell>
        </row>
        <row r="341">
          <cell r="K341" t="str">
            <v>Тюмень РПУ</v>
          </cell>
        </row>
        <row r="342">
          <cell r="K342" t="str">
            <v>Тюмень РПУ</v>
          </cell>
        </row>
        <row r="343">
          <cell r="K343" t="str">
            <v>Тюмень РПУ</v>
          </cell>
        </row>
        <row r="344">
          <cell r="K344" t="str">
            <v>Тюмень РПУ</v>
          </cell>
        </row>
        <row r="345">
          <cell r="K345" t="str">
            <v>Тюмень РПУ</v>
          </cell>
        </row>
        <row r="346">
          <cell r="K346" t="str">
            <v>Тюмень РПУ</v>
          </cell>
        </row>
        <row r="347">
          <cell r="K347" t="str">
            <v>Тюмень РПУ</v>
          </cell>
        </row>
        <row r="348">
          <cell r="K348" t="str">
            <v>Тюмень РПУ</v>
          </cell>
        </row>
        <row r="349">
          <cell r="K349" t="str">
            <v>Тюмень РПУ</v>
          </cell>
        </row>
        <row r="350">
          <cell r="K350" t="str">
            <v>Тюмень РПУ</v>
          </cell>
        </row>
        <row r="351">
          <cell r="K351" t="str">
            <v>Тюмень РПУ</v>
          </cell>
        </row>
        <row r="352">
          <cell r="K352" t="str">
            <v>Нижневартовский РПУ</v>
          </cell>
        </row>
        <row r="353">
          <cell r="K353" t="str">
            <v>Нижневартовский РПУ</v>
          </cell>
        </row>
        <row r="354">
          <cell r="K354" t="str">
            <v>Нижневартовский РПУ</v>
          </cell>
        </row>
        <row r="355">
          <cell r="K355" t="str">
            <v>Нижневартовский РПУ</v>
          </cell>
        </row>
        <row r="356">
          <cell r="K356" t="str">
            <v>Нижневартовский РПУ</v>
          </cell>
        </row>
        <row r="357">
          <cell r="K357" t="str">
            <v>Нижневартовский РПУ</v>
          </cell>
        </row>
        <row r="358">
          <cell r="K358" t="str">
            <v>Нижневартовский РПУ</v>
          </cell>
        </row>
        <row r="359">
          <cell r="K359" t="str">
            <v>Нижневартовский РПУ</v>
          </cell>
        </row>
        <row r="360">
          <cell r="K360" t="str">
            <v>Нижневартовский РПУ</v>
          </cell>
        </row>
        <row r="361">
          <cell r="K361" t="str">
            <v>Нижневартовский РПУ</v>
          </cell>
        </row>
        <row r="362">
          <cell r="K362" t="str">
            <v>Нижневартовский РПУ</v>
          </cell>
        </row>
        <row r="363">
          <cell r="K363" t="str">
            <v>Нижневартовский РПУ</v>
          </cell>
        </row>
        <row r="364">
          <cell r="K364" t="str">
            <v>Нижневартовский РПУ</v>
          </cell>
        </row>
        <row r="365">
          <cell r="K365" t="str">
            <v>Нижневартовский РПУ</v>
          </cell>
        </row>
        <row r="366">
          <cell r="K366" t="str">
            <v>Самарское РПУ</v>
          </cell>
        </row>
        <row r="367">
          <cell r="K367" t="str">
            <v>Самарское РПУ</v>
          </cell>
        </row>
        <row r="368">
          <cell r="K368" t="str">
            <v>Самарское РПУ</v>
          </cell>
        </row>
        <row r="369">
          <cell r="K369" t="str">
            <v>Самарское РПУ</v>
          </cell>
        </row>
        <row r="370">
          <cell r="K370" t="str">
            <v>Самарское РПУ</v>
          </cell>
        </row>
        <row r="371">
          <cell r="K371" t="str">
            <v>Самарское РПУ</v>
          </cell>
        </row>
        <row r="372">
          <cell r="K372" t="str">
            <v>Самарское РПУ</v>
          </cell>
        </row>
        <row r="373">
          <cell r="K373" t="str">
            <v>Самарское РПУ</v>
          </cell>
        </row>
        <row r="374">
          <cell r="K374" t="str">
            <v>Самарское РПУ</v>
          </cell>
        </row>
        <row r="375">
          <cell r="K375" t="str">
            <v>Самарское РПУ</v>
          </cell>
        </row>
        <row r="376">
          <cell r="K376" t="str">
            <v>Самарское РПУ</v>
          </cell>
        </row>
        <row r="377">
          <cell r="K377" t="str">
            <v>Самарское РПУ</v>
          </cell>
        </row>
        <row r="378">
          <cell r="K378" t="str">
            <v>Самарское РПУ</v>
          </cell>
        </row>
        <row r="379">
          <cell r="K379" t="str">
            <v>Самарское РПУ</v>
          </cell>
        </row>
        <row r="380">
          <cell r="K380" t="str">
            <v>Сызранское РПУ</v>
          </cell>
        </row>
        <row r="381">
          <cell r="K381" t="str">
            <v>Сызранское РПУ</v>
          </cell>
        </row>
        <row r="382">
          <cell r="K382" t="str">
            <v>Сызранское РПУ</v>
          </cell>
        </row>
        <row r="383">
          <cell r="K383" t="str">
            <v>Сызранское РПУ</v>
          </cell>
        </row>
        <row r="384">
          <cell r="K384" t="str">
            <v>Сызранское РПУ</v>
          </cell>
        </row>
        <row r="385">
          <cell r="K385" t="str">
            <v>Сызранское РПУ</v>
          </cell>
        </row>
        <row r="386">
          <cell r="K386" t="str">
            <v>Сызранское РПУ</v>
          </cell>
        </row>
        <row r="387">
          <cell r="K387" t="str">
            <v>Сызранское РПУ</v>
          </cell>
        </row>
        <row r="388">
          <cell r="K388" t="str">
            <v>Сызранское РПУ</v>
          </cell>
        </row>
        <row r="389">
          <cell r="K389" t="str">
            <v>Сызранское РПУ</v>
          </cell>
        </row>
        <row r="390">
          <cell r="K390" t="str">
            <v>Сызранское РПУ</v>
          </cell>
        </row>
        <row r="391">
          <cell r="K391" t="str">
            <v>Сызранское РПУ</v>
          </cell>
        </row>
        <row r="392">
          <cell r="K392" t="str">
            <v>Сызранское РПУ</v>
          </cell>
        </row>
        <row r="393">
          <cell r="K393" t="str">
            <v>Сызранское РПУ</v>
          </cell>
        </row>
        <row r="394">
          <cell r="K394" t="str">
            <v>Новокуйбышевское РПУ</v>
          </cell>
        </row>
        <row r="395">
          <cell r="K395" t="str">
            <v>Новокуйбышевское РПУ</v>
          </cell>
        </row>
        <row r="396">
          <cell r="K396" t="str">
            <v>Новокуйбышевское РПУ</v>
          </cell>
        </row>
        <row r="397">
          <cell r="K397" t="str">
            <v>Новокуйбышевское РПУ</v>
          </cell>
        </row>
        <row r="398">
          <cell r="K398" t="str">
            <v>Новокуйбышевское РПУ</v>
          </cell>
        </row>
        <row r="399">
          <cell r="K399" t="str">
            <v>Новокуйбышевское РПУ</v>
          </cell>
        </row>
        <row r="400">
          <cell r="K400" t="str">
            <v>Новокуйбышевское РПУ</v>
          </cell>
        </row>
        <row r="401">
          <cell r="K401" t="str">
            <v>Новокуйбышевское РПУ</v>
          </cell>
        </row>
        <row r="402">
          <cell r="K402" t="str">
            <v>Новокуйбышевское РПУ</v>
          </cell>
        </row>
        <row r="403">
          <cell r="K403" t="str">
            <v>Новокуйбышевское РПУ</v>
          </cell>
        </row>
        <row r="404">
          <cell r="K404" t="str">
            <v>Новокуйбышевское РПУ</v>
          </cell>
        </row>
        <row r="405">
          <cell r="K405" t="str">
            <v>Новокуйбышевское РПУ</v>
          </cell>
        </row>
        <row r="406">
          <cell r="K406" t="str">
            <v>Новокуйбышевское РПУ</v>
          </cell>
        </row>
        <row r="407">
          <cell r="K407" t="str">
            <v>Новокуйбышевское РПУ</v>
          </cell>
        </row>
        <row r="408">
          <cell r="K408" t="str">
            <v>Куйбышевское РПУ</v>
          </cell>
        </row>
        <row r="409">
          <cell r="K409" t="str">
            <v>Куйбышевское РПУ</v>
          </cell>
        </row>
        <row r="410">
          <cell r="K410" t="str">
            <v>Куйбышевское РПУ</v>
          </cell>
        </row>
        <row r="411">
          <cell r="K411" t="str">
            <v>Куйбышевское РПУ</v>
          </cell>
        </row>
        <row r="412">
          <cell r="K412" t="str">
            <v>Куйбышевское РПУ</v>
          </cell>
        </row>
        <row r="413">
          <cell r="K413" t="str">
            <v>Куйбышевское РПУ</v>
          </cell>
        </row>
        <row r="414">
          <cell r="K414" t="str">
            <v>Куйбышевское РПУ</v>
          </cell>
        </row>
        <row r="415">
          <cell r="K415" t="str">
            <v>Куйбышевское РПУ</v>
          </cell>
        </row>
        <row r="416">
          <cell r="K416" t="str">
            <v>Куйбышевское РПУ</v>
          </cell>
        </row>
        <row r="417">
          <cell r="K417" t="str">
            <v>Куйбышевское РПУ</v>
          </cell>
        </row>
        <row r="418">
          <cell r="K418" t="str">
            <v>Куйбышевское РПУ</v>
          </cell>
        </row>
        <row r="419">
          <cell r="K419" t="str">
            <v>Куйбышевское РПУ</v>
          </cell>
        </row>
        <row r="420">
          <cell r="K420" t="str">
            <v>Куйбышевское РПУ</v>
          </cell>
        </row>
        <row r="421">
          <cell r="K421" t="str">
            <v>Куйбышевское РПУ</v>
          </cell>
        </row>
        <row r="422">
          <cell r="K422" t="str">
            <v>Ижевский РЦ</v>
          </cell>
        </row>
        <row r="423">
          <cell r="K423" t="str">
            <v>Ижевский РЦ</v>
          </cell>
        </row>
        <row r="424">
          <cell r="K424" t="str">
            <v>Ижевский РЦ</v>
          </cell>
        </row>
        <row r="425">
          <cell r="K425" t="str">
            <v>Ижевский РЦ</v>
          </cell>
        </row>
        <row r="426">
          <cell r="K426" t="str">
            <v>Ижевский РЦ</v>
          </cell>
        </row>
        <row r="427">
          <cell r="K427" t="str">
            <v>Ижевский РЦ</v>
          </cell>
        </row>
        <row r="428">
          <cell r="K428" t="str">
            <v>Ижевский РЦ</v>
          </cell>
        </row>
        <row r="429">
          <cell r="K429" t="str">
            <v>Ижевский РЦ</v>
          </cell>
        </row>
        <row r="430">
          <cell r="K430" t="str">
            <v>Ижевский РЦ</v>
          </cell>
        </row>
        <row r="431">
          <cell r="K431" t="str">
            <v>Ижевский РЦ</v>
          </cell>
        </row>
        <row r="432">
          <cell r="K432" t="str">
            <v>Ижевский РЦ</v>
          </cell>
        </row>
        <row r="433">
          <cell r="K433" t="str">
            <v>Ижевский РЦ</v>
          </cell>
        </row>
        <row r="434">
          <cell r="K434" t="str">
            <v>Ижевский РЦ</v>
          </cell>
        </row>
        <row r="435">
          <cell r="K435" t="str">
            <v>Ижевский РЦ</v>
          </cell>
        </row>
        <row r="436">
          <cell r="K436" t="str">
            <v>Оренбургский РЦ</v>
          </cell>
        </row>
        <row r="437">
          <cell r="K437" t="str">
            <v>Оренбургский РЦ</v>
          </cell>
        </row>
        <row r="438">
          <cell r="K438" t="str">
            <v>Оренбургский РЦ</v>
          </cell>
        </row>
        <row r="439">
          <cell r="K439" t="str">
            <v>Оренбургский РЦ</v>
          </cell>
        </row>
        <row r="440">
          <cell r="K440" t="str">
            <v>Оренбургский РЦ</v>
          </cell>
        </row>
        <row r="441">
          <cell r="K441" t="str">
            <v>Оренбургский РЦ</v>
          </cell>
        </row>
        <row r="442">
          <cell r="K442" t="str">
            <v>Оренбургский РЦ</v>
          </cell>
        </row>
        <row r="443">
          <cell r="K443" t="str">
            <v>Оренбургский РЦ</v>
          </cell>
        </row>
        <row r="444">
          <cell r="K444" t="str">
            <v>Оренбургский РЦ</v>
          </cell>
        </row>
        <row r="445">
          <cell r="K445" t="str">
            <v>Оренбургский РЦ</v>
          </cell>
        </row>
        <row r="446">
          <cell r="K446" t="str">
            <v>Оренбургский РЦ</v>
          </cell>
        </row>
        <row r="447">
          <cell r="K447" t="str">
            <v>Оренбургский РЦ</v>
          </cell>
        </row>
        <row r="448">
          <cell r="K448" t="str">
            <v>Оренбургский РЦ</v>
          </cell>
        </row>
        <row r="449">
          <cell r="K449" t="str">
            <v>Оренбургский РЦ</v>
          </cell>
        </row>
        <row r="450">
          <cell r="K450" t="str">
            <v>РПУ Туапсе</v>
          </cell>
        </row>
        <row r="451">
          <cell r="K451" t="str">
            <v>РПУ Туапсе</v>
          </cell>
        </row>
        <row r="452">
          <cell r="K452" t="str">
            <v>РПУ Туапсе</v>
          </cell>
        </row>
        <row r="453">
          <cell r="K453" t="str">
            <v>РПУ Туапсе</v>
          </cell>
        </row>
        <row r="454">
          <cell r="K454" t="str">
            <v>РПУ Туапсе</v>
          </cell>
        </row>
        <row r="455">
          <cell r="K455" t="str">
            <v>РПУ Туапсе</v>
          </cell>
        </row>
        <row r="456">
          <cell r="K456" t="str">
            <v>РПУ Туапсе</v>
          </cell>
        </row>
        <row r="457">
          <cell r="K457" t="str">
            <v>РПУ Туапсе</v>
          </cell>
        </row>
        <row r="458">
          <cell r="K458" t="str">
            <v>РПУ Туапсе</v>
          </cell>
        </row>
        <row r="459">
          <cell r="K459" t="str">
            <v>РПУ Туапсе</v>
          </cell>
        </row>
        <row r="460">
          <cell r="K460" t="str">
            <v>РПУ Туапсе</v>
          </cell>
        </row>
        <row r="461">
          <cell r="K461" t="str">
            <v>РПУ Туапсе</v>
          </cell>
        </row>
        <row r="462">
          <cell r="K462" t="str">
            <v>РПУ Туапсе</v>
          </cell>
        </row>
        <row r="463">
          <cell r="K463" t="str">
            <v>РПУ Туапсе</v>
          </cell>
        </row>
        <row r="464">
          <cell r="K464" t="str">
            <v>РПУ Краснодар</v>
          </cell>
        </row>
        <row r="465">
          <cell r="K465" t="str">
            <v>РПУ Краснодар</v>
          </cell>
        </row>
        <row r="466">
          <cell r="K466" t="str">
            <v>РПУ Краснодар</v>
          </cell>
        </row>
        <row r="467">
          <cell r="K467" t="str">
            <v>РПУ Краснодар</v>
          </cell>
        </row>
        <row r="468">
          <cell r="K468" t="str">
            <v>РПУ Краснодар</v>
          </cell>
        </row>
        <row r="469">
          <cell r="K469" t="str">
            <v>РПУ Краснодар</v>
          </cell>
        </row>
        <row r="470">
          <cell r="K470" t="str">
            <v>РПУ Краснодар</v>
          </cell>
        </row>
        <row r="471">
          <cell r="K471" t="str">
            <v>РПУ Краснодар</v>
          </cell>
        </row>
        <row r="472">
          <cell r="K472" t="str">
            <v>РПУ Краснодар</v>
          </cell>
        </row>
        <row r="473">
          <cell r="K473" t="str">
            <v>РПУ Краснодар</v>
          </cell>
        </row>
        <row r="474">
          <cell r="K474" t="str">
            <v>РПУ Краснодар</v>
          </cell>
        </row>
        <row r="475">
          <cell r="K475" t="str">
            <v>РПУ Краснодар</v>
          </cell>
        </row>
        <row r="476">
          <cell r="K476" t="str">
            <v>РПУ Краснодар</v>
          </cell>
        </row>
        <row r="477">
          <cell r="K477" t="str">
            <v>РПУ Краснодар</v>
          </cell>
        </row>
        <row r="478">
          <cell r="K478" t="str">
            <v>РПУ Нефтекумск</v>
          </cell>
        </row>
        <row r="479">
          <cell r="K479" t="str">
            <v>РПУ Нефтекумск</v>
          </cell>
        </row>
        <row r="480">
          <cell r="K480" t="str">
            <v>РПУ Нефтекумск</v>
          </cell>
        </row>
        <row r="481">
          <cell r="K481" t="str">
            <v>РПУ Нефтекумск</v>
          </cell>
        </row>
        <row r="482">
          <cell r="K482" t="str">
            <v>РПУ Нефтекумск</v>
          </cell>
        </row>
        <row r="483">
          <cell r="K483" t="str">
            <v>РПУ Нефтекумск</v>
          </cell>
        </row>
        <row r="484">
          <cell r="K484" t="str">
            <v>РПУ Нефтекумск</v>
          </cell>
        </row>
        <row r="485">
          <cell r="K485" t="str">
            <v>РПУ Нефтекумск</v>
          </cell>
        </row>
        <row r="486">
          <cell r="K486" t="str">
            <v>РПУ Нефтекумск</v>
          </cell>
        </row>
        <row r="487">
          <cell r="K487" t="str">
            <v>РПУ Нефтекумск</v>
          </cell>
        </row>
        <row r="488">
          <cell r="K488" t="str">
            <v>РПУ Нефтекумск</v>
          </cell>
        </row>
        <row r="489">
          <cell r="K489" t="str">
            <v>РПУ Нефтекумск</v>
          </cell>
        </row>
        <row r="490">
          <cell r="K490" t="str">
            <v>РПУ Нефтекумск</v>
          </cell>
        </row>
        <row r="491">
          <cell r="K491" t="str">
            <v>РПУ Нефтекумск</v>
          </cell>
        </row>
      </sheetData>
      <sheetData sheetId="16" refreshError="1"/>
      <sheetData sheetId="1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mitrii Kochurov" refreshedDate="43083.853652893522" createdVersion="5" refreshedVersion="6" minRefreshableVersion="3" recordCount="1" xr:uid="{00000000-000A-0000-FFFF-FFFF00000000}">
  <cacheSource type="worksheet">
    <worksheetSource ref="B5:BY6" sheet="Оборудование_ПО"/>
  </cacheSource>
  <cacheFields count="76">
    <cacheField name="Статья затрат" numFmtId="49">
      <sharedItems containsBlank="1" count="3">
        <s v="4.06.01"/>
        <m u="1"/>
        <s v="4.03.02" u="1"/>
      </sharedItems>
    </cacheField>
    <cacheField name="Фонд" numFmtId="4">
      <sharedItems/>
    </cacheField>
    <cacheField name="Контрагент" numFmtId="4">
      <sharedItems containsNonDate="0" containsString="0" containsBlank="1"/>
    </cacheField>
    <cacheField name="Договор №" numFmtId="4">
      <sharedItems containsNonDate="0" containsString="0" containsBlank="1"/>
    </cacheField>
    <cacheField name="Отсрочка платежа" numFmtId="4">
      <sharedItems containsNonDate="0" containsString="0" containsBlank="1"/>
    </cacheField>
    <cacheField name="Дата акта" numFmtId="14">
      <sharedItems containsNonDate="0" containsString="0" containsBlank="1"/>
    </cacheField>
    <cacheField name="Валютная составляющая" numFmtId="4">
      <sharedItems/>
    </cacheField>
    <cacheField name="НДС" numFmtId="4">
      <sharedItems containsSemiMixedTypes="0" containsString="0" containsNumber="1" minValue="1.18" maxValue="1.18"/>
    </cacheField>
    <cacheField name="Чей бюджет" numFmtId="4">
      <sharedItems/>
    </cacheField>
    <cacheField name="31.12.2016" numFmtId="4">
      <sharedItems containsNonDate="0" containsString="0" containsBlank="1"/>
    </cacheField>
    <cacheField name="Январь" numFmtId="4">
      <sharedItems containsNonDate="0" containsString="0" containsBlank="1"/>
    </cacheField>
    <cacheField name="Февраль" numFmtId="4">
      <sharedItems containsNonDate="0" containsString="0" containsBlank="1"/>
    </cacheField>
    <cacheField name="Март" numFmtId="4">
      <sharedItems containsNonDate="0" containsString="0" containsBlank="1"/>
    </cacheField>
    <cacheField name="Апрель" numFmtId="4">
      <sharedItems containsNonDate="0" containsString="0" containsBlank="1"/>
    </cacheField>
    <cacheField name="Май" numFmtId="4">
      <sharedItems containsNonDate="0" containsString="0" containsBlank="1"/>
    </cacheField>
    <cacheField name="Июнь" numFmtId="4">
      <sharedItems containsNonDate="0" containsString="0" containsBlank="1"/>
    </cacheField>
    <cacheField name="Июль" numFmtId="4">
      <sharedItems containsNonDate="0" containsString="0" containsBlank="1"/>
    </cacheField>
    <cacheField name="Август" numFmtId="4">
      <sharedItems containsNonDate="0" containsString="0" containsBlank="1"/>
    </cacheField>
    <cacheField name="Сентябрь" numFmtId="4">
      <sharedItems containsNonDate="0" containsString="0" containsBlank="1"/>
    </cacheField>
    <cacheField name="Октябрь" numFmtId="4">
      <sharedItems containsNonDate="0" containsString="0" containsBlank="1"/>
    </cacheField>
    <cacheField name="Ноябрь" numFmtId="4">
      <sharedItems containsNonDate="0" containsString="0" containsBlank="1"/>
    </cacheField>
    <cacheField name="Декабрь" numFmtId="4">
      <sharedItems containsNonDate="0" containsString="0" containsBlank="1"/>
    </cacheField>
    <cacheField name="Стоимость 2017 руб. без НДС" numFmtId="4">
      <sharedItems containsSemiMixedTypes="0" containsString="0" containsNumber="1" containsInteger="1" minValue="0" maxValue="0"/>
    </cacheField>
    <cacheField name="Январь2" numFmtId="4">
      <sharedItems containsNonDate="0" containsString="0" containsBlank="1"/>
    </cacheField>
    <cacheField name="Февраль2" numFmtId="4">
      <sharedItems containsNonDate="0" containsString="0" containsBlank="1"/>
    </cacheField>
    <cacheField name="Март2" numFmtId="4">
      <sharedItems containsNonDate="0" containsString="0" containsBlank="1"/>
    </cacheField>
    <cacheField name="Апрель2" numFmtId="4">
      <sharedItems containsNonDate="0" containsString="0" containsBlank="1"/>
    </cacheField>
    <cacheField name="Май2" numFmtId="4">
      <sharedItems containsNonDate="0" containsString="0" containsBlank="1"/>
    </cacheField>
    <cacheField name="Июнь2" numFmtId="4">
      <sharedItems containsNonDate="0" containsString="0" containsBlank="1"/>
    </cacheField>
    <cacheField name="Июль2" numFmtId="4">
      <sharedItems containsNonDate="0" containsString="0" containsBlank="1"/>
    </cacheField>
    <cacheField name="Август2" numFmtId="4">
      <sharedItems containsNonDate="0" containsString="0" containsBlank="1"/>
    </cacheField>
    <cacheField name="Сентябрь2" numFmtId="4">
      <sharedItems containsNonDate="0" containsString="0" containsBlank="1"/>
    </cacheField>
    <cacheField name="Октябрь2" numFmtId="4">
      <sharedItems containsNonDate="0" containsString="0" containsBlank="1"/>
    </cacheField>
    <cacheField name="Ноябрь2" numFmtId="4">
      <sharedItems containsNonDate="0" containsString="0" containsBlank="1"/>
    </cacheField>
    <cacheField name="Декабрь2" numFmtId="4">
      <sharedItems containsSemiMixedTypes="0" containsString="0" containsNumber="1" containsInteger="1" minValue="350000" maxValue="350000"/>
    </cacheField>
    <cacheField name="Стоимость 2018 руб. без НДС" numFmtId="4">
      <sharedItems containsSemiMixedTypes="0" containsString="0" containsNumber="1" containsInteger="1" minValue="350000" maxValue="350000"/>
    </cacheField>
    <cacheField name="Январь3" numFmtId="4">
      <sharedItems containsNonDate="0" containsString="0" containsBlank="1"/>
    </cacheField>
    <cacheField name="Февраль3" numFmtId="4">
      <sharedItems containsNonDate="0" containsString="0" containsBlank="1"/>
    </cacheField>
    <cacheField name="Март3" numFmtId="4">
      <sharedItems containsNonDate="0" containsString="0" containsBlank="1"/>
    </cacheField>
    <cacheField name="Апрель3" numFmtId="4">
      <sharedItems containsNonDate="0" containsString="0" containsBlank="1"/>
    </cacheField>
    <cacheField name="Май3" numFmtId="4">
      <sharedItems containsNonDate="0" containsString="0" containsBlank="1"/>
    </cacheField>
    <cacheField name="Июнь3" numFmtId="4">
      <sharedItems containsNonDate="0" containsString="0" containsBlank="1"/>
    </cacheField>
    <cacheField name="Июль3" numFmtId="4">
      <sharedItems containsNonDate="0" containsString="0" containsBlank="1"/>
    </cacheField>
    <cacheField name="Август3" numFmtId="4">
      <sharedItems containsNonDate="0" containsString="0" containsBlank="1"/>
    </cacheField>
    <cacheField name="Сентябрь3" numFmtId="4">
      <sharedItems containsNonDate="0" containsString="0" containsBlank="1"/>
    </cacheField>
    <cacheField name="Октябрь3" numFmtId="4">
      <sharedItems containsNonDate="0" containsString="0" containsBlank="1"/>
    </cacheField>
    <cacheField name="Ноябрь3" numFmtId="4">
      <sharedItems containsNonDate="0" containsString="0" containsBlank="1"/>
    </cacheField>
    <cacheField name="Декабрь3" numFmtId="4">
      <sharedItems containsNonDate="0" containsString="0" containsBlank="1"/>
    </cacheField>
    <cacheField name="Стоимость 2019 руб. без НДС" numFmtId="4">
      <sharedItems containsSemiMixedTypes="0" containsString="0" containsNumber="1" containsInteger="1" minValue="0" maxValue="0"/>
    </cacheField>
    <cacheField name="Январь4" numFmtId="4">
      <sharedItems containsNonDate="0" containsString="0" containsBlank="1"/>
    </cacheField>
    <cacheField name="Февраль4" numFmtId="4">
      <sharedItems containsNonDate="0" containsString="0" containsBlank="1"/>
    </cacheField>
    <cacheField name="Март4" numFmtId="4">
      <sharedItems containsNonDate="0" containsString="0" containsBlank="1"/>
    </cacheField>
    <cacheField name="Апрель4" numFmtId="4">
      <sharedItems containsNonDate="0" containsString="0" containsBlank="1"/>
    </cacheField>
    <cacheField name="Май4" numFmtId="4">
      <sharedItems containsNonDate="0" containsString="0" containsBlank="1"/>
    </cacheField>
    <cacheField name="Июнь4" numFmtId="4">
      <sharedItems containsNonDate="0" containsString="0" containsBlank="1"/>
    </cacheField>
    <cacheField name="Июль4" numFmtId="4">
      <sharedItems containsNonDate="0" containsString="0" containsBlank="1"/>
    </cacheField>
    <cacheField name="Август4" numFmtId="4">
      <sharedItems containsNonDate="0" containsString="0" containsBlank="1"/>
    </cacheField>
    <cacheField name="Сентябрь4" numFmtId="4">
      <sharedItems containsNonDate="0" containsString="0" containsBlank="1"/>
    </cacheField>
    <cacheField name="Октябрь4" numFmtId="4">
      <sharedItems containsNonDate="0" containsString="0" containsBlank="1"/>
    </cacheField>
    <cacheField name="Ноябрь4" numFmtId="4">
      <sharedItems containsNonDate="0" containsString="0" containsBlank="1"/>
    </cacheField>
    <cacheField name="Декабрь4" numFmtId="4">
      <sharedItems containsNonDate="0" containsString="0" containsBlank="1"/>
    </cacheField>
    <cacheField name="Стоимость 2020 руб. без НДС" numFmtId="4">
      <sharedItems containsSemiMixedTypes="0" containsString="0" containsNumber="1" containsInteger="1" minValue="0" maxValue="0"/>
    </cacheField>
    <cacheField name="Январь5" numFmtId="4">
      <sharedItems containsNonDate="0" containsString="0" containsBlank="1"/>
    </cacheField>
    <cacheField name="Февраль5" numFmtId="4">
      <sharedItems containsNonDate="0" containsString="0" containsBlank="1"/>
    </cacheField>
    <cacheField name="Март5" numFmtId="4">
      <sharedItems containsNonDate="0" containsString="0" containsBlank="1"/>
    </cacheField>
    <cacheField name="Апрель5" numFmtId="4">
      <sharedItems containsNonDate="0" containsString="0" containsBlank="1"/>
    </cacheField>
    <cacheField name="Май5" numFmtId="4">
      <sharedItems containsNonDate="0" containsString="0" containsBlank="1"/>
    </cacheField>
    <cacheField name="Июнь5" numFmtId="4">
      <sharedItems containsNonDate="0" containsString="0" containsBlank="1"/>
    </cacheField>
    <cacheField name="Июль5" numFmtId="4">
      <sharedItems containsNonDate="0" containsString="0" containsBlank="1"/>
    </cacheField>
    <cacheField name="Август5" numFmtId="4">
      <sharedItems containsNonDate="0" containsString="0" containsBlank="1"/>
    </cacheField>
    <cacheField name="Сентябрь5" numFmtId="4">
      <sharedItems containsNonDate="0" containsString="0" containsBlank="1"/>
    </cacheField>
    <cacheField name="Октябрь5" numFmtId="4">
      <sharedItems containsNonDate="0" containsString="0" containsBlank="1"/>
    </cacheField>
    <cacheField name="Ноябрь5" numFmtId="4">
      <sharedItems containsNonDate="0" containsString="0" containsBlank="1"/>
    </cacheField>
    <cacheField name="Декабрь5" numFmtId="4">
      <sharedItems containsNonDate="0" containsString="0" containsBlank="1"/>
    </cacheField>
    <cacheField name="Стоимость 2021 руб. без НДС" numFmtId="4">
      <sharedItems containsSemiMixedTypes="0" containsString="0" containsNumber="1" containsInteger="1" minValue="0" maxValue="0"/>
    </cacheField>
    <cacheField name="Итого стоимость руб. без НДС" numFmtId="4">
      <sharedItems containsSemiMixedTypes="0" containsString="0" containsNumber="1" containsInteger="1" minValue="350000" maxValue="350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mitrii Kochurov" refreshedDate="43083.853654166669" missingItemsLimit="0" createdVersion="5" refreshedVersion="6" minRefreshableVersion="3" recordCount="240" xr:uid="{00000000-000A-0000-FFFF-FFFF01000000}">
  <cacheSource type="worksheet">
    <worksheetSource ref="D7:CN19138" sheet="Работы - НН-ОЦО"/>
  </cacheSource>
  <cacheFields count="89">
    <cacheField name="Результат работ/ Результирующий документ" numFmtId="0">
      <sharedItems containsBlank="1" containsMixedTypes="1" containsNumber="1" containsInteger="1" minValue="0" maxValue="45612760" longText="1"/>
    </cacheField>
    <cacheField name="Код вида работ (Opex/Capex)" numFmtId="0">
      <sharedItems containsBlank="1"/>
    </cacheField>
    <cacheField name="Структурное подразделение НН-ОЦО" numFmtId="0">
      <sharedItems containsBlank="1" count="2">
        <m/>
        <s v=""/>
      </sharedItems>
    </cacheField>
    <cacheField name="Роль в проекте" numFmtId="0">
      <sharedItems containsBlank="1" count="10">
        <m/>
        <s v="Руководитель проекта"/>
        <s v="Администратор"/>
        <s v="Эксперт"/>
        <s v="Консультант"/>
        <s v="Аналитик"/>
        <s v="Архитектор по ИБ"/>
        <s v="Разработчик"/>
        <s v="Специалист по сопровождению"/>
        <s v="Специалист по инфраструктуре"/>
      </sharedItems>
    </cacheField>
    <cacheField name="Категория сотрудника" numFmtId="0">
      <sharedItems containsBlank="1" count="6">
        <m/>
        <s v="К5"/>
        <s v="К4"/>
        <s v="К6"/>
        <s v="К2"/>
        <s v="К3"/>
      </sharedItems>
    </cacheField>
    <cacheField name="ФИО" numFmtId="0">
      <sharedItems containsBlank="1" count="13">
        <m/>
        <s v="Вакансия 1"/>
        <s v="Вакансия 2"/>
        <s v="Захарчев Александр Анатольевич"/>
        <s v="TBD СЛ SAP"/>
        <s v="Вакансия 3"/>
        <s v="TBD Безопасность"/>
        <s v="TBD Базис"/>
        <s v="Вакансия 4"/>
        <s v="Вакансия 5"/>
        <s v="Вакансия 6"/>
        <s v="Вакансия 7"/>
        <s v="TBD Инфраструктура"/>
      </sharedItems>
    </cacheField>
    <cacheField name="Чей бюджет" numFmtId="0">
      <sharedItems containsBlank="1"/>
    </cacheField>
    <cacheField name="Ставка за 1 чел/дн (без НДС) руб." numFmtId="0">
      <sharedItems containsBlank="1" containsMixedTypes="1" containsNumber="1" containsInteger="1" minValue="6980" maxValue="21520"/>
    </cacheField>
    <cacheField name="В т. ч. выходные_x000a_ч/дн" numFmtId="0">
      <sharedItems containsString="0" containsBlank="1" containsNumber="1" containsInteger="1" minValue="0" maxValue="0"/>
    </cacheField>
    <cacheField name="31.12.2016"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2016"/>
    </cacheField>
    <cacheField name="Январь" numFmtId="0">
      <sharedItems containsBlank="1" containsMixedTypes="1" containsNumber="1" containsInteger="1" minValue="0" maxValue="0"/>
    </cacheField>
    <cacheField name="Февраль" numFmtId="0">
      <sharedItems containsBlank="1" containsMixedTypes="1" containsNumber="1" containsInteger="1" minValue="0" maxValue="0"/>
    </cacheField>
    <cacheField name="Март" numFmtId="0">
      <sharedItems containsBlank="1" containsMixedTypes="1" containsNumber="1" containsInteger="1" minValue="0" maxValue="0"/>
    </cacheField>
    <cacheField name="Апрель" numFmtId="0">
      <sharedItems containsBlank="1" containsMixedTypes="1" containsNumber="1" containsInteger="1" minValue="0" maxValue="0"/>
    </cacheField>
    <cacheField name="Май" numFmtId="0">
      <sharedItems containsBlank="1" containsMixedTypes="1" containsNumber="1" containsInteger="1" minValue="0" maxValue="0"/>
    </cacheField>
    <cacheField name="Июнь" numFmtId="0">
      <sharedItems containsBlank="1" containsMixedTypes="1" containsNumber="1" containsInteger="1" minValue="0" maxValue="0"/>
    </cacheField>
    <cacheField name="Июль" numFmtId="0">
      <sharedItems containsBlank="1" containsMixedTypes="1" containsNumber="1" containsInteger="1" minValue="0" maxValue="0"/>
    </cacheField>
    <cacheField name="Август" numFmtId="0">
      <sharedItems containsBlank="1" containsMixedTypes="1" containsNumber="1" containsInteger="1" minValue="0" maxValue="0"/>
    </cacheField>
    <cacheField name="Сентябрь" numFmtId="0">
      <sharedItems containsBlank="1" containsMixedTypes="1" containsNumber="1" containsInteger="1" minValue="0" maxValue="0"/>
    </cacheField>
    <cacheField name="Октябрь" numFmtId="0">
      <sharedItems containsBlank="1" containsMixedTypes="1" containsNumber="1" containsInteger="1" minValue="0" maxValue="0"/>
    </cacheField>
    <cacheField name="Ноябрь" numFmtId="0">
      <sharedItems containsBlank="1" containsMixedTypes="1" containsNumber="1" containsInteger="1" minValue="0" maxValue="0"/>
    </cacheField>
    <cacheField name="Декабрь" numFmtId="0">
      <sharedItems containsBlank="1" containsMixedTypes="1" containsNumber="1" containsInteger="1" minValue="0" maxValue="0"/>
    </cacheField>
    <cacheField name="В т. ч. выходные_x000a_ч/дн2" numFmtId="0">
      <sharedItems containsBlank="1" containsMixedTypes="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2017"/>
    </cacheField>
    <cacheField name="Январь2" numFmtId="0">
      <sharedItems containsBlank="1" containsMixedTypes="1" containsNumber="1" containsInteger="1" minValue="0" maxValue="0"/>
    </cacheField>
    <cacheField name="Февраль2" numFmtId="0">
      <sharedItems containsBlank="1" containsMixedTypes="1" containsNumber="1" minValue="0" maxValue="454.13"/>
    </cacheField>
    <cacheField name="Март2" numFmtId="0">
      <sharedItems containsBlank="1" containsMixedTypes="1" containsNumber="1" minValue="0" maxValue="2252.6999999999998"/>
    </cacheField>
    <cacheField name="Апрель2" numFmtId="0">
      <sharedItems containsBlank="1" containsMixedTypes="1" containsNumber="1" minValue="0" maxValue="2436.88"/>
    </cacheField>
    <cacheField name="Май2" numFmtId="0">
      <sharedItems containsBlank="1" containsMixedTypes="1" containsNumber="1" minValue="0" maxValue="2436.88"/>
    </cacheField>
    <cacheField name="Июнь2" numFmtId="0">
      <sharedItems containsBlank="1" containsMixedTypes="1" containsNumber="1" minValue="0" maxValue="2335.9499999999998"/>
    </cacheField>
    <cacheField name="Июль2" numFmtId="0">
      <sharedItems containsBlank="1" containsMixedTypes="1" containsNumber="1" minValue="0" maxValue="2221.6999999999998"/>
    </cacheField>
    <cacheField name="Август2" numFmtId="0">
      <sharedItems containsBlank="1" containsMixedTypes="1" containsNumber="1" minValue="0" maxValue="1496.4"/>
    </cacheField>
    <cacheField name="Сентябрь2" numFmtId="0">
      <sharedItems containsBlank="1" containsMixedTypes="1" containsNumber="1" minValue="0" maxValue="1854.77"/>
    </cacheField>
    <cacheField name="Октябрь2" numFmtId="0">
      <sharedItems containsBlank="1" containsMixedTypes="1" containsNumber="1" minValue="0" maxValue="2190.35"/>
    </cacheField>
    <cacheField name="Ноябрь2" numFmtId="0">
      <sharedItems containsBlank="1" containsMixedTypes="1" containsNumber="1" minValue="0" maxValue="2190.35"/>
    </cacheField>
    <cacheField name="Декабрь2" numFmtId="0">
      <sharedItems containsBlank="1" containsMixedTypes="1" containsNumber="1" minValue="0" maxValue="1589.69"/>
    </cacheField>
    <cacheField name="В т. ч. выходные_x000a_чел/дн" numFmtId="0">
      <sharedItems containsBlank="1" containsMixedTypes="1" containsNumber="1" containsInteger="1" minValue="0" maxValue="0"/>
    </cacheField>
    <cacheField name="Трудоемкость_x000a_ч/дн2" numFmtId="0">
      <sharedItems containsString="0" containsBlank="1" containsNumber="1" containsInteger="1" minValue="0" maxValue="1448"/>
    </cacheField>
    <cacheField name="Стоимость 2018 руб. без НДС" numFmtId="0">
      <sharedItems containsString="0" containsBlank="1" containsNumber="1" minValue="0" maxValue="22398330"/>
    </cacheField>
    <cacheField name="Январь3" numFmtId="0">
      <sharedItems containsBlank="1" containsMixedTypes="1" containsNumber="1" minValue="0" maxValue="1500.69"/>
    </cacheField>
    <cacheField name="Февраль3" numFmtId="0">
      <sharedItems containsBlank="1" containsMixedTypes="1" containsNumber="1" minValue="0" maxValue="2040.24"/>
    </cacheField>
    <cacheField name="Март3" numFmtId="0">
      <sharedItems containsBlank="1" containsMixedTypes="1" containsNumber="1" minValue="0" maxValue="2040.24"/>
    </cacheField>
    <cacheField name="Апрель3" numFmtId="0">
      <sharedItems containsBlank="1" containsMixedTypes="1" containsNumber="1" minValue="0" maxValue="1598.42"/>
    </cacheField>
    <cacheField name="Май3" numFmtId="0">
      <sharedItems containsBlank="1" containsMixedTypes="1" containsNumber="1" minValue="0" maxValue="1502.6"/>
    </cacheField>
    <cacheField name="Июнь3" numFmtId="0">
      <sharedItems containsBlank="1" containsMixedTypes="1" containsNumber="1" minValue="0" maxValue="1227.71"/>
    </cacheField>
    <cacheField name="Июль3" numFmtId="0">
      <sharedItems containsBlank="1" containsMixedTypes="1" containsNumber="1" minValue="0" maxValue="1408.93"/>
    </cacheField>
    <cacheField name="Август3" numFmtId="0">
      <sharedItems containsBlank="1" containsMixedTypes="1" containsNumber="1" minValue="0" maxValue="1452.64"/>
    </cacheField>
    <cacheField name="Сентябрь3" numFmtId="0">
      <sharedItems containsBlank="1" containsMixedTypes="1" containsNumber="1" minValue="0" maxValue="1452.64"/>
    </cacheField>
    <cacheField name="Октябрь3" numFmtId="0">
      <sharedItems containsBlank="1" containsMixedTypes="1" containsNumber="1" minValue="0" maxValue="1477.68"/>
    </cacheField>
    <cacheField name="Ноябрь3" numFmtId="0">
      <sharedItems containsBlank="1" containsMixedTypes="1" containsNumber="1" minValue="0" maxValue="1477.68"/>
    </cacheField>
    <cacheField name="Декабрь3" numFmtId="0">
      <sharedItems containsBlank="1" containsMixedTypes="1" containsNumber="1" minValue="0" maxValue="1425.21"/>
    </cacheField>
    <cacheField name="В т. ч. выходные_x000a_чел/дн2" numFmtId="0">
      <sharedItems containsBlank="1" containsMixedTypes="1" containsNumber="1" containsInteger="1" minValue="0" maxValue="0"/>
    </cacheField>
    <cacheField name="Трудоемкость_x000a_ч/дн3" numFmtId="0">
      <sharedItems containsString="0" containsBlank="1" containsNumber="1" containsInteger="1" minValue="0" maxValue="1721"/>
    </cacheField>
    <cacheField name="Стоимость 2019 руб. без НДС" numFmtId="0">
      <sharedItems containsString="0" containsBlank="1" containsNumber="1" minValue="0" maxValue="23946640"/>
    </cacheField>
    <cacheField name="Январь4" numFmtId="0">
      <sharedItems containsBlank="1" containsMixedTypes="1" containsNumber="1" minValue="0" maxValue="612.26"/>
    </cacheField>
    <cacheField name="Февраль4" numFmtId="0">
      <sharedItems containsBlank="1" containsMixedTypes="1" containsNumber="1" containsInteger="1" minValue="0" maxValue="0"/>
    </cacheField>
    <cacheField name="Март4" numFmtId="0">
      <sharedItems containsBlank="1" containsMixedTypes="1" containsNumber="1" containsInteger="1" minValue="0" maxValue="0"/>
    </cacheField>
    <cacheField name="Апрель4" numFmtId="0">
      <sharedItems containsBlank="1" containsMixedTypes="1" containsNumber="1" containsInteger="1" minValue="0" maxValue="0"/>
    </cacheField>
    <cacheField name="Май4" numFmtId="0">
      <sharedItems containsBlank="1" containsMixedTypes="1" containsNumber="1" containsInteger="1" minValue="0" maxValue="0"/>
    </cacheField>
    <cacheField name="Июнь4" numFmtId="0">
      <sharedItems containsBlank="1" containsMixedTypes="1" containsNumber="1" containsInteger="1" minValue="0" maxValue="0"/>
    </cacheField>
    <cacheField name="Июль4" numFmtId="0">
      <sharedItems containsBlank="1" containsMixedTypes="1" containsNumber="1" containsInteger="1" minValue="0" maxValue="0"/>
    </cacheField>
    <cacheField name="Август4" numFmtId="0">
      <sharedItems containsBlank="1" containsMixedTypes="1" containsNumber="1" containsInteger="1" minValue="0" maxValue="0"/>
    </cacheField>
    <cacheField name="Сентябрь4" numFmtId="0">
      <sharedItems containsBlank="1" containsMixedTypes="1" containsNumber="1" containsInteger="1" minValue="0" maxValue="0"/>
    </cacheField>
    <cacheField name="Октябрь4" numFmtId="0">
      <sharedItems containsBlank="1" containsMixedTypes="1" containsNumber="1" containsInteger="1" minValue="0" maxValue="0"/>
    </cacheField>
    <cacheField name="Ноябрь4" numFmtId="0">
      <sharedItems containsBlank="1" containsMixedTypes="1" containsNumber="1" containsInteger="1" minValue="0" maxValue="0"/>
    </cacheField>
    <cacheField name="Декабрь4" numFmtId="0">
      <sharedItems containsBlank="1" containsMixedTypes="1" containsNumber="1" containsInteger="1" minValue="0" maxValue="0"/>
    </cacheField>
    <cacheField name="В т. ч. выходные_x000a_чел/дн3" numFmtId="0">
      <sharedItems containsBlank="1" containsMixedTypes="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0">
      <sharedItems containsString="0" containsBlank="1" containsNumber="1" minValue="0" maxValue="2020"/>
    </cacheField>
    <cacheField name="Январь5" numFmtId="0">
      <sharedItems containsBlank="1" containsMixedTypes="1" containsNumber="1" minValue="0" maxValue="31.86"/>
    </cacheField>
    <cacheField name="Февраль5" numFmtId="0">
      <sharedItems containsBlank="1" containsMixedTypes="1" containsNumber="1" minValue="0" maxValue="31.86"/>
    </cacheField>
    <cacheField name="Март5" numFmtId="0">
      <sharedItems containsBlank="1" containsMixedTypes="1" containsNumber="1" containsInteger="1" minValue="0" maxValue="0"/>
    </cacheField>
    <cacheField name="Апрель5" numFmtId="0">
      <sharedItems containsBlank="1" containsMixedTypes="1" containsNumber="1" containsInteger="1" minValue="0" maxValue="0"/>
    </cacheField>
    <cacheField name="Май5" numFmtId="0">
      <sharedItems containsBlank="1" containsMixedTypes="1" containsNumber="1" containsInteger="1" minValue="0" maxValue="0"/>
    </cacheField>
    <cacheField name="Июнь5" numFmtId="0">
      <sharedItems containsBlank="1" containsMixedTypes="1" containsNumber="1" containsInteger="1" minValue="0" maxValue="0"/>
    </cacheField>
    <cacheField name="Июль5" numFmtId="0">
      <sharedItems containsBlank="1" containsMixedTypes="1" containsNumber="1" containsInteger="1" minValue="0" maxValue="0"/>
    </cacheField>
    <cacheField name="Август5" numFmtId="0">
      <sharedItems containsBlank="1" containsMixedTypes="1" containsNumber="1" containsInteger="1" minValue="0" maxValue="0"/>
    </cacheField>
    <cacheField name="Сентябрь5" numFmtId="0">
      <sharedItems containsBlank="1" containsMixedTypes="1" containsNumber="1" containsInteger="1" minValue="0" maxValue="0"/>
    </cacheField>
    <cacheField name="Октябрь5" numFmtId="0">
      <sharedItems containsBlank="1" containsMixedTypes="1" containsNumber="1" containsInteger="1" minValue="0" maxValue="0"/>
    </cacheField>
    <cacheField name="Ноябрь5" numFmtId="0">
      <sharedItems containsBlank="1" containsMixedTypes="1" containsNumber="1" containsInteger="1" minValue="0" maxValue="0"/>
    </cacheField>
    <cacheField name="Декабрь5" numFmtId="0">
      <sharedItems containsBlank="1" containsMixedTypes="1" containsNumber="1" containsInteger="1" minValue="0" maxValue="0"/>
    </cacheField>
    <cacheField name="В т. ч. выходные_x000a_чел/дн4" numFmtId="0">
      <sharedItems containsBlank="1" containsMixedTypes="1" containsNumber="1" containsInteger="1" minValue="0" maxValue="0"/>
    </cacheField>
    <cacheField name="Трудоемкость_x000a_ч/дн5" numFmtId="0">
      <sharedItems containsString="0" containsBlank="1" containsNumber="1" containsInteger="1" minValue="0" maxValue="2"/>
    </cacheField>
    <cacheField name="Стоимость 2021 руб. без НДС" numFmtId="0">
      <sharedItems containsString="0" containsBlank="1" containsNumber="1" minValue="0" maxValue="31860"/>
    </cacheField>
    <cacheField name="В т. ч. выходные_x000a_ч/дн3" numFmtId="0">
      <sharedItems containsString="0" containsBlank="1" containsNumber="1" containsInteger="1" minValue="0" maxValue="0"/>
    </cacheField>
    <cacheField name="Трудоемкость_x000a_ч/дн6" numFmtId="0">
      <sharedItems containsString="0" containsBlank="1" containsNumber="1" containsInteger="1" minValue="0" maxValue="3171"/>
    </cacheField>
    <cacheField name="Стоимость руб. без НДС" numFmtId="0">
      <sharedItems containsBlank="1" containsMixedTypes="1" containsNumber="1" containsInteger="1" minValue="0" maxValue="4637683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mitrii Kochurov" refreshedDate="43083.853656481479" createdVersion="5" refreshedVersion="6" minRefreshableVersion="3" recordCount="220" xr:uid="{00000000-000A-0000-FFFF-FFFF02000000}">
  <cacheSource type="worksheet">
    <worksheetSource ref="A7:CN227" sheet="Работы - НН-ОЦО"/>
  </cacheSource>
  <cacheFields count="99">
    <cacheField name="Код операции в TS" numFmtId="49">
      <sharedItems containsBlank="1"/>
    </cacheField>
    <cacheField name="Название операции/вида работ в ТS" numFmtId="0">
      <sharedItems containsBlank="1"/>
    </cacheField>
    <cacheField name="Детально описание операции/вида работ" numFmtId="0">
      <sharedItems containsBlank="1" longText="1"/>
    </cacheField>
    <cacheField name="Результат работ/ Результирующий документ" numFmtId="0">
      <sharedItems containsBlank="1" longText="1"/>
    </cacheField>
    <cacheField name="Код вида работ (Opex/Capex)" numFmtId="0">
      <sharedItems containsBlank="1" count="3">
        <m/>
        <s v="О"/>
        <s v="К"/>
      </sharedItems>
    </cacheField>
    <cacheField name="Структурное подразделение НН-ОЦО" numFmtId="0">
      <sharedItems containsBlank="1"/>
    </cacheField>
    <cacheField name="Роль в проекте" numFmtId="0">
      <sharedItems containsBlank="1"/>
    </cacheField>
    <cacheField name="Категория сотрудника" numFmtId="0">
      <sharedItems containsBlank="1"/>
    </cacheField>
    <cacheField name="ФИО" numFmtId="0">
      <sharedItems containsBlank="1"/>
    </cacheField>
    <cacheField name="Чей бюджет" numFmtId="0">
      <sharedItems containsBlank="1"/>
    </cacheField>
    <cacheField name="Ставка за 1 чел/дн (без НДС) руб." numFmtId="0">
      <sharedItems containsBlank="1" containsMixedTypes="1" containsNumber="1" containsInteger="1" minValue="6980" maxValue="21520"/>
    </cacheField>
    <cacheField name="В т. ч. выходные_x000a_ч/дн" numFmtId="0">
      <sharedItems containsString="0" containsBlank="1" containsNumber="1" containsInteger="1" minValue="0" maxValue="0"/>
    </cacheField>
    <cacheField name="31.12.2016"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0"/>
    </cacheField>
    <cacheField name="Январь" numFmtId="1">
      <sharedItems containsString="0" containsBlank="1" containsNumber="1" containsInteger="1" minValue="0" maxValue="0"/>
    </cacheField>
    <cacheField name="Февраль" numFmtId="0">
      <sharedItems containsString="0" containsBlank="1" containsNumber="1" containsInteger="1" minValue="0" maxValue="0"/>
    </cacheField>
    <cacheField name="Март" numFmtId="0">
      <sharedItems containsString="0" containsBlank="1" containsNumber="1" containsInteger="1" minValue="0" maxValue="0"/>
    </cacheField>
    <cacheField name="Апрель" numFmtId="0">
      <sharedItems containsString="0" containsBlank="1" containsNumber="1" containsInteger="1" minValue="0" maxValue="0"/>
    </cacheField>
    <cacheField name="Май" numFmtId="0">
      <sharedItems containsString="0" containsBlank="1" containsNumber="1" containsInteger="1" minValue="0" maxValue="0"/>
    </cacheField>
    <cacheField name="Июнь" numFmtId="0">
      <sharedItems containsString="0" containsBlank="1" containsNumber="1" containsInteger="1" minValue="0" maxValue="0"/>
    </cacheField>
    <cacheField name="Июль" numFmtId="0">
      <sharedItems containsString="0" containsBlank="1" containsNumber="1" containsInteger="1" minValue="0" maxValue="0"/>
    </cacheField>
    <cacheField name="Август" numFmtId="0">
      <sharedItems containsString="0" containsBlank="1" containsNumber="1" containsInteger="1" minValue="0" maxValue="0"/>
    </cacheField>
    <cacheField name="Сентябрь" numFmtId="0">
      <sharedItems containsString="0" containsBlank="1" containsNumber="1" containsInteger="1" minValue="0" maxValue="0"/>
    </cacheField>
    <cacheField name="Октябрь" numFmtId="0">
      <sharedItems containsString="0" containsBlank="1" containsNumber="1" containsInteger="1" minValue="0" maxValue="0"/>
    </cacheField>
    <cacheField name="Ноябрь" numFmtId="0">
      <sharedItems containsString="0" containsBlank="1" containsNumber="1" containsInteger="1" minValue="0" maxValue="0"/>
    </cacheField>
    <cacheField name="Декабрь" numFmtId="0">
      <sharedItems containsString="0" containsBlank="1" containsNumber="1" containsInteger="1" minValue="0" maxValue="0"/>
    </cacheField>
    <cacheField name="В т. ч. выходные_x000a_ч/дн2" numFmtId="0">
      <sharedItems containsString="0" containsBlank="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24"/>
    </cacheField>
    <cacheField name="Март2" numFmtId="3">
      <sharedItems containsString="0" containsBlank="1" containsNumber="1" containsInteger="1" minValue="0" maxValue="135"/>
    </cacheField>
    <cacheField name="Апрель2" numFmtId="3">
      <sharedItems containsString="0" containsBlank="1" containsNumber="1" containsInteger="1" minValue="0" maxValue="150"/>
    </cacheField>
    <cacheField name="Май2" numFmtId="3">
      <sharedItems containsString="0" containsBlank="1" containsNumber="1" containsInteger="1" minValue="0" maxValue="142"/>
    </cacheField>
    <cacheField name="Июнь2" numFmtId="3">
      <sharedItems containsString="0" containsBlank="1" containsNumber="1" containsInteger="1" minValue="0" maxValue="135"/>
    </cacheField>
    <cacheField name="Июль2" numFmtId="3">
      <sharedItems containsString="0" containsBlank="1" containsNumber="1" containsInteger="1" minValue="0" maxValue="116"/>
    </cacheField>
    <cacheField name="Август2" numFmtId="3">
      <sharedItems containsString="0" containsBlank="1" containsNumber="1" containsInteger="1" minValue="0" maxValue="121"/>
    </cacheField>
    <cacheField name="Сентябрь2" numFmtId="3">
      <sharedItems containsString="0" containsBlank="1" containsNumber="1" containsInteger="1" minValue="0" maxValue="148"/>
    </cacheField>
    <cacheField name="Октябрь2" numFmtId="3">
      <sharedItems containsString="0" containsBlank="1" containsNumber="1" containsInteger="1" minValue="0" maxValue="176"/>
    </cacheField>
    <cacheField name="Ноябрь2" numFmtId="3">
      <sharedItems containsString="0" containsBlank="1" containsNumber="1" containsInteger="1" minValue="0" maxValue="149"/>
    </cacheField>
    <cacheField name="Декабрь2" numFmtId="0">
      <sharedItems containsString="0" containsBlank="1" containsNumber="1" containsInteger="1" minValue="0" maxValue="152"/>
    </cacheField>
    <cacheField name="В т. ч. выходные_x000a_чел/дн" numFmtId="0">
      <sharedItems containsString="0" containsBlank="1" containsNumber="1" containsInteger="1" minValue="0" maxValue="0"/>
    </cacheField>
    <cacheField name="Трудоемкость_x000a_ч/дн2" numFmtId="0">
      <sharedItems containsString="0" containsBlank="1" containsNumber="1" containsInteger="1" minValue="0" maxValue="1448"/>
    </cacheField>
    <cacheField name="Стоимость 2018 руб. без НДС" numFmtId="0">
      <sharedItems containsString="0" containsBlank="1" containsNumber="1" containsInteger="1" minValue="0" maxValue="22398330"/>
    </cacheField>
    <cacheField name="Январь3" numFmtId="0">
      <sharedItems containsString="0" containsBlank="1" containsNumber="1" containsInteger="1" minValue="0" maxValue="121"/>
    </cacheField>
    <cacheField name="Февраль3" numFmtId="0">
      <sharedItems containsString="0" containsBlank="1" containsNumber="1" containsInteger="1" minValue="0" maxValue="166"/>
    </cacheField>
    <cacheField name="Март3" numFmtId="3">
      <sharedItems containsString="0" containsBlank="1" containsNumber="1" containsInteger="1" minValue="0" maxValue="160"/>
    </cacheField>
    <cacheField name="Апрель3" numFmtId="3">
      <sharedItems containsString="0" containsBlank="1" containsNumber="1" containsInteger="1" minValue="0" maxValue="164"/>
    </cacheField>
    <cacheField name="Май3" numFmtId="3">
      <sharedItems containsString="0" containsBlank="1" containsNumber="1" containsInteger="1" minValue="0" maxValue="147"/>
    </cacheField>
    <cacheField name="Июнь3" numFmtId="3">
      <sharedItems containsString="0" containsBlank="1" containsNumber="1" containsInteger="1" minValue="0" maxValue="135"/>
    </cacheField>
    <cacheField name="Июль3" numFmtId="3">
      <sharedItems containsString="0" containsBlank="1" containsNumber="1" containsInteger="1" minValue="0" maxValue="178"/>
    </cacheField>
    <cacheField name="Август3" numFmtId="3">
      <sharedItems containsString="0" containsBlank="1" containsNumber="1" containsInteger="1" minValue="0" maxValue="161"/>
    </cacheField>
    <cacheField name="Сентябрь3" numFmtId="3">
      <sharedItems containsString="0" containsBlank="1" containsNumber="1" containsInteger="1" minValue="0" maxValue="149"/>
    </cacheField>
    <cacheField name="Октябрь3" numFmtId="3">
      <sharedItems containsString="0" containsBlank="1" containsNumber="1" containsInteger="1" minValue="0" maxValue="176"/>
    </cacheField>
    <cacheField name="Ноябрь3" numFmtId="3">
      <sharedItems containsString="0" containsBlank="1" containsNumber="1" containsInteger="1" minValue="0" maxValue="103"/>
    </cacheField>
    <cacheField name="Декабрь3" numFmtId="3">
      <sharedItems containsString="0" containsBlank="1" containsNumber="1" containsInteger="1" minValue="0" maxValue="34"/>
    </cacheField>
    <cacheField name="В т. ч. выходные_x000a_чел/дн2" numFmtId="0">
      <sharedItems containsString="0" containsBlank="1" containsNumber="1" containsInteger="1" minValue="0" maxValue="0"/>
    </cacheField>
    <cacheField name="Трудоемкость_x000a_ч/дн3" numFmtId="0">
      <sharedItems containsString="0" containsBlank="1" containsNumber="1" containsInteger="1" minValue="0" maxValue="1670"/>
    </cacheField>
    <cacheField name="Стоимость 2019 руб. без НДС" numFmtId="0">
      <sharedItems containsString="0" containsBlank="1" containsNumber="1" containsInteger="1" minValue="0" maxValue="23182570"/>
    </cacheField>
    <cacheField name="Январь4" numFmtId="0">
      <sharedItems containsNonDate="0" containsString="0" containsBlank="1"/>
    </cacheField>
    <cacheField name="Февраль4" numFmtId="0">
      <sharedItems containsNonDate="0" containsString="0" containsBlank="1"/>
    </cacheField>
    <cacheField name="Март4" numFmtId="0">
      <sharedItems containsNonDate="0" containsString="0" containsBlank="1"/>
    </cacheField>
    <cacheField name="Апрель4" numFmtId="0">
      <sharedItems containsNonDate="0" containsString="0" containsBlank="1"/>
    </cacheField>
    <cacheField name="Май4" numFmtId="0">
      <sharedItems containsNonDate="0" containsString="0" containsBlank="1"/>
    </cacheField>
    <cacheField name="Июнь4" numFmtId="0">
      <sharedItems containsNonDate="0" containsString="0" containsBlank="1"/>
    </cacheField>
    <cacheField name="Июль4" numFmtId="0">
      <sharedItems containsNonDate="0" containsString="0" containsBlank="1"/>
    </cacheField>
    <cacheField name="Август4" numFmtId="0">
      <sharedItems containsNonDate="0" containsString="0" containsBlank="1"/>
    </cacheField>
    <cacheField name="Сентябрь4" numFmtId="0">
      <sharedItems containsNonDate="0" containsString="0" containsBlank="1"/>
    </cacheField>
    <cacheField name="Октябрь4" numFmtId="0">
      <sharedItems containsNonDate="0" containsString="0" containsBlank="1"/>
    </cacheField>
    <cacheField name="Ноябрь4" numFmtId="0">
      <sharedItems containsNonDate="0" containsString="0" containsBlank="1"/>
    </cacheField>
    <cacheField name="Декабрь4" numFmtId="0">
      <sharedItems containsNonDate="0" containsString="0" containsBlank="1"/>
    </cacheField>
    <cacheField name="В т. ч. выходные_x000a_чел/дн3" numFmtId="0">
      <sharedItems containsString="0" containsBlank="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0">
      <sharedItems containsString="0" containsBlank="1" containsNumber="1" containsInteger="1" minValue="0" maxValue="0"/>
    </cacheField>
    <cacheField name="Январь5" numFmtId="0">
      <sharedItems containsString="0" containsBlank="1" containsNumber="1" containsInteger="1" minValue="2" maxValue="2"/>
    </cacheField>
    <cacheField name="Февраль5" numFmtId="0">
      <sharedItems containsNonDate="0" containsString="0" containsBlank="1"/>
    </cacheField>
    <cacheField name="Март5" numFmtId="0">
      <sharedItems containsNonDate="0" containsString="0" containsBlank="1"/>
    </cacheField>
    <cacheField name="Апрель5" numFmtId="0">
      <sharedItems containsNonDate="0" containsString="0" containsBlank="1"/>
    </cacheField>
    <cacheField name="Май5" numFmtId="0">
      <sharedItems containsNonDate="0" containsString="0" containsBlank="1"/>
    </cacheField>
    <cacheField name="Июнь5" numFmtId="0">
      <sharedItems containsNonDate="0" containsString="0" containsBlank="1"/>
    </cacheField>
    <cacheField name="Июль5" numFmtId="0">
      <sharedItems containsNonDate="0" containsString="0" containsBlank="1"/>
    </cacheField>
    <cacheField name="Август5" numFmtId="0">
      <sharedItems containsNonDate="0" containsString="0" containsBlank="1"/>
    </cacheField>
    <cacheField name="Сентябрь5" numFmtId="0">
      <sharedItems containsNonDate="0" containsString="0" containsBlank="1"/>
    </cacheField>
    <cacheField name="Октябрь5" numFmtId="0">
      <sharedItems containsNonDate="0" containsString="0" containsBlank="1"/>
    </cacheField>
    <cacheField name="Ноябрь5" numFmtId="0">
      <sharedItems containsNonDate="0" containsString="0" containsBlank="1"/>
    </cacheField>
    <cacheField name="Декабрь5" numFmtId="0">
      <sharedItems containsNonDate="0" containsString="0" containsBlank="1"/>
    </cacheField>
    <cacheField name="В т. ч. выходные_x000a_чел/дн4" numFmtId="0">
      <sharedItems containsString="0" containsBlank="1" containsNumber="1" containsInteger="1" minValue="0" maxValue="0"/>
    </cacheField>
    <cacheField name="Трудоемкость_x000a_ч/дн5" numFmtId="0">
      <sharedItems containsString="0" containsBlank="1" containsNumber="1" containsInteger="1" minValue="0" maxValue="2"/>
    </cacheField>
    <cacheField name="Стоимость 2021 руб. без НДС" numFmtId="0">
      <sharedItems containsString="0" containsBlank="1" containsNumber="1" containsInteger="1" minValue="0" maxValue="31860"/>
    </cacheField>
    <cacheField name="В т. ч. выходные_x000a_ч/дн3" numFmtId="1">
      <sharedItems containsString="0" containsBlank="1" containsNumber="1" containsInteger="1" minValue="0" maxValue="0"/>
    </cacheField>
    <cacheField name="Трудоемкость_x000a_ч/дн6" numFmtId="1">
      <sharedItems containsString="0" containsBlank="1" containsNumber="1" containsInteger="1" minValue="0" maxValue="3120"/>
    </cacheField>
    <cacheField name="Стоимость руб. без НДС" numFmtId="4">
      <sharedItems containsString="0" containsBlank="1" containsNumber="1" containsInteger="1" minValue="0" maxValue="45612760"/>
    </cacheField>
    <cacheField name="2017 руб. с НДС" numFmtId="0" formula="'Стоимость 2017 руб. без НДС'*1.18" databaseField="0"/>
    <cacheField name="2018 руб. с НДС" numFmtId="0" formula="'Стоимость 2018 руб. без НДС'*1.18" databaseField="0"/>
    <cacheField name="Всего руб. с НДС." numFmtId="0" formula="'Стоимость руб. без НДС'*1.18" databaseField="0"/>
    <cacheField name="2019 руб. с НДС." numFmtId="0" formula="'Стоимость 2019 руб. без НДС'*1.18" databaseField="0"/>
    <cacheField name="2020 руб. с НДС." numFmtId="0" formula="'Стоимость 2020 руб. без НДС'*1.18" databaseField="0"/>
    <cacheField name="2021 руб. с НДС." numFmtId="0" formula="'Стоимость 2021 руб. без НДС'*1.18" databaseField="0"/>
    <cacheField name="2016 руб. с НДС" numFmtId="0" formula="'Стоимость 2016 руб. без НДС'*1.18"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mitrii Kochurov" refreshedDate="43083.853657175925" createdVersion="5" refreshedVersion="6" minRefreshableVersion="3" recordCount="83" xr:uid="{00000000-000A-0000-FFFF-FFFF03000000}">
  <cacheSource type="worksheet">
    <worksheetSource ref="A4:BU87" sheet="Командировочные расходы"/>
  </cacheSource>
  <cacheFields count="81">
    <cacheField name="Код операции в TS" numFmtId="0">
      <sharedItems containsBlank="1"/>
    </cacheField>
    <cacheField name="Код вида работ (Opex/Capex)" numFmtId="0">
      <sharedItems containsBlank="1"/>
    </cacheField>
    <cacheField name="Opex/Capex" numFmtId="0">
      <sharedItems containsBlank="1" containsMixedTypes="1" containsNumber="1" containsInteger="1" minValue="0" maxValue="0" count="4">
        <m/>
        <n v="0"/>
        <s v="Capex"/>
        <s v="Opex"/>
      </sharedItems>
    </cacheField>
    <cacheField name="ФИО" numFmtId="0">
      <sharedItems containsNonDate="0" containsString="0" containsBlank="1"/>
    </cacheField>
    <cacheField name="Статьи" numFmtId="0">
      <sharedItems containsBlank="1"/>
    </cacheField>
    <cacheField name="Чей бюджет" numFmtId="0">
      <sharedItems containsBlank="1"/>
    </cacheField>
    <cacheField name="31 декабря 2016 г." numFmtId="0">
      <sharedItems containsString="0" containsBlank="1" containsNumber="1" containsInteger="1" minValue="0" maxValue="0"/>
    </cacheField>
    <cacheField name="Январь" numFmtId="0">
      <sharedItems containsString="0" containsBlank="1" containsNumber="1" containsInteger="1" minValue="0" maxValue="0"/>
    </cacheField>
    <cacheField name="Февраль" numFmtId="0">
      <sharedItems containsString="0" containsBlank="1" containsNumber="1" containsInteger="1" minValue="0" maxValue="0"/>
    </cacheField>
    <cacheField name="Март" numFmtId="0">
      <sharedItems containsString="0" containsBlank="1" containsNumber="1" containsInteger="1" minValue="0" maxValue="0"/>
    </cacheField>
    <cacheField name="Апрель" numFmtId="0">
      <sharedItems containsString="0" containsBlank="1" containsNumber="1" containsInteger="1" minValue="0" maxValue="0"/>
    </cacheField>
    <cacheField name="Май" numFmtId="0">
      <sharedItems containsString="0" containsBlank="1" containsNumber="1" containsInteger="1" minValue="0" maxValue="0"/>
    </cacheField>
    <cacheField name="Июнь" numFmtId="0">
      <sharedItems containsString="0" containsBlank="1" containsNumber="1" containsInteger="1" minValue="0" maxValue="0"/>
    </cacheField>
    <cacheField name="Июль" numFmtId="0">
      <sharedItems containsString="0" containsBlank="1" containsNumber="1" containsInteger="1" minValue="0" maxValue="0"/>
    </cacheField>
    <cacheField name="Август" numFmtId="0">
      <sharedItems containsString="0" containsBlank="1" containsNumber="1" containsInteger="1" minValue="0" maxValue="0"/>
    </cacheField>
    <cacheField name="Сентябрь" numFmtId="0">
      <sharedItems containsString="0" containsBlank="1" containsNumber="1" containsInteger="1" minValue="0" maxValue="0"/>
    </cacheField>
    <cacheField name="Октябрь" numFmtId="0">
      <sharedItems containsString="0" containsBlank="1" containsNumber="1" containsInteger="1" minValue="0" maxValue="0"/>
    </cacheField>
    <cacheField name="Ноябрь" numFmtId="0">
      <sharedItems containsString="0" containsBlank="1" containsNumber="1" containsInteger="1" minValue="0" maxValue="0"/>
    </cacheField>
    <cacheField name="Декабрь"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0"/>
    </cacheField>
    <cacheField name="Март2" numFmtId="0">
      <sharedItems containsString="0" containsBlank="1" containsNumber="1" containsInteger="1" minValue="0" maxValue="0"/>
    </cacheField>
    <cacheField name="Апрель2" numFmtId="0">
      <sharedItems containsString="0" containsBlank="1" containsNumber="1" containsInteger="1" minValue="0" maxValue="200000"/>
    </cacheField>
    <cacheField name="Май2" numFmtId="0">
      <sharedItems containsString="0" containsBlank="1" containsNumber="1" containsInteger="1" minValue="0" maxValue="0"/>
    </cacheField>
    <cacheField name="Июнь2" numFmtId="0">
      <sharedItems containsString="0" containsBlank="1" containsNumber="1" containsInteger="1" minValue="0" maxValue="400000"/>
    </cacheField>
    <cacheField name="Июль2" numFmtId="0">
      <sharedItems containsString="0" containsBlank="1" containsNumber="1" containsInteger="1" minValue="0" maxValue="0"/>
    </cacheField>
    <cacheField name="Август2" numFmtId="0">
      <sharedItems containsString="0" containsBlank="1" containsNumber="1" containsInteger="1" minValue="0" maxValue="0"/>
    </cacheField>
    <cacheField name="Сентябрь2" numFmtId="0">
      <sharedItems containsString="0" containsBlank="1" containsNumber="1" containsInteger="1" minValue="0" maxValue="0"/>
    </cacheField>
    <cacheField name="Октябрь2" numFmtId="0">
      <sharedItems containsString="0" containsBlank="1" containsNumber="1" containsInteger="1" minValue="0" maxValue="0"/>
    </cacheField>
    <cacheField name="Ноябрь2" numFmtId="0">
      <sharedItems containsString="0" containsBlank="1" containsNumber="1" containsInteger="1" minValue="0" maxValue="0"/>
    </cacheField>
    <cacheField name="Декабрь2" numFmtId="0">
      <sharedItems containsString="0" containsBlank="1" containsNumber="1" containsInteger="1" minValue="0" maxValue="0"/>
    </cacheField>
    <cacheField name="Стоимость 2018 руб. без НДС" numFmtId="0">
      <sharedItems containsString="0" containsBlank="1" containsNumber="1" containsInteger="1" minValue="0" maxValue="600000"/>
    </cacheField>
    <cacheField name="Январь3" numFmtId="0">
      <sharedItems containsString="0" containsBlank="1" containsNumber="1" containsInteger="1" minValue="0" maxValue="200000"/>
    </cacheField>
    <cacheField name="Февраль3" numFmtId="0">
      <sharedItems containsString="0" containsBlank="1" containsNumber="1" containsInteger="1" minValue="0" maxValue="200000"/>
    </cacheField>
    <cacheField name="Март3" numFmtId="0">
      <sharedItems containsString="0" containsBlank="1" containsNumber="1" containsInteger="1" minValue="0" maxValue="0"/>
    </cacheField>
    <cacheField name="Апрель3" numFmtId="0">
      <sharedItems containsString="0" containsBlank="1" containsNumber="1" containsInteger="1" minValue="0" maxValue="0"/>
    </cacheField>
    <cacheField name="Май3" numFmtId="0">
      <sharedItems containsString="0" containsBlank="1" containsNumber="1" containsInteger="1" minValue="0" maxValue="0"/>
    </cacheField>
    <cacheField name="Июнь3" numFmtId="0">
      <sharedItems containsString="0" containsBlank="1" containsNumber="1" containsInteger="1" minValue="0" maxValue="200000"/>
    </cacheField>
    <cacheField name="Июль3" numFmtId="0">
      <sharedItems containsString="0" containsBlank="1" containsNumber="1" containsInteger="1" minValue="0" maxValue="0"/>
    </cacheField>
    <cacheField name="Август3" numFmtId="0">
      <sharedItems containsString="0" containsBlank="1" containsNumber="1" containsInteger="1" minValue="0" maxValue="0"/>
    </cacheField>
    <cacheField name="Сентябрь3" numFmtId="0">
      <sharedItems containsString="0" containsBlank="1" containsNumber="1" containsInteger="1" minValue="0" maxValue="0"/>
    </cacheField>
    <cacheField name="Октябрь3" numFmtId="0">
      <sharedItems containsString="0" containsBlank="1" containsNumber="1" containsInteger="1" minValue="0" maxValue="0"/>
    </cacheField>
    <cacheField name="Ноябрь3" numFmtId="0">
      <sharedItems containsString="0" containsBlank="1" containsNumber="1" containsInteger="1" minValue="0" maxValue="0"/>
    </cacheField>
    <cacheField name="Декабрь3" numFmtId="0">
      <sharedItems containsString="0" containsBlank="1" containsNumber="1" containsInteger="1" minValue="0" maxValue="0"/>
    </cacheField>
    <cacheField name="Стоимость 2019 руб. без НДС" numFmtId="0">
      <sharedItems containsString="0" containsBlank="1" containsNumber="1" containsInteger="1" minValue="0" maxValue="600000"/>
    </cacheField>
    <cacheField name="Январь4" numFmtId="0">
      <sharedItems containsString="0" containsBlank="1" containsNumber="1" containsInteger="1" minValue="0" maxValue="0"/>
    </cacheField>
    <cacheField name="Февраль4" numFmtId="0">
      <sharedItems containsString="0" containsBlank="1" containsNumber="1" containsInteger="1" minValue="0" maxValue="0"/>
    </cacheField>
    <cacheField name="Март4" numFmtId="0">
      <sharedItems containsString="0" containsBlank="1" containsNumber="1" containsInteger="1" minValue="0" maxValue="0"/>
    </cacheField>
    <cacheField name="Апрель4" numFmtId="0">
      <sharedItems containsString="0" containsBlank="1" containsNumber="1" containsInteger="1" minValue="0" maxValue="0"/>
    </cacheField>
    <cacheField name="Май4" numFmtId="0">
      <sharedItems containsString="0" containsBlank="1" containsNumber="1" containsInteger="1" minValue="0" maxValue="0"/>
    </cacheField>
    <cacheField name="Июнь4" numFmtId="0">
      <sharedItems containsString="0" containsBlank="1" containsNumber="1" containsInteger="1" minValue="0" maxValue="0"/>
    </cacheField>
    <cacheField name="Июль4" numFmtId="0">
      <sharedItems containsString="0" containsBlank="1" containsNumber="1" containsInteger="1" minValue="0" maxValue="0"/>
    </cacheField>
    <cacheField name="Август4" numFmtId="0">
      <sharedItems containsString="0" containsBlank="1" containsNumber="1" containsInteger="1" minValue="0" maxValue="0"/>
    </cacheField>
    <cacheField name="Сентябрь4" numFmtId="0">
      <sharedItems containsString="0" containsBlank="1" containsNumber="1" containsInteger="1" minValue="0" maxValue="0"/>
    </cacheField>
    <cacheField name="Октябрь4" numFmtId="0">
      <sharedItems containsString="0" containsBlank="1" containsNumber="1" containsInteger="1" minValue="0" maxValue="0"/>
    </cacheField>
    <cacheField name="Ноябрь4" numFmtId="0">
      <sharedItems containsString="0" containsBlank="1" containsNumber="1" containsInteger="1" minValue="0" maxValue="0"/>
    </cacheField>
    <cacheField name="Декабрь4" numFmtId="0">
      <sharedItems containsString="0" containsBlank="1" containsNumber="1" containsInteger="1" minValue="0" maxValue="0"/>
    </cacheField>
    <cacheField name="Стоимость 2020 руб. без НДС" numFmtId="0">
      <sharedItems containsString="0" containsBlank="1" containsNumber="1" containsInteger="1" minValue="0" maxValue="0"/>
    </cacheField>
    <cacheField name="Январь5" numFmtId="0">
      <sharedItems containsString="0" containsBlank="1" containsNumber="1" containsInteger="1" minValue="0" maxValue="0"/>
    </cacheField>
    <cacheField name="Февраль5" numFmtId="0">
      <sharedItems containsString="0" containsBlank="1" containsNumber="1" containsInteger="1" minValue="0" maxValue="0"/>
    </cacheField>
    <cacheField name="Март5" numFmtId="0">
      <sharedItems containsString="0" containsBlank="1" containsNumber="1" containsInteger="1" minValue="0" maxValue="0"/>
    </cacheField>
    <cacheField name="Апрель5" numFmtId="0">
      <sharedItems containsString="0" containsBlank="1" containsNumber="1" containsInteger="1" minValue="0" maxValue="0"/>
    </cacheField>
    <cacheField name="Май5" numFmtId="0">
      <sharedItems containsString="0" containsBlank="1" containsNumber="1" containsInteger="1" minValue="0" maxValue="0"/>
    </cacheField>
    <cacheField name="Июнь5" numFmtId="0">
      <sharedItems containsString="0" containsBlank="1" containsNumber="1" containsInteger="1" minValue="0" maxValue="0"/>
    </cacheField>
    <cacheField name="Июль5" numFmtId="0">
      <sharedItems containsString="0" containsBlank="1" containsNumber="1" containsInteger="1" minValue="0" maxValue="0"/>
    </cacheField>
    <cacheField name="Август5" numFmtId="0">
      <sharedItems containsString="0" containsBlank="1" containsNumber="1" containsInteger="1" minValue="0" maxValue="0"/>
    </cacheField>
    <cacheField name="Сентябрь5" numFmtId="0">
      <sharedItems containsString="0" containsBlank="1" containsNumber="1" containsInteger="1" minValue="0" maxValue="0"/>
    </cacheField>
    <cacheField name="Октябрь5" numFmtId="0">
      <sharedItems containsString="0" containsBlank="1" containsNumber="1" containsInteger="1" minValue="0" maxValue="0"/>
    </cacheField>
    <cacheField name="Ноябрь5" numFmtId="0">
      <sharedItems containsString="0" containsBlank="1" containsNumber="1" containsInteger="1" minValue="0" maxValue="0"/>
    </cacheField>
    <cacheField name="Декабрь5" numFmtId="0">
      <sharedItems containsString="0" containsBlank="1" containsNumber="1" containsInteger="1" minValue="0" maxValue="0"/>
    </cacheField>
    <cacheField name="Стоимость 2021 руб. без НДС" numFmtId="0">
      <sharedItems containsString="0" containsBlank="1" containsNumber="1" containsInteger="1" minValue="0" maxValue="0"/>
    </cacheField>
    <cacheField name="Стоимость руб. без НДС" numFmtId="0">
      <sharedItems containsString="0" containsBlank="1" containsNumber="1" containsInteger="1" minValue="0" maxValue="1200000"/>
    </cacheField>
    <cacheField name="2017 руб. с НДС" numFmtId="0" formula="'Стоимость 2017 руб. без НДС'*1.18" databaseField="0"/>
    <cacheField name="2018 руб. с НДС" numFmtId="0" formula="'Стоимость 2018 руб. без НДС'*1.18" databaseField="0"/>
    <cacheField name="Стоимость руб. c НДС." numFmtId="0" formula="'Стоимость руб. без НДС'*1.18" databaseField="0"/>
    <cacheField name="2019 руб. с НДС" numFmtId="0" formula="'Стоимость 2019 руб. без НДС'*1.18" databaseField="0"/>
    <cacheField name="2020 руб. с НДС." numFmtId="0" formula="'Стоимость 2020 руб. без НДС'*1.18" databaseField="0"/>
    <cacheField name="2021 руб. с НДС." numFmtId="0" formula="'Стоимость 2021 руб. без НДС'*1.18" databaseField="0"/>
    <cacheField name="Стоимость руб. с НДС." numFmtId="0" formula="#NAME?+#NAME?+#NAME?+#NAME?+#NAME?" databaseField="0"/>
    <cacheField name="Стоимость до 2016 г. включительно с НДС" numFmtId="0" formula="#NAME?*1.18"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mitrii Kochurov" refreshedDate="43083.853658101849" createdVersion="5" refreshedVersion="6" minRefreshableVersion="3" recordCount="108" xr:uid="{00000000-000A-0000-FFFF-FFFF04000000}">
  <cacheSource type="worksheet">
    <worksheetSource ref="A7:CU115" sheet="Стоимость подрядных работ"/>
  </cacheSource>
  <cacheFields count="107">
    <cacheField name="Код операции в TS" numFmtId="49">
      <sharedItems containsBlank="1"/>
    </cacheField>
    <cacheField name="Название операции/вида работ в ТS" numFmtId="0">
      <sharedItems containsBlank="1"/>
    </cacheField>
    <cacheField name="Детально описание операции/вида работ" numFmtId="0">
      <sharedItems containsBlank="1" longText="1"/>
    </cacheField>
    <cacheField name="Результат работ/ Результирующий документ" numFmtId="0">
      <sharedItems containsBlank="1"/>
    </cacheField>
    <cacheField name="Код вида работ (Opex/Capex)" numFmtId="0">
      <sharedItems containsBlank="1" count="3">
        <m/>
        <s v="О"/>
        <s v="К"/>
      </sharedItems>
    </cacheField>
    <cacheField name="Контрагент" numFmtId="0">
      <sharedItems containsNonDate="0" containsString="0" containsBlank="1"/>
    </cacheField>
    <cacheField name="Договор №" numFmtId="0">
      <sharedItems containsNonDate="0" containsString="0" containsBlank="1"/>
    </cacheField>
    <cacheField name="Этап работ по договору с Контагентом" numFmtId="0">
      <sharedItems containsNonDate="0" containsString="0" containsBlank="1"/>
    </cacheField>
    <cacheField name="Дата актирования работ по этапу" numFmtId="0">
      <sharedItems containsNonDate="0" containsDate="1" containsString="0" containsBlank="1" minDate="2018-07-15T00:00:00" maxDate="2019-11-16T00:00:00"/>
    </cacheField>
    <cacheField name="Отсрочка платежа, кал. дней" numFmtId="0">
      <sharedItems containsString="0" containsBlank="1" containsNumber="1" containsInteger="1" minValue="30" maxValue="30"/>
    </cacheField>
    <cacheField name="Предполагаемая дата платежа" numFmtId="0">
      <sharedItems containsDate="1" containsBlank="1" containsMixedTypes="1" minDate="2018-08-14T00:00:00" maxDate="2019-12-16T00:00:00"/>
    </cacheField>
    <cacheField name="Роль в проекте" numFmtId="0">
      <sharedItems containsNonDate="0" containsString="0" containsBlank="1"/>
    </cacheField>
    <cacheField name="Категория сотрудника" numFmtId="0">
      <sharedItems containsNonDate="0" containsString="0" containsBlank="1"/>
    </cacheField>
    <cacheField name="ФИО" numFmtId="0">
      <sharedItems containsNonDate="0" containsString="0" containsBlank="1"/>
    </cacheField>
    <cacheField name="НДС" numFmtId="0">
      <sharedItems containsNonDate="0" containsString="0" containsBlank="1"/>
    </cacheField>
    <cacheField name="Чей бюджет" numFmtId="0">
      <sharedItems containsBlank="1"/>
    </cacheField>
    <cacheField name="Ставка за 1 чел/дн (без НДС) руб.*" numFmtId="0">
      <sharedItems containsBlank="1" containsMixedTypes="1" containsNumber="1" minValue="87230.769230769205" maxValue="1988500"/>
    </cacheField>
    <cacheField name="Валютная составляющая" numFmtId="0">
      <sharedItems containsNonDate="0" containsString="0" containsBlank="1" containsNumber="1" containsInteger="1" minValue="0" maxValue="0" count="2">
        <m/>
        <n v="0" u="1"/>
      </sharedItems>
    </cacheField>
    <cacheField name="31.12.2016" numFmtId="0">
      <sharedItems containsString="0" containsBlank="1" containsNumber="1" containsInteger="1" minValue="0" maxValue="0"/>
    </cacheField>
    <cacheField name="В т. ч. выходные_x000a_ч/дн"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0"/>
    </cacheField>
    <cacheField name="Январь" numFmtId="1">
      <sharedItems containsString="0" containsBlank="1" containsNumber="1" containsInteger="1" minValue="0" maxValue="0"/>
    </cacheField>
    <cacheField name="Февраль" numFmtId="1">
      <sharedItems containsString="0" containsBlank="1" containsNumber="1" containsInteger="1" minValue="0" maxValue="0"/>
    </cacheField>
    <cacheField name="Март" numFmtId="1">
      <sharedItems containsString="0" containsBlank="1" containsNumber="1" containsInteger="1" minValue="0" maxValue="0"/>
    </cacheField>
    <cacheField name="Апрель" numFmtId="1">
      <sharedItems containsString="0" containsBlank="1" containsNumber="1" containsInteger="1" minValue="0" maxValue="0"/>
    </cacheField>
    <cacheField name="Май" numFmtId="1">
      <sharedItems containsString="0" containsBlank="1" containsNumber="1" containsInteger="1" minValue="0" maxValue="0"/>
    </cacheField>
    <cacheField name="Июнь" numFmtId="1">
      <sharedItems containsString="0" containsBlank="1" containsNumber="1" containsInteger="1" minValue="0" maxValue="0"/>
    </cacheField>
    <cacheField name="Июль" numFmtId="1">
      <sharedItems containsString="0" containsBlank="1" containsNumber="1" containsInteger="1" minValue="0" maxValue="0"/>
    </cacheField>
    <cacheField name="Август" numFmtId="1">
      <sharedItems containsString="0" containsBlank="1" containsNumber="1" containsInteger="1" minValue="0" maxValue="0"/>
    </cacheField>
    <cacheField name="Сентябрь" numFmtId="1">
      <sharedItems containsString="0" containsBlank="1" containsNumber="1" containsInteger="1" minValue="0" maxValue="0"/>
    </cacheField>
    <cacheField name="Октябрь" numFmtId="1">
      <sharedItems containsString="0" containsBlank="1" containsNumber="1" containsInteger="1" minValue="0" maxValue="0"/>
    </cacheField>
    <cacheField name="Ноябрь" numFmtId="1">
      <sharedItems containsString="0" containsBlank="1" containsNumber="1" containsInteger="1" minValue="0" maxValue="0"/>
    </cacheField>
    <cacheField name="Декабрь" numFmtId="1">
      <sharedItems containsString="0" containsBlank="1" containsNumber="1" containsInteger="1" minValue="0" maxValue="0"/>
    </cacheField>
    <cacheField name="В т. ч. выходные_x000a_ч/дн2" numFmtId="0">
      <sharedItems containsString="0" containsBlank="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0"/>
    </cacheField>
    <cacheField name="Март2" numFmtId="0">
      <sharedItems containsString="0" containsBlank="1" containsNumber="1" containsInteger="1" minValue="0" maxValue="4"/>
    </cacheField>
    <cacheField name="Апрель2" numFmtId="0">
      <sharedItems containsString="0" containsBlank="1" containsNumber="1" containsInteger="1" minValue="0" maxValue="4"/>
    </cacheField>
    <cacheField name="Май2" numFmtId="0">
      <sharedItems containsString="0" containsBlank="1" containsNumber="1" containsInteger="1" minValue="0" maxValue="4"/>
    </cacheField>
    <cacheField name="Июнь2" numFmtId="0">
      <sharedItems containsString="0" containsBlank="1" containsNumber="1" containsInteger="1" minValue="0" maxValue="4"/>
    </cacheField>
    <cacheField name="Июль2" numFmtId="0">
      <sharedItems containsString="0" containsBlank="1" containsNumber="1" containsInteger="1" minValue="0" maxValue="1"/>
    </cacheField>
    <cacheField name="Август2" numFmtId="0">
      <sharedItems containsString="0" containsBlank="1" containsNumber="1" containsInteger="1" minValue="0" maxValue="1"/>
    </cacheField>
    <cacheField name="Сентябрь2" numFmtId="0">
      <sharedItems containsString="0" containsBlank="1" containsNumber="1" containsInteger="1" minValue="0" maxValue="2"/>
    </cacheField>
    <cacheField name="Октябрь2" numFmtId="0">
      <sharedItems containsString="0" containsBlank="1" containsNumber="1" containsInteger="1" minValue="0" maxValue="2"/>
    </cacheField>
    <cacheField name="Ноябрь2" numFmtId="0">
      <sharedItems containsString="0" containsBlank="1" containsNumber="1" containsInteger="1" minValue="0" maxValue="2"/>
    </cacheField>
    <cacheField name="Декабрь2" numFmtId="0">
      <sharedItems containsString="0" containsBlank="1" containsNumber="1" containsInteger="1" minValue="0" maxValue="2"/>
    </cacheField>
    <cacheField name="В т. ч. выходные_x000a_чел/дн" numFmtId="0">
      <sharedItems containsString="0" containsBlank="1" containsNumber="1" containsInteger="1" minValue="0" maxValue="0"/>
    </cacheField>
    <cacheField name="Трудоемкость_x000a_ч/дн2" numFmtId="0">
      <sharedItems containsString="0" containsBlank="1" containsNumber="1" containsInteger="1" minValue="0" maxValue="26"/>
    </cacheField>
    <cacheField name="Стоимость 2018 руб. без НДС" numFmtId="0">
      <sharedItems containsString="0" containsBlank="1" containsNumber="1" containsInteger="1" minValue="0" maxValue="13448000"/>
    </cacheField>
    <cacheField name="Январь3" numFmtId="0">
      <sharedItems containsString="0" containsBlank="1" containsNumber="1" containsInteger="1" minValue="0" maxValue="12"/>
    </cacheField>
    <cacheField name="Февраль3" numFmtId="0">
      <sharedItems containsString="0" containsBlank="1" containsNumber="1" containsInteger="1" minValue="0" maxValue="12"/>
    </cacheField>
    <cacheField name="Март3" numFmtId="0">
      <sharedItems containsString="0" containsBlank="1" containsNumber="1" containsInteger="1" minValue="0" maxValue="3"/>
    </cacheField>
    <cacheField name="Апрель3" numFmtId="0">
      <sharedItems containsString="0" containsBlank="1" containsNumber="1" containsInteger="1" minValue="0" maxValue="3"/>
    </cacheField>
    <cacheField name="Май3" numFmtId="0">
      <sharedItems containsString="0" containsBlank="1" containsNumber="1" containsInteger="1" minValue="0" maxValue="3"/>
    </cacheField>
    <cacheField name="Июнь3" numFmtId="0">
      <sharedItems containsString="0" containsBlank="1" containsNumber="1" containsInteger="1" minValue="0" maxValue="3"/>
    </cacheField>
    <cacheField name="Июль3" numFmtId="0">
      <sharedItems containsString="0" containsBlank="1" containsNumber="1" containsInteger="1" minValue="0" maxValue="3"/>
    </cacheField>
    <cacheField name="Август3" numFmtId="0">
      <sharedItems containsString="0" containsBlank="1" containsNumber="1" containsInteger="1" minValue="0" maxValue="3"/>
    </cacheField>
    <cacheField name="Сентябрь3" numFmtId="0">
      <sharedItems containsString="0" containsBlank="1" containsNumber="1" containsInteger="1" minValue="0" maxValue="3"/>
    </cacheField>
    <cacheField name="Октябрь3" numFmtId="0">
      <sharedItems containsString="0" containsBlank="1" containsNumber="1" containsInteger="1" minValue="0" maxValue="3"/>
    </cacheField>
    <cacheField name="Ноябрь3" numFmtId="0">
      <sharedItems containsString="0" containsBlank="1" containsNumber="1" containsInteger="1" minValue="0" maxValue="0"/>
    </cacheField>
    <cacheField name="Декабрь3" numFmtId="0">
      <sharedItems containsString="0" containsBlank="1" containsNumber="1" containsInteger="1" minValue="0" maxValue="0"/>
    </cacheField>
    <cacheField name="В т. ч. выходные_x000a_чел/дн2" numFmtId="0">
      <sharedItems containsString="0" containsBlank="1" containsNumber="1" containsInteger="1" minValue="0" maxValue="0"/>
    </cacheField>
    <cacheField name="Трудоемкость_x000a_ч/дн3" numFmtId="0">
      <sharedItems containsString="0" containsBlank="1" containsNumber="1" containsInteger="1" minValue="0" maxValue="48"/>
    </cacheField>
    <cacheField name="Стоимость 2019 руб. без НДС" numFmtId="0">
      <sharedItems containsString="0" containsBlank="1" containsNumber="1" minValue="0" maxValue="7745538.4800000004"/>
    </cacheField>
    <cacheField name="Январь4" numFmtId="0">
      <sharedItems containsString="0" containsBlank="1" containsNumber="1" containsInteger="1" minValue="0" maxValue="0"/>
    </cacheField>
    <cacheField name="Февраль4" numFmtId="0">
      <sharedItems containsString="0" containsBlank="1" containsNumber="1" containsInteger="1" minValue="0" maxValue="0"/>
    </cacheField>
    <cacheField name="Март4" numFmtId="0">
      <sharedItems containsString="0" containsBlank="1" containsNumber="1" containsInteger="1" minValue="0" maxValue="0"/>
    </cacheField>
    <cacheField name="Апрель4" numFmtId="0">
      <sharedItems containsString="0" containsBlank="1" containsNumber="1" containsInteger="1" minValue="0" maxValue="0"/>
    </cacheField>
    <cacheField name="Май4" numFmtId="0">
      <sharedItems containsString="0" containsBlank="1" containsNumber="1" containsInteger="1" minValue="0" maxValue="0"/>
    </cacheField>
    <cacheField name="Июнь4" numFmtId="0">
      <sharedItems containsString="0" containsBlank="1" containsNumber="1" containsInteger="1" minValue="0" maxValue="0"/>
    </cacheField>
    <cacheField name="Июль4" numFmtId="0">
      <sharedItems containsString="0" containsBlank="1" containsNumber="1" containsInteger="1" minValue="0" maxValue="0"/>
    </cacheField>
    <cacheField name="Август4" numFmtId="0">
      <sharedItems containsString="0" containsBlank="1" containsNumber="1" containsInteger="1" minValue="0" maxValue="0"/>
    </cacheField>
    <cacheField name="Сентябрь4" numFmtId="0">
      <sharedItems containsString="0" containsBlank="1" containsNumber="1" containsInteger="1" minValue="0" maxValue="0"/>
    </cacheField>
    <cacheField name="Октябрь4" numFmtId="0">
      <sharedItems containsString="0" containsBlank="1" containsNumber="1" containsInteger="1" minValue="0" maxValue="0"/>
    </cacheField>
    <cacheField name="Ноябрь4" numFmtId="0">
      <sharedItems containsString="0" containsBlank="1" containsNumber="1" containsInteger="1" minValue="0" maxValue="0"/>
    </cacheField>
    <cacheField name="Декабрь4" numFmtId="0">
      <sharedItems containsString="0" containsBlank="1" containsNumber="1" containsInteger="1" minValue="0" maxValue="0"/>
    </cacheField>
    <cacheField name="В т. ч. выходные_x000a_чел/дн3" numFmtId="0">
      <sharedItems containsString="0" containsBlank="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4">
      <sharedItems containsString="0" containsBlank="1" containsNumber="1" containsInteger="1" minValue="0" maxValue="0"/>
    </cacheField>
    <cacheField name="Январь5" numFmtId="0">
      <sharedItems containsString="0" containsBlank="1" containsNumber="1" containsInteger="1" minValue="0" maxValue="0"/>
    </cacheField>
    <cacheField name="Февраль5" numFmtId="0">
      <sharedItems containsString="0" containsBlank="1" containsNumber="1" containsInteger="1" minValue="0" maxValue="0"/>
    </cacheField>
    <cacheField name="Март5" numFmtId="0">
      <sharedItems containsString="0" containsBlank="1" containsNumber="1" containsInteger="1" minValue="0" maxValue="0"/>
    </cacheField>
    <cacheField name="Апрель5" numFmtId="0">
      <sharedItems containsString="0" containsBlank="1" containsNumber="1" containsInteger="1" minValue="0" maxValue="0"/>
    </cacheField>
    <cacheField name="Май5" numFmtId="0">
      <sharedItems containsString="0" containsBlank="1" containsNumber="1" containsInteger="1" minValue="0" maxValue="0"/>
    </cacheField>
    <cacheField name="Июнь5" numFmtId="0">
      <sharedItems containsString="0" containsBlank="1" containsNumber="1" containsInteger="1" minValue="0" maxValue="0"/>
    </cacheField>
    <cacheField name="Июль5" numFmtId="0">
      <sharedItems containsString="0" containsBlank="1" containsNumber="1" containsInteger="1" minValue="0" maxValue="0"/>
    </cacheField>
    <cacheField name="Август5" numFmtId="0">
      <sharedItems containsString="0" containsBlank="1" containsNumber="1" containsInteger="1" minValue="0" maxValue="0"/>
    </cacheField>
    <cacheField name="Сентябрь5" numFmtId="0">
      <sharedItems containsString="0" containsBlank="1" containsNumber="1" containsInteger="1" minValue="0" maxValue="0"/>
    </cacheField>
    <cacheField name="Октябрь5" numFmtId="0">
      <sharedItems containsString="0" containsBlank="1" containsNumber="1" containsInteger="1" minValue="0" maxValue="0"/>
    </cacheField>
    <cacheField name="Ноябрь5" numFmtId="0">
      <sharedItems containsString="0" containsBlank="1" containsNumber="1" containsInteger="1" minValue="0" maxValue="0"/>
    </cacheField>
    <cacheField name="Декабрь5" numFmtId="0">
      <sharedItems containsString="0" containsBlank="1" containsNumber="1" containsInteger="1" minValue="0" maxValue="0"/>
    </cacheField>
    <cacheField name="В т. ч. выходные_x000a_чел/дн4" numFmtId="0">
      <sharedItems containsString="0" containsBlank="1" containsNumber="1" containsInteger="1" minValue="0" maxValue="0"/>
    </cacheField>
    <cacheField name="Трудоемкость_x000a_ч/дн5" numFmtId="0">
      <sharedItems containsString="0" containsBlank="1" containsNumber="1" containsInteger="1" minValue="0" maxValue="0"/>
    </cacheField>
    <cacheField name="Стоимость 2021 руб. без НДС" numFmtId="4">
      <sharedItems containsString="0" containsBlank="1" containsNumber="1" containsInteger="1" minValue="0" maxValue="0"/>
    </cacheField>
    <cacheField name="В т. ч. выходные_x000a_ч/дн3" numFmtId="1">
      <sharedItems containsString="0" containsBlank="1" containsNumber="1" containsInteger="1" minValue="0" maxValue="0"/>
    </cacheField>
    <cacheField name="Трудоемкость_x000a_ч/дн6" numFmtId="0">
      <sharedItems containsString="0" containsBlank="1" containsNumber="1" containsInteger="1" minValue="0" maxValue="74"/>
    </cacheField>
    <cacheField name="Итого стоимость руб. без НДС" numFmtId="4">
      <sharedItems containsString="0" containsBlank="1" containsNumber="1" minValue="0" maxValue="21193538.479999989"/>
    </cacheField>
    <cacheField name="2017 с НДС" numFmtId="0" formula="'Стоимость 2017 руб. без НДС'*1.18" databaseField="0"/>
    <cacheField name="2018 с НДС" numFmtId="0" formula="'Стоимость 2018 руб. без НДС'*1.18" databaseField="0"/>
    <cacheField name="Всего с НДС" numFmtId="0" formula="#NAME?+#NAME?+#NAME?+#NAME?+#NAME?+#NAME?" databaseField="0"/>
    <cacheField name="2019 с НДС" numFmtId="0" formula="'Стоимость 2019 руб. без НДС'*1.18" databaseField="0"/>
    <cacheField name="Всего без НДС" numFmtId="0" formula="'Стоимость 2017 руб. без НДС'+'Стоимость 2018 руб. без НДС'+'Стоимость 2019 руб. без НДС'" databaseField="0"/>
    <cacheField name="Стоимость до 2016 вкл. с НДС" numFmtId="0" formula="'Стоимость 2016 руб. без НДС'*1.18" databaseField="0"/>
    <cacheField name="Стоимость 2020 руб. с НДС" numFmtId="0" formula="'Стоимость 2020 руб. без НДС'*1.18" databaseField="0"/>
    <cacheField name="Стоимость 2021 руб. с НДС" numFmtId="0" formula="'Стоимость 2021 руб. без НДС'*1.18"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mitrii Kochurov" refreshedDate="43083.85365902778" missingItemsLimit="0" createdVersion="5" refreshedVersion="6" minRefreshableVersion="3" recordCount="108" xr:uid="{00000000-000A-0000-FFFF-FFFF05000000}">
  <cacheSource type="worksheet">
    <worksheetSource ref="A7:CX115" sheet="Стоимость подрядных работ"/>
  </cacheSource>
  <cacheFields count="102">
    <cacheField name="Код операции в TS" numFmtId="49">
      <sharedItems containsBlank="1"/>
    </cacheField>
    <cacheField name="Название операции/вида работ в ТS" numFmtId="0">
      <sharedItems containsBlank="1"/>
    </cacheField>
    <cacheField name="Детально описание операции/вида работ" numFmtId="0">
      <sharedItems containsBlank="1" longText="1"/>
    </cacheField>
    <cacheField name="Результат работ/ Результирующий документ" numFmtId="0">
      <sharedItems containsBlank="1"/>
    </cacheField>
    <cacheField name="Код вида работ (Opex/Capex)" numFmtId="0">
      <sharedItems containsBlank="1" count="3">
        <m/>
        <s v="О"/>
        <s v="К"/>
      </sharedItems>
    </cacheField>
    <cacheField name="Контрагент" numFmtId="0">
      <sharedItems containsNonDate="0" containsString="0" containsBlank="1" count="1">
        <m/>
      </sharedItems>
    </cacheField>
    <cacheField name="Договор №" numFmtId="0">
      <sharedItems containsNonDate="0" containsString="0" containsBlank="1"/>
    </cacheField>
    <cacheField name="Этап работ по договору с Контагентом" numFmtId="0">
      <sharedItems containsNonDate="0" containsString="0" containsBlank="1"/>
    </cacheField>
    <cacheField name="Дата актирования работ по этапу" numFmtId="0">
      <sharedItems containsNonDate="0" containsDate="1" containsString="0" containsBlank="1" minDate="2018-07-15T00:00:00" maxDate="2019-11-16T00:00:00"/>
    </cacheField>
    <cacheField name="Отсрочка платежа, кал. дней" numFmtId="0">
      <sharedItems containsString="0" containsBlank="1" containsNumber="1" containsInteger="1" minValue="30" maxValue="30"/>
    </cacheField>
    <cacheField name="Предполагаемая дата платежа" numFmtId="0">
      <sharedItems containsDate="1" containsBlank="1" containsMixedTypes="1" minDate="2018-08-14T00:00:00" maxDate="2019-12-16T00:00:00"/>
    </cacheField>
    <cacheField name="Роль в проекте" numFmtId="0">
      <sharedItems containsNonDate="0" containsString="0" containsBlank="1"/>
    </cacheField>
    <cacheField name="Категория сотрудника" numFmtId="0">
      <sharedItems containsNonDate="0" containsString="0" containsBlank="1"/>
    </cacheField>
    <cacheField name="ФИО" numFmtId="0">
      <sharedItems containsNonDate="0" containsString="0" containsBlank="1"/>
    </cacheField>
    <cacheField name="НДС" numFmtId="0">
      <sharedItems containsNonDate="0" containsString="0" containsBlank="1"/>
    </cacheField>
    <cacheField name="Чей бюджет" numFmtId="0">
      <sharedItems containsBlank="1"/>
    </cacheField>
    <cacheField name="Ставка за 1 чел/дн (без НДС) руб.*" numFmtId="0">
      <sharedItems containsBlank="1" containsMixedTypes="1" containsNumber="1" minValue="87230.769230769205" maxValue="1988500"/>
    </cacheField>
    <cacheField name="Валютная составляющая" numFmtId="0">
      <sharedItems containsNonDate="0" containsString="0" containsBlank="1"/>
    </cacheField>
    <cacheField name="31.12.2016" numFmtId="0">
      <sharedItems containsString="0" containsBlank="1" containsNumber="1" containsInteger="1" minValue="0" maxValue="0"/>
    </cacheField>
    <cacheField name="В т. ч. выходные_x000a_ч/дн"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0"/>
    </cacheField>
    <cacheField name="Январь" numFmtId="1">
      <sharedItems containsString="0" containsBlank="1" containsNumber="1" containsInteger="1" minValue="0" maxValue="0"/>
    </cacheField>
    <cacheField name="Февраль" numFmtId="1">
      <sharedItems containsString="0" containsBlank="1" containsNumber="1" containsInteger="1" minValue="0" maxValue="0"/>
    </cacheField>
    <cacheField name="Март" numFmtId="1">
      <sharedItems containsString="0" containsBlank="1" containsNumber="1" containsInteger="1" minValue="0" maxValue="0"/>
    </cacheField>
    <cacheField name="Апрель" numFmtId="1">
      <sharedItems containsString="0" containsBlank="1" containsNumber="1" containsInteger="1" minValue="0" maxValue="0"/>
    </cacheField>
    <cacheField name="Май" numFmtId="1">
      <sharedItems containsString="0" containsBlank="1" containsNumber="1" containsInteger="1" minValue="0" maxValue="0"/>
    </cacheField>
    <cacheField name="Июнь" numFmtId="1">
      <sharedItems containsString="0" containsBlank="1" containsNumber="1" containsInteger="1" minValue="0" maxValue="0"/>
    </cacheField>
    <cacheField name="Июль" numFmtId="1">
      <sharedItems containsString="0" containsBlank="1" containsNumber="1" containsInteger="1" minValue="0" maxValue="0"/>
    </cacheField>
    <cacheField name="Август" numFmtId="1">
      <sharedItems containsString="0" containsBlank="1" containsNumber="1" containsInteger="1" minValue="0" maxValue="0"/>
    </cacheField>
    <cacheField name="Сентябрь" numFmtId="1">
      <sharedItems containsString="0" containsBlank="1" containsNumber="1" containsInteger="1" minValue="0" maxValue="0"/>
    </cacheField>
    <cacheField name="Октябрь" numFmtId="1">
      <sharedItems containsString="0" containsBlank="1" containsNumber="1" containsInteger="1" minValue="0" maxValue="0"/>
    </cacheField>
    <cacheField name="Ноябрь" numFmtId="1">
      <sharedItems containsString="0" containsBlank="1" containsNumber="1" containsInteger="1" minValue="0" maxValue="0"/>
    </cacheField>
    <cacheField name="Декабрь" numFmtId="1">
      <sharedItems containsString="0" containsBlank="1" containsNumber="1" containsInteger="1" minValue="0" maxValue="0"/>
    </cacheField>
    <cacheField name="В т. ч. выходные_x000a_ч/дн2" numFmtId="0">
      <sharedItems containsString="0" containsBlank="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0"/>
    </cacheField>
    <cacheField name="Март2" numFmtId="0">
      <sharedItems containsString="0" containsBlank="1" containsNumber="1" containsInteger="1" minValue="0" maxValue="4"/>
    </cacheField>
    <cacheField name="Апрель2" numFmtId="0">
      <sharedItems containsString="0" containsBlank="1" containsNumber="1" containsInteger="1" minValue="0" maxValue="4"/>
    </cacheField>
    <cacheField name="Май2" numFmtId="0">
      <sharedItems containsString="0" containsBlank="1" containsNumber="1" containsInteger="1" minValue="0" maxValue="4"/>
    </cacheField>
    <cacheField name="Июнь2" numFmtId="0">
      <sharedItems containsString="0" containsBlank="1" containsNumber="1" containsInteger="1" minValue="0" maxValue="4"/>
    </cacheField>
    <cacheField name="Июль2" numFmtId="0">
      <sharedItems containsString="0" containsBlank="1" containsNumber="1" containsInteger="1" minValue="0" maxValue="1"/>
    </cacheField>
    <cacheField name="Август2" numFmtId="0">
      <sharedItems containsString="0" containsBlank="1" containsNumber="1" containsInteger="1" minValue="0" maxValue="1"/>
    </cacheField>
    <cacheField name="Сентябрь2" numFmtId="0">
      <sharedItems containsString="0" containsBlank="1" containsNumber="1" containsInteger="1" minValue="0" maxValue="2"/>
    </cacheField>
    <cacheField name="Октябрь2" numFmtId="0">
      <sharedItems containsString="0" containsBlank="1" containsNumber="1" containsInteger="1" minValue="0" maxValue="2"/>
    </cacheField>
    <cacheField name="Ноябрь2" numFmtId="0">
      <sharedItems containsString="0" containsBlank="1" containsNumber="1" containsInteger="1" minValue="0" maxValue="2"/>
    </cacheField>
    <cacheField name="Декабрь2" numFmtId="0">
      <sharedItems containsString="0" containsBlank="1" containsNumber="1" containsInteger="1" minValue="0" maxValue="2"/>
    </cacheField>
    <cacheField name="В т. ч. выходные_x000a_чел/дн" numFmtId="0">
      <sharedItems containsString="0" containsBlank="1" containsNumber="1" containsInteger="1" minValue="0" maxValue="0"/>
    </cacheField>
    <cacheField name="Трудоемкость_x000a_ч/дн2" numFmtId="0">
      <sharedItems containsString="0" containsBlank="1" containsNumber="1" containsInteger="1" minValue="0" maxValue="26"/>
    </cacheField>
    <cacheField name="Стоимость 2018 руб. без НДС" numFmtId="0">
      <sharedItems containsString="0" containsBlank="1" containsNumber="1" containsInteger="1" minValue="0" maxValue="13448000"/>
    </cacheField>
    <cacheField name="Январь3" numFmtId="0">
      <sharedItems containsString="0" containsBlank="1" containsNumber="1" containsInteger="1" minValue="0" maxValue="12"/>
    </cacheField>
    <cacheField name="Февраль3" numFmtId="0">
      <sharedItems containsString="0" containsBlank="1" containsNumber="1" containsInteger="1" minValue="0" maxValue="12"/>
    </cacheField>
    <cacheField name="Март3" numFmtId="0">
      <sharedItems containsString="0" containsBlank="1" containsNumber="1" containsInteger="1" minValue="0" maxValue="3"/>
    </cacheField>
    <cacheField name="Апрель3" numFmtId="0">
      <sharedItems containsString="0" containsBlank="1" containsNumber="1" containsInteger="1" minValue="0" maxValue="3"/>
    </cacheField>
    <cacheField name="Май3" numFmtId="0">
      <sharedItems containsString="0" containsBlank="1" containsNumber="1" containsInteger="1" minValue="0" maxValue="3"/>
    </cacheField>
    <cacheField name="Июнь3" numFmtId="0">
      <sharedItems containsString="0" containsBlank="1" containsNumber="1" containsInteger="1" minValue="0" maxValue="3"/>
    </cacheField>
    <cacheField name="Июль3" numFmtId="0">
      <sharedItems containsString="0" containsBlank="1" containsNumber="1" containsInteger="1" minValue="0" maxValue="3"/>
    </cacheField>
    <cacheField name="Август3" numFmtId="0">
      <sharedItems containsString="0" containsBlank="1" containsNumber="1" containsInteger="1" minValue="0" maxValue="3"/>
    </cacheField>
    <cacheField name="Сентябрь3" numFmtId="0">
      <sharedItems containsString="0" containsBlank="1" containsNumber="1" containsInteger="1" minValue="0" maxValue="3"/>
    </cacheField>
    <cacheField name="Октябрь3" numFmtId="0">
      <sharedItems containsString="0" containsBlank="1" containsNumber="1" containsInteger="1" minValue="0" maxValue="3"/>
    </cacheField>
    <cacheField name="Ноябрь3" numFmtId="0">
      <sharedItems containsString="0" containsBlank="1" containsNumber="1" containsInteger="1" minValue="0" maxValue="0"/>
    </cacheField>
    <cacheField name="Декабрь3" numFmtId="0">
      <sharedItems containsString="0" containsBlank="1" containsNumber="1" containsInteger="1" minValue="0" maxValue="0"/>
    </cacheField>
    <cacheField name="В т. ч. выходные_x000a_чел/дн2" numFmtId="0">
      <sharedItems containsString="0" containsBlank="1" containsNumber="1" containsInteger="1" minValue="0" maxValue="0"/>
    </cacheField>
    <cacheField name="Трудоемкость_x000a_ч/дн3" numFmtId="0">
      <sharedItems containsString="0" containsBlank="1" containsNumber="1" containsInteger="1" minValue="0" maxValue="48"/>
    </cacheField>
    <cacheField name="Стоимость 2019 руб. без НДС" numFmtId="0">
      <sharedItems containsString="0" containsBlank="1" containsNumber="1" minValue="0" maxValue="7745538.4800000004"/>
    </cacheField>
    <cacheField name="Январь4" numFmtId="0">
      <sharedItems containsString="0" containsBlank="1" containsNumber="1" containsInteger="1" minValue="0" maxValue="0"/>
    </cacheField>
    <cacheField name="Февраль4" numFmtId="0">
      <sharedItems containsString="0" containsBlank="1" containsNumber="1" containsInteger="1" minValue="0" maxValue="0"/>
    </cacheField>
    <cacheField name="Март4" numFmtId="0">
      <sharedItems containsString="0" containsBlank="1" containsNumber="1" containsInteger="1" minValue="0" maxValue="0"/>
    </cacheField>
    <cacheField name="Апрель4" numFmtId="0">
      <sharedItems containsString="0" containsBlank="1" containsNumber="1" containsInteger="1" minValue="0" maxValue="0"/>
    </cacheField>
    <cacheField name="Май4" numFmtId="0">
      <sharedItems containsString="0" containsBlank="1" containsNumber="1" containsInteger="1" minValue="0" maxValue="0"/>
    </cacheField>
    <cacheField name="Июнь4" numFmtId="0">
      <sharedItems containsString="0" containsBlank="1" containsNumber="1" containsInteger="1" minValue="0" maxValue="0"/>
    </cacheField>
    <cacheField name="Июль4" numFmtId="0">
      <sharedItems containsString="0" containsBlank="1" containsNumber="1" containsInteger="1" minValue="0" maxValue="0"/>
    </cacheField>
    <cacheField name="Август4" numFmtId="0">
      <sharedItems containsString="0" containsBlank="1" containsNumber="1" containsInteger="1" minValue="0" maxValue="0"/>
    </cacheField>
    <cacheField name="Сентябрь4" numFmtId="0">
      <sharedItems containsString="0" containsBlank="1" containsNumber="1" containsInteger="1" minValue="0" maxValue="0"/>
    </cacheField>
    <cacheField name="Октябрь4" numFmtId="0">
      <sharedItems containsString="0" containsBlank="1" containsNumber="1" containsInteger="1" minValue="0" maxValue="0"/>
    </cacheField>
    <cacheField name="Ноябрь4" numFmtId="0">
      <sharedItems containsString="0" containsBlank="1" containsNumber="1" containsInteger="1" minValue="0" maxValue="0"/>
    </cacheField>
    <cacheField name="Декабрь4" numFmtId="0">
      <sharedItems containsString="0" containsBlank="1" containsNumber="1" containsInteger="1" minValue="0" maxValue="0"/>
    </cacheField>
    <cacheField name="В т. ч. выходные_x000a_чел/дн3" numFmtId="0">
      <sharedItems containsString="0" containsBlank="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4">
      <sharedItems containsString="0" containsBlank="1" containsNumber="1" containsInteger="1" minValue="0" maxValue="0"/>
    </cacheField>
    <cacheField name="Январь5" numFmtId="0">
      <sharedItems containsString="0" containsBlank="1" containsNumber="1" containsInteger="1" minValue="0" maxValue="0"/>
    </cacheField>
    <cacheField name="Февраль5" numFmtId="0">
      <sharedItems containsString="0" containsBlank="1" containsNumber="1" containsInteger="1" minValue="0" maxValue="0"/>
    </cacheField>
    <cacheField name="Март5" numFmtId="0">
      <sharedItems containsString="0" containsBlank="1" containsNumber="1" containsInteger="1" minValue="0" maxValue="0"/>
    </cacheField>
    <cacheField name="Апрель5" numFmtId="0">
      <sharedItems containsString="0" containsBlank="1" containsNumber="1" containsInteger="1" minValue="0" maxValue="0"/>
    </cacheField>
    <cacheField name="Май5" numFmtId="0">
      <sharedItems containsString="0" containsBlank="1" containsNumber="1" containsInteger="1" minValue="0" maxValue="0"/>
    </cacheField>
    <cacheField name="Июнь5" numFmtId="0">
      <sharedItems containsString="0" containsBlank="1" containsNumber="1" containsInteger="1" minValue="0" maxValue="0"/>
    </cacheField>
    <cacheField name="Июль5" numFmtId="0">
      <sharedItems containsString="0" containsBlank="1" containsNumber="1" containsInteger="1" minValue="0" maxValue="0"/>
    </cacheField>
    <cacheField name="Август5" numFmtId="0">
      <sharedItems containsString="0" containsBlank="1" containsNumber="1" containsInteger="1" minValue="0" maxValue="0"/>
    </cacheField>
    <cacheField name="Сентябрь5" numFmtId="0">
      <sharedItems containsString="0" containsBlank="1" containsNumber="1" containsInteger="1" minValue="0" maxValue="0"/>
    </cacheField>
    <cacheField name="Октябрь5" numFmtId="0">
      <sharedItems containsString="0" containsBlank="1" containsNumber="1" containsInteger="1" minValue="0" maxValue="0"/>
    </cacheField>
    <cacheField name="Ноябрь5" numFmtId="0">
      <sharedItems containsString="0" containsBlank="1" containsNumber="1" containsInteger="1" minValue="0" maxValue="0"/>
    </cacheField>
    <cacheField name="Декабрь5" numFmtId="0">
      <sharedItems containsString="0" containsBlank="1" containsNumber="1" containsInteger="1" minValue="0" maxValue="0"/>
    </cacheField>
    <cacheField name="В т. ч. выходные_x000a_чел/дн4" numFmtId="0">
      <sharedItems containsString="0" containsBlank="1" containsNumber="1" containsInteger="1" minValue="0" maxValue="0"/>
    </cacheField>
    <cacheField name="Трудоемкость_x000a_ч/дн5" numFmtId="0">
      <sharedItems containsString="0" containsBlank="1" containsNumber="1" containsInteger="1" minValue="0" maxValue="0"/>
    </cacheField>
    <cacheField name="Стоимость 2021 руб. без НДС" numFmtId="4">
      <sharedItems containsString="0" containsBlank="1" containsNumber="1" containsInteger="1" minValue="0" maxValue="0"/>
    </cacheField>
    <cacheField name="В т. ч. выходные_x000a_ч/дн3" numFmtId="1">
      <sharedItems containsString="0" containsBlank="1" containsNumber="1" containsInteger="1" minValue="0" maxValue="0"/>
    </cacheField>
    <cacheField name="Трудоемкость_x000a_ч/дн6" numFmtId="0">
      <sharedItems containsString="0" containsBlank="1" containsNumber="1" containsInteger="1" minValue="0" maxValue="74"/>
    </cacheField>
    <cacheField name="Итого стоимость руб. без НДС" numFmtId="4">
      <sharedItems containsString="0" containsBlank="1" containsNumber="1" minValue="0" maxValue="21193538.479999989"/>
    </cacheField>
    <cacheField name="этап актирования работ" numFmtId="0">
      <sharedItems containsBlank="1"/>
    </cacheField>
    <cacheField name="год проведения оплат" numFmtId="0">
      <sharedItems containsBlank="1" containsMixedTypes="1" containsNumber="1" containsInteger="1" minValue="2018" maxValue="2019" count="4">
        <m/>
        <s v=" "/>
        <n v="2018"/>
        <n v="2019"/>
      </sharedItems>
    </cacheField>
    <cacheField name="бюджет по оплатам, руб. без НДС" numFmtId="0">
      <sharedItems containsString="0" containsBlank="1" containsNumber="1" minValue="0" maxValue="7954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s v="ЗАРУБЕЖ"/>
    <m/>
    <m/>
    <m/>
    <m/>
    <s v="USD"/>
    <n v="1.18"/>
    <s v="ДИТ"/>
    <m/>
    <m/>
    <m/>
    <m/>
    <m/>
    <m/>
    <m/>
    <m/>
    <m/>
    <m/>
    <m/>
    <m/>
    <m/>
    <n v="0"/>
    <m/>
    <m/>
    <m/>
    <m/>
    <m/>
    <m/>
    <m/>
    <m/>
    <m/>
    <m/>
    <m/>
    <n v="350000"/>
    <n v="350000"/>
    <m/>
    <m/>
    <m/>
    <m/>
    <m/>
    <m/>
    <m/>
    <m/>
    <m/>
    <m/>
    <m/>
    <m/>
    <n v="0"/>
    <m/>
    <m/>
    <m/>
    <m/>
    <m/>
    <m/>
    <m/>
    <m/>
    <m/>
    <m/>
    <m/>
    <m/>
    <n v="0"/>
    <m/>
    <m/>
    <m/>
    <m/>
    <m/>
    <m/>
    <m/>
    <m/>
    <m/>
    <m/>
    <m/>
    <m/>
    <n v="0"/>
    <n v="350000"/>
  </r>
</pivotCacheRecords>
</file>

<file path=xl/pivotCache/pivotCacheRecords2.xml><?xml version="1.0" encoding="utf-8"?>
<pivotCacheRecords xmlns="http://schemas.openxmlformats.org/spreadsheetml/2006/main" xmlns:r="http://schemas.openxmlformats.org/officeDocument/2006/relationships" count="240">
  <r>
    <m/>
    <m/>
    <x v="0"/>
    <x v="0"/>
    <x v="0"/>
    <x v="0"/>
    <m/>
    <m/>
    <m/>
    <m/>
    <m/>
    <m/>
    <m/>
    <m/>
    <m/>
    <m/>
    <m/>
    <m/>
    <m/>
    <m/>
    <m/>
    <m/>
    <m/>
    <m/>
    <m/>
    <m/>
    <m/>
    <m/>
    <m/>
    <m/>
    <m/>
    <m/>
    <m/>
    <m/>
    <m/>
    <m/>
    <m/>
    <m/>
    <m/>
    <m/>
    <m/>
    <m/>
    <m/>
    <m/>
    <m/>
    <m/>
    <m/>
    <m/>
    <m/>
    <m/>
    <m/>
    <m/>
    <m/>
    <m/>
    <m/>
    <m/>
    <m/>
    <m/>
    <m/>
    <m/>
    <m/>
    <m/>
    <m/>
    <m/>
    <m/>
    <m/>
    <m/>
    <m/>
    <m/>
    <m/>
    <m/>
    <m/>
    <m/>
    <m/>
    <m/>
    <m/>
    <m/>
    <m/>
    <m/>
    <m/>
    <m/>
    <m/>
    <m/>
    <m/>
    <m/>
    <m/>
    <m/>
    <m/>
    <m/>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s v=""/>
    <m/>
    <m/>
    <m/>
    <m/>
    <m/>
    <m/>
    <m/>
    <m/>
    <m/>
    <m/>
    <m/>
    <m/>
    <m/>
    <m/>
    <m/>
    <m/>
    <m/>
    <m/>
    <m/>
    <m/>
    <m/>
    <m/>
    <m/>
    <m/>
    <m/>
    <m/>
    <m/>
    <m/>
    <m/>
    <m/>
    <m/>
    <m/>
    <m/>
    <m/>
    <m/>
    <m/>
    <m/>
    <m/>
    <m/>
    <m/>
    <m/>
    <m/>
    <m/>
    <m/>
    <m/>
    <m/>
    <m/>
    <m/>
    <m/>
    <m/>
    <m/>
    <m/>
    <m/>
    <m/>
    <m/>
    <m/>
    <m/>
    <m/>
    <m/>
    <m/>
    <m/>
    <m/>
    <m/>
    <m/>
    <m/>
    <m/>
    <m/>
    <m/>
    <m/>
    <m/>
    <m/>
    <m/>
    <m/>
    <m/>
    <m/>
    <m/>
    <m/>
    <m/>
    <m/>
    <m/>
    <m/>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m/>
    <m/>
    <m/>
    <m/>
    <m/>
    <m/>
    <m/>
    <m/>
    <m/>
    <m/>
    <m/>
    <m/>
    <m/>
    <m/>
    <m/>
    <m/>
    <m/>
    <m/>
    <m/>
    <m/>
    <m/>
    <m/>
    <m/>
    <m/>
    <m/>
    <m/>
    <m/>
    <m/>
    <m/>
    <m/>
    <m/>
    <m/>
    <m/>
    <m/>
    <m/>
    <m/>
    <m/>
    <m/>
    <m/>
    <m/>
    <m/>
    <m/>
    <m/>
    <m/>
    <m/>
    <m/>
    <m/>
    <m/>
    <m/>
    <m/>
    <m/>
    <m/>
    <m/>
    <m/>
    <m/>
    <m/>
    <m/>
    <m/>
    <m/>
    <m/>
    <m/>
    <m/>
    <m/>
    <m/>
    <m/>
    <m/>
    <m/>
    <m/>
    <m/>
    <m/>
    <m/>
    <m/>
    <m/>
    <m/>
    <m/>
    <m/>
    <m/>
    <m/>
    <m/>
    <m/>
    <m/>
    <m/>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s v=""/>
    <m/>
    <m/>
    <m/>
    <m/>
    <m/>
    <m/>
    <m/>
    <m/>
    <m/>
    <m/>
    <m/>
    <m/>
    <m/>
    <m/>
    <m/>
    <m/>
    <m/>
    <m/>
    <m/>
    <m/>
    <m/>
    <m/>
    <m/>
    <m/>
    <m/>
    <m/>
    <m/>
    <m/>
    <m/>
    <m/>
    <m/>
    <m/>
    <m/>
    <m/>
    <m/>
    <m/>
    <m/>
    <m/>
    <m/>
    <m/>
    <m/>
    <m/>
    <m/>
    <m/>
    <m/>
    <m/>
    <m/>
    <m/>
    <m/>
    <m/>
    <m/>
    <m/>
    <m/>
    <m/>
    <m/>
    <m/>
    <m/>
    <m/>
    <m/>
    <m/>
    <m/>
    <m/>
    <m/>
    <m/>
    <m/>
    <m/>
    <m/>
    <m/>
    <m/>
    <m/>
    <m/>
    <m/>
    <m/>
    <m/>
    <m/>
    <m/>
    <m/>
    <m/>
    <m/>
    <m/>
    <m/>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s v=""/>
    <m/>
    <m/>
    <m/>
    <m/>
    <m/>
    <m/>
    <m/>
    <m/>
    <m/>
    <m/>
    <m/>
    <m/>
    <m/>
    <m/>
    <m/>
    <m/>
    <m/>
    <m/>
    <m/>
    <m/>
    <m/>
    <m/>
    <m/>
    <m/>
    <m/>
    <m/>
    <m/>
    <m/>
    <m/>
    <m/>
    <m/>
    <m/>
    <m/>
    <m/>
    <m/>
    <m/>
    <m/>
    <m/>
    <m/>
    <m/>
    <m/>
    <m/>
    <m/>
    <m/>
    <m/>
    <m/>
    <m/>
    <m/>
    <m/>
    <m/>
    <m/>
    <m/>
    <m/>
    <m/>
    <m/>
    <m/>
    <m/>
    <m/>
    <m/>
    <m/>
    <m/>
    <m/>
    <m/>
    <m/>
    <m/>
    <m/>
    <m/>
    <m/>
    <m/>
    <m/>
    <m/>
    <m/>
    <m/>
    <m/>
    <m/>
    <m/>
    <m/>
    <m/>
    <m/>
    <m/>
    <m/>
  </r>
  <r>
    <m/>
    <s v="К"/>
    <x v="0"/>
    <x v="1"/>
    <x v="1"/>
    <x v="1"/>
    <s v="ДИТ"/>
    <n v="15930"/>
    <m/>
    <m/>
    <n v="0"/>
    <m/>
    <m/>
    <m/>
    <m/>
    <m/>
    <m/>
    <m/>
    <m/>
    <m/>
    <m/>
    <m/>
    <m/>
    <m/>
    <n v="0"/>
    <n v="0"/>
    <m/>
    <m/>
    <n v="20"/>
    <n v="21"/>
    <n v="20"/>
    <n v="20"/>
    <n v="22"/>
    <n v="23"/>
    <n v="20"/>
    <n v="23"/>
    <n v="21"/>
    <n v="21"/>
    <m/>
    <n v="211"/>
    <n v="3361230"/>
    <n v="17"/>
    <n v="19"/>
    <n v="20"/>
    <n v="22"/>
    <n v="21"/>
    <n v="19"/>
    <n v="23"/>
    <n v="22"/>
    <n v="21"/>
    <n v="20"/>
    <n v="3"/>
    <m/>
    <m/>
    <n v="207"/>
    <n v="3297510"/>
    <m/>
    <m/>
    <m/>
    <m/>
    <m/>
    <m/>
    <m/>
    <m/>
    <m/>
    <m/>
    <m/>
    <m/>
    <m/>
    <n v="0"/>
    <n v="0"/>
    <m/>
    <m/>
    <m/>
    <m/>
    <m/>
    <m/>
    <m/>
    <m/>
    <m/>
    <m/>
    <m/>
    <m/>
    <m/>
    <n v="0"/>
    <n v="0"/>
    <n v="0"/>
    <n v="418"/>
    <n v="665874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2"/>
    <x v="2"/>
    <x v="2"/>
    <s v="ДИТ"/>
    <n v="11900"/>
    <m/>
    <m/>
    <n v="0"/>
    <m/>
    <m/>
    <m/>
    <m/>
    <m/>
    <m/>
    <m/>
    <m/>
    <m/>
    <m/>
    <m/>
    <m/>
    <m/>
    <n v="0"/>
    <n v="0"/>
    <m/>
    <m/>
    <n v="20"/>
    <n v="21"/>
    <n v="20"/>
    <n v="20"/>
    <n v="22"/>
    <n v="23"/>
    <n v="20"/>
    <n v="23"/>
    <n v="21"/>
    <n v="21"/>
    <m/>
    <n v="211"/>
    <n v="2510900"/>
    <n v="17"/>
    <n v="19"/>
    <n v="20"/>
    <n v="22"/>
    <n v="21"/>
    <n v="19"/>
    <n v="23"/>
    <n v="12"/>
    <n v="3"/>
    <m/>
    <m/>
    <m/>
    <m/>
    <n v="156"/>
    <n v="1856400"/>
    <m/>
    <m/>
    <m/>
    <m/>
    <m/>
    <m/>
    <m/>
    <m/>
    <m/>
    <m/>
    <m/>
    <m/>
    <m/>
    <n v="0"/>
    <n v="0"/>
    <m/>
    <m/>
    <m/>
    <m/>
    <m/>
    <m/>
    <m/>
    <m/>
    <m/>
    <m/>
    <m/>
    <m/>
    <m/>
    <n v="0"/>
    <n v="0"/>
    <n v="0"/>
    <n v="367"/>
    <n v="43673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3"/>
    <x v="3"/>
    <x v="3"/>
    <s v="ДИТ"/>
    <n v="21520"/>
    <m/>
    <m/>
    <n v="0"/>
    <m/>
    <m/>
    <m/>
    <m/>
    <m/>
    <m/>
    <m/>
    <m/>
    <m/>
    <m/>
    <m/>
    <m/>
    <m/>
    <n v="0"/>
    <n v="0"/>
    <m/>
    <n v="19"/>
    <n v="20"/>
    <n v="21"/>
    <n v="20"/>
    <n v="20"/>
    <m/>
    <m/>
    <m/>
    <m/>
    <m/>
    <m/>
    <m/>
    <n v="100"/>
    <n v="2152000"/>
    <m/>
    <m/>
    <m/>
    <m/>
    <m/>
    <m/>
    <m/>
    <m/>
    <m/>
    <m/>
    <m/>
    <m/>
    <m/>
    <n v="0"/>
    <n v="0"/>
    <m/>
    <m/>
    <m/>
    <m/>
    <m/>
    <m/>
    <m/>
    <m/>
    <m/>
    <m/>
    <m/>
    <m/>
    <m/>
    <n v="0"/>
    <n v="0"/>
    <m/>
    <m/>
    <m/>
    <m/>
    <m/>
    <m/>
    <m/>
    <m/>
    <m/>
    <m/>
    <m/>
    <m/>
    <m/>
    <n v="0"/>
    <n v="0"/>
    <n v="0"/>
    <n v="100"/>
    <n v="2152000"/>
  </r>
  <r>
    <m/>
    <s v="К"/>
    <x v="1"/>
    <x v="4"/>
    <x v="3"/>
    <x v="4"/>
    <s v="ДИТ"/>
    <n v="21520"/>
    <m/>
    <m/>
    <n v="0"/>
    <m/>
    <m/>
    <m/>
    <m/>
    <m/>
    <m/>
    <m/>
    <m/>
    <m/>
    <m/>
    <m/>
    <m/>
    <m/>
    <n v="0"/>
    <n v="0"/>
    <m/>
    <m/>
    <n v="5"/>
    <n v="5"/>
    <m/>
    <m/>
    <m/>
    <m/>
    <m/>
    <m/>
    <m/>
    <m/>
    <m/>
    <n v="10"/>
    <n v="215200"/>
    <m/>
    <m/>
    <n v="5"/>
    <m/>
    <m/>
    <m/>
    <m/>
    <m/>
    <m/>
    <m/>
    <m/>
    <m/>
    <m/>
    <n v="5"/>
    <n v="107600"/>
    <m/>
    <m/>
    <m/>
    <m/>
    <m/>
    <m/>
    <m/>
    <m/>
    <m/>
    <m/>
    <m/>
    <m/>
    <m/>
    <n v="0"/>
    <n v="0"/>
    <m/>
    <m/>
    <m/>
    <m/>
    <m/>
    <m/>
    <m/>
    <m/>
    <m/>
    <m/>
    <m/>
    <m/>
    <m/>
    <n v="0"/>
    <n v="0"/>
    <n v="0"/>
    <n v="15"/>
    <n v="322800"/>
  </r>
  <r>
    <m/>
    <s v="К"/>
    <x v="0"/>
    <x v="5"/>
    <x v="3"/>
    <x v="5"/>
    <s v="ДИТ"/>
    <n v="21520"/>
    <m/>
    <m/>
    <n v="0"/>
    <m/>
    <m/>
    <m/>
    <m/>
    <m/>
    <m/>
    <m/>
    <m/>
    <m/>
    <m/>
    <m/>
    <m/>
    <m/>
    <n v="0"/>
    <n v="0"/>
    <m/>
    <m/>
    <n v="10"/>
    <n v="10"/>
    <n v="10"/>
    <m/>
    <m/>
    <m/>
    <m/>
    <m/>
    <m/>
    <m/>
    <m/>
    <n v="30"/>
    <n v="645600"/>
    <m/>
    <m/>
    <m/>
    <m/>
    <m/>
    <m/>
    <m/>
    <m/>
    <m/>
    <m/>
    <m/>
    <m/>
    <m/>
    <n v="0"/>
    <n v="0"/>
    <m/>
    <m/>
    <m/>
    <m/>
    <m/>
    <m/>
    <m/>
    <m/>
    <m/>
    <m/>
    <m/>
    <m/>
    <m/>
    <n v="0"/>
    <n v="0"/>
    <m/>
    <m/>
    <m/>
    <m/>
    <m/>
    <m/>
    <m/>
    <m/>
    <m/>
    <m/>
    <m/>
    <m/>
    <m/>
    <n v="0"/>
    <n v="0"/>
    <n v="0"/>
    <n v="30"/>
    <n v="645600"/>
  </r>
  <r>
    <m/>
    <s v="К"/>
    <x v="0"/>
    <x v="5"/>
    <x v="3"/>
    <x v="5"/>
    <s v="ДИТ"/>
    <n v="21520"/>
    <m/>
    <m/>
    <n v="0"/>
    <m/>
    <m/>
    <m/>
    <m/>
    <m/>
    <m/>
    <m/>
    <m/>
    <m/>
    <m/>
    <m/>
    <m/>
    <m/>
    <n v="0"/>
    <n v="0"/>
    <m/>
    <m/>
    <n v="5"/>
    <n v="6"/>
    <n v="5"/>
    <n v="5"/>
    <m/>
    <m/>
    <m/>
    <m/>
    <m/>
    <m/>
    <m/>
    <n v="21"/>
    <n v="451920"/>
    <m/>
    <m/>
    <m/>
    <m/>
    <m/>
    <m/>
    <m/>
    <m/>
    <m/>
    <m/>
    <m/>
    <m/>
    <m/>
    <n v="0"/>
    <n v="0"/>
    <m/>
    <m/>
    <m/>
    <m/>
    <m/>
    <m/>
    <m/>
    <m/>
    <m/>
    <m/>
    <m/>
    <m/>
    <m/>
    <n v="0"/>
    <n v="0"/>
    <m/>
    <m/>
    <m/>
    <m/>
    <m/>
    <m/>
    <m/>
    <m/>
    <m/>
    <m/>
    <m/>
    <m/>
    <m/>
    <n v="0"/>
    <n v="0"/>
    <n v="0"/>
    <n v="21"/>
    <n v="451920"/>
  </r>
  <r>
    <m/>
    <s v="К"/>
    <x v="0"/>
    <x v="4"/>
    <x v="3"/>
    <x v="4"/>
    <s v="ДИТ"/>
    <n v="21520"/>
    <m/>
    <m/>
    <n v="0"/>
    <m/>
    <m/>
    <m/>
    <m/>
    <m/>
    <m/>
    <m/>
    <m/>
    <m/>
    <m/>
    <m/>
    <m/>
    <m/>
    <n v="0"/>
    <n v="0"/>
    <m/>
    <m/>
    <m/>
    <m/>
    <m/>
    <n v="5"/>
    <m/>
    <m/>
    <m/>
    <m/>
    <m/>
    <m/>
    <m/>
    <n v="5"/>
    <n v="107600"/>
    <m/>
    <m/>
    <m/>
    <m/>
    <m/>
    <m/>
    <m/>
    <m/>
    <m/>
    <m/>
    <m/>
    <m/>
    <m/>
    <n v="0"/>
    <n v="0"/>
    <m/>
    <m/>
    <m/>
    <m/>
    <m/>
    <m/>
    <m/>
    <m/>
    <m/>
    <m/>
    <m/>
    <m/>
    <m/>
    <n v="0"/>
    <n v="0"/>
    <m/>
    <m/>
    <m/>
    <m/>
    <m/>
    <m/>
    <m/>
    <m/>
    <m/>
    <m/>
    <m/>
    <m/>
    <m/>
    <n v="0"/>
    <n v="0"/>
    <n v="0"/>
    <n v="5"/>
    <n v="107600"/>
  </r>
  <r>
    <m/>
    <s v="К"/>
    <x v="0"/>
    <x v="5"/>
    <x v="3"/>
    <x v="5"/>
    <s v="ДИТ"/>
    <n v="21520"/>
    <m/>
    <m/>
    <n v="0"/>
    <m/>
    <m/>
    <m/>
    <m/>
    <m/>
    <m/>
    <m/>
    <m/>
    <m/>
    <m/>
    <m/>
    <m/>
    <m/>
    <n v="0"/>
    <n v="0"/>
    <m/>
    <m/>
    <n v="5"/>
    <n v="5"/>
    <n v="5"/>
    <n v="5"/>
    <m/>
    <m/>
    <m/>
    <m/>
    <m/>
    <m/>
    <m/>
    <n v="20"/>
    <n v="430400"/>
    <m/>
    <m/>
    <m/>
    <m/>
    <m/>
    <m/>
    <m/>
    <m/>
    <m/>
    <m/>
    <m/>
    <m/>
    <m/>
    <n v="0"/>
    <n v="0"/>
    <m/>
    <m/>
    <m/>
    <m/>
    <m/>
    <m/>
    <m/>
    <m/>
    <m/>
    <m/>
    <m/>
    <m/>
    <m/>
    <n v="0"/>
    <n v="0"/>
    <m/>
    <m/>
    <m/>
    <m/>
    <m/>
    <m/>
    <m/>
    <m/>
    <m/>
    <m/>
    <m/>
    <m/>
    <m/>
    <n v="0"/>
    <n v="0"/>
    <n v="0"/>
    <n v="20"/>
    <n v="430400"/>
  </r>
  <r>
    <m/>
    <s v="К"/>
    <x v="1"/>
    <x v="6"/>
    <x v="2"/>
    <x v="6"/>
    <s v="ДИТ"/>
    <n v="11900"/>
    <m/>
    <m/>
    <n v="0"/>
    <m/>
    <m/>
    <m/>
    <m/>
    <m/>
    <m/>
    <m/>
    <m/>
    <m/>
    <m/>
    <m/>
    <m/>
    <m/>
    <n v="0"/>
    <n v="0"/>
    <m/>
    <m/>
    <m/>
    <m/>
    <n v="10"/>
    <n v="5"/>
    <m/>
    <m/>
    <m/>
    <n v="2"/>
    <m/>
    <m/>
    <m/>
    <n v="17"/>
    <n v="202300"/>
    <m/>
    <m/>
    <m/>
    <m/>
    <m/>
    <m/>
    <m/>
    <m/>
    <m/>
    <m/>
    <m/>
    <m/>
    <m/>
    <n v="0"/>
    <n v="0"/>
    <m/>
    <m/>
    <m/>
    <m/>
    <m/>
    <m/>
    <m/>
    <m/>
    <m/>
    <m/>
    <m/>
    <m/>
    <m/>
    <n v="0"/>
    <n v="0"/>
    <m/>
    <m/>
    <m/>
    <m/>
    <m/>
    <m/>
    <m/>
    <m/>
    <m/>
    <m/>
    <m/>
    <m/>
    <m/>
    <n v="0"/>
    <n v="0"/>
    <n v="0"/>
    <n v="17"/>
    <n v="202300"/>
  </r>
  <r>
    <m/>
    <s v="К"/>
    <x v="1"/>
    <x v="4"/>
    <x v="3"/>
    <x v="7"/>
    <s v="ДИТ"/>
    <n v="21520"/>
    <m/>
    <m/>
    <n v="0"/>
    <m/>
    <m/>
    <m/>
    <m/>
    <m/>
    <m/>
    <m/>
    <m/>
    <m/>
    <m/>
    <m/>
    <m/>
    <m/>
    <n v="0"/>
    <n v="0"/>
    <m/>
    <m/>
    <m/>
    <m/>
    <n v="1"/>
    <m/>
    <m/>
    <m/>
    <m/>
    <n v="1"/>
    <m/>
    <m/>
    <m/>
    <n v="2"/>
    <n v="43040"/>
    <m/>
    <m/>
    <m/>
    <m/>
    <m/>
    <m/>
    <m/>
    <m/>
    <m/>
    <m/>
    <m/>
    <m/>
    <m/>
    <n v="0"/>
    <n v="0"/>
    <m/>
    <m/>
    <m/>
    <m/>
    <m/>
    <m/>
    <m/>
    <m/>
    <m/>
    <m/>
    <m/>
    <m/>
    <m/>
    <n v="0"/>
    <n v="0"/>
    <m/>
    <m/>
    <m/>
    <m/>
    <m/>
    <m/>
    <m/>
    <m/>
    <m/>
    <m/>
    <m/>
    <m/>
    <m/>
    <n v="0"/>
    <n v="0"/>
    <n v="0"/>
    <n v="2"/>
    <n v="43040"/>
  </r>
  <r>
    <m/>
    <s v="К"/>
    <x v="0"/>
    <x v="4"/>
    <x v="3"/>
    <x v="4"/>
    <s v="ДИТ"/>
    <n v="21520"/>
    <m/>
    <m/>
    <n v="0"/>
    <m/>
    <m/>
    <m/>
    <m/>
    <m/>
    <m/>
    <m/>
    <m/>
    <m/>
    <m/>
    <m/>
    <m/>
    <m/>
    <n v="0"/>
    <n v="0"/>
    <m/>
    <m/>
    <m/>
    <m/>
    <m/>
    <n v="5"/>
    <m/>
    <m/>
    <m/>
    <m/>
    <m/>
    <m/>
    <m/>
    <n v="5"/>
    <n v="107600"/>
    <m/>
    <m/>
    <m/>
    <m/>
    <m/>
    <m/>
    <m/>
    <m/>
    <m/>
    <m/>
    <m/>
    <m/>
    <m/>
    <n v="0"/>
    <n v="0"/>
    <m/>
    <m/>
    <m/>
    <m/>
    <m/>
    <m/>
    <m/>
    <m/>
    <m/>
    <m/>
    <m/>
    <m/>
    <m/>
    <n v="0"/>
    <n v="0"/>
    <m/>
    <m/>
    <m/>
    <m/>
    <m/>
    <m/>
    <m/>
    <m/>
    <m/>
    <m/>
    <m/>
    <m/>
    <m/>
    <n v="0"/>
    <n v="0"/>
    <n v="0"/>
    <n v="5"/>
    <n v="1076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5"/>
    <x v="3"/>
    <x v="5"/>
    <s v="ДИТ"/>
    <n v="21520"/>
    <m/>
    <m/>
    <n v="0"/>
    <m/>
    <m/>
    <m/>
    <m/>
    <m/>
    <m/>
    <m/>
    <m/>
    <m/>
    <m/>
    <m/>
    <m/>
    <m/>
    <n v="0"/>
    <n v="0"/>
    <m/>
    <m/>
    <m/>
    <m/>
    <m/>
    <n v="5"/>
    <m/>
    <m/>
    <m/>
    <m/>
    <m/>
    <m/>
    <m/>
    <n v="5"/>
    <n v="107600"/>
    <m/>
    <m/>
    <m/>
    <m/>
    <m/>
    <m/>
    <m/>
    <m/>
    <m/>
    <m/>
    <m/>
    <m/>
    <m/>
    <n v="0"/>
    <n v="0"/>
    <m/>
    <m/>
    <m/>
    <m/>
    <m/>
    <m/>
    <m/>
    <m/>
    <m/>
    <m/>
    <m/>
    <m/>
    <m/>
    <n v="0"/>
    <n v="0"/>
    <m/>
    <m/>
    <m/>
    <m/>
    <m/>
    <m/>
    <m/>
    <m/>
    <m/>
    <m/>
    <m/>
    <m/>
    <m/>
    <n v="0"/>
    <n v="0"/>
    <n v="0"/>
    <n v="5"/>
    <n v="1076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1"/>
    <x v="4"/>
    <x v="1"/>
    <x v="8"/>
    <s v="ДИТ"/>
    <n v="15930"/>
    <m/>
    <m/>
    <n v="0"/>
    <m/>
    <m/>
    <m/>
    <m/>
    <m/>
    <m/>
    <m/>
    <m/>
    <m/>
    <m/>
    <m/>
    <m/>
    <m/>
    <n v="0"/>
    <n v="0"/>
    <m/>
    <m/>
    <m/>
    <m/>
    <m/>
    <m/>
    <n v="22"/>
    <n v="10"/>
    <n v="5"/>
    <n v="3"/>
    <m/>
    <m/>
    <m/>
    <n v="40"/>
    <n v="637200"/>
    <m/>
    <m/>
    <m/>
    <m/>
    <m/>
    <m/>
    <m/>
    <m/>
    <m/>
    <m/>
    <m/>
    <m/>
    <m/>
    <n v="0"/>
    <n v="0"/>
    <m/>
    <m/>
    <m/>
    <m/>
    <m/>
    <m/>
    <m/>
    <m/>
    <m/>
    <m/>
    <m/>
    <m/>
    <m/>
    <n v="0"/>
    <n v="0"/>
    <m/>
    <m/>
    <m/>
    <m/>
    <m/>
    <m/>
    <m/>
    <m/>
    <m/>
    <m/>
    <m/>
    <m/>
    <m/>
    <n v="0"/>
    <n v="0"/>
    <n v="0"/>
    <n v="40"/>
    <n v="637200"/>
  </r>
  <r>
    <m/>
    <s v="К"/>
    <x v="1"/>
    <x v="4"/>
    <x v="1"/>
    <x v="9"/>
    <s v="ДИТ"/>
    <n v="15930"/>
    <m/>
    <m/>
    <n v="0"/>
    <m/>
    <m/>
    <m/>
    <m/>
    <m/>
    <m/>
    <m/>
    <m/>
    <m/>
    <m/>
    <m/>
    <m/>
    <m/>
    <n v="0"/>
    <n v="0"/>
    <m/>
    <m/>
    <m/>
    <m/>
    <m/>
    <m/>
    <n v="20"/>
    <n v="10"/>
    <n v="5"/>
    <n v="3"/>
    <m/>
    <m/>
    <m/>
    <n v="38"/>
    <n v="605340"/>
    <m/>
    <m/>
    <m/>
    <m/>
    <m/>
    <m/>
    <m/>
    <m/>
    <m/>
    <m/>
    <m/>
    <m/>
    <m/>
    <n v="0"/>
    <n v="0"/>
    <m/>
    <m/>
    <m/>
    <m/>
    <m/>
    <m/>
    <m/>
    <m/>
    <m/>
    <m/>
    <m/>
    <m/>
    <m/>
    <n v="0"/>
    <n v="0"/>
    <m/>
    <m/>
    <m/>
    <m/>
    <m/>
    <m/>
    <m/>
    <m/>
    <m/>
    <m/>
    <m/>
    <m/>
    <m/>
    <n v="0"/>
    <n v="0"/>
    <n v="0"/>
    <n v="38"/>
    <n v="605340"/>
  </r>
  <r>
    <m/>
    <s v="К"/>
    <x v="0"/>
    <x v="4"/>
    <x v="1"/>
    <x v="7"/>
    <s v="ДИТ"/>
    <n v="15930"/>
    <m/>
    <m/>
    <n v="0"/>
    <m/>
    <m/>
    <m/>
    <m/>
    <m/>
    <m/>
    <m/>
    <m/>
    <m/>
    <m/>
    <m/>
    <m/>
    <m/>
    <n v="0"/>
    <n v="0"/>
    <m/>
    <m/>
    <m/>
    <m/>
    <m/>
    <m/>
    <n v="3"/>
    <n v="1"/>
    <n v="1"/>
    <n v="2"/>
    <m/>
    <m/>
    <m/>
    <n v="7"/>
    <n v="111510"/>
    <m/>
    <m/>
    <m/>
    <m/>
    <m/>
    <m/>
    <m/>
    <m/>
    <m/>
    <m/>
    <m/>
    <m/>
    <m/>
    <n v="0"/>
    <n v="0"/>
    <m/>
    <m/>
    <m/>
    <m/>
    <m/>
    <m/>
    <m/>
    <m/>
    <m/>
    <m/>
    <m/>
    <m/>
    <m/>
    <n v="0"/>
    <n v="0"/>
    <m/>
    <m/>
    <m/>
    <m/>
    <m/>
    <m/>
    <m/>
    <m/>
    <m/>
    <m/>
    <m/>
    <m/>
    <m/>
    <n v="0"/>
    <n v="0"/>
    <n v="0"/>
    <n v="7"/>
    <n v="111510"/>
  </r>
  <r>
    <m/>
    <s v="К"/>
    <x v="0"/>
    <x v="7"/>
    <x v="3"/>
    <x v="4"/>
    <s v="ДИТ"/>
    <n v="21520"/>
    <m/>
    <m/>
    <n v="0"/>
    <m/>
    <m/>
    <m/>
    <m/>
    <m/>
    <m/>
    <m/>
    <m/>
    <m/>
    <m/>
    <m/>
    <m/>
    <m/>
    <n v="0"/>
    <n v="0"/>
    <m/>
    <m/>
    <m/>
    <m/>
    <m/>
    <m/>
    <n v="5"/>
    <n v="5"/>
    <n v="5"/>
    <n v="2"/>
    <m/>
    <m/>
    <m/>
    <n v="17"/>
    <n v="365840"/>
    <m/>
    <m/>
    <m/>
    <m/>
    <m/>
    <m/>
    <m/>
    <m/>
    <m/>
    <m/>
    <m/>
    <m/>
    <m/>
    <n v="0"/>
    <n v="0"/>
    <m/>
    <m/>
    <m/>
    <m/>
    <m/>
    <m/>
    <m/>
    <m/>
    <m/>
    <m/>
    <m/>
    <m/>
    <m/>
    <n v="0"/>
    <n v="0"/>
    <m/>
    <m/>
    <m/>
    <m/>
    <m/>
    <m/>
    <m/>
    <m/>
    <m/>
    <m/>
    <m/>
    <m/>
    <m/>
    <n v="0"/>
    <n v="0"/>
    <n v="0"/>
    <n v="17"/>
    <n v="365840"/>
  </r>
  <r>
    <m/>
    <s v="К"/>
    <x v="0"/>
    <x v="5"/>
    <x v="3"/>
    <x v="5"/>
    <s v="ДИТ"/>
    <n v="21520"/>
    <m/>
    <m/>
    <n v="0"/>
    <m/>
    <m/>
    <m/>
    <m/>
    <m/>
    <m/>
    <m/>
    <m/>
    <m/>
    <m/>
    <m/>
    <m/>
    <m/>
    <n v="0"/>
    <n v="0"/>
    <m/>
    <m/>
    <m/>
    <m/>
    <m/>
    <m/>
    <m/>
    <m/>
    <m/>
    <m/>
    <m/>
    <m/>
    <m/>
    <n v="0"/>
    <n v="0"/>
    <m/>
    <m/>
    <m/>
    <m/>
    <m/>
    <m/>
    <m/>
    <m/>
    <m/>
    <m/>
    <m/>
    <m/>
    <m/>
    <n v="0"/>
    <n v="0"/>
    <m/>
    <m/>
    <m/>
    <m/>
    <m/>
    <m/>
    <m/>
    <m/>
    <m/>
    <m/>
    <m/>
    <m/>
    <m/>
    <n v="0"/>
    <n v="0"/>
    <m/>
    <m/>
    <m/>
    <m/>
    <m/>
    <m/>
    <m/>
    <m/>
    <m/>
    <m/>
    <m/>
    <m/>
    <m/>
    <n v="0"/>
    <n v="0"/>
    <n v="0"/>
    <n v="0"/>
    <n v="0"/>
  </r>
  <r>
    <m/>
    <s v="К"/>
    <x v="0"/>
    <x v="4"/>
    <x v="3"/>
    <x v="4"/>
    <s v="ДИТ"/>
    <n v="21520"/>
    <m/>
    <m/>
    <n v="0"/>
    <m/>
    <m/>
    <m/>
    <m/>
    <m/>
    <m/>
    <m/>
    <m/>
    <m/>
    <m/>
    <m/>
    <m/>
    <m/>
    <n v="0"/>
    <n v="0"/>
    <m/>
    <m/>
    <m/>
    <m/>
    <m/>
    <m/>
    <m/>
    <m/>
    <n v="2"/>
    <n v="3"/>
    <n v="2"/>
    <m/>
    <m/>
    <n v="7"/>
    <n v="150640"/>
    <m/>
    <m/>
    <m/>
    <m/>
    <m/>
    <m/>
    <m/>
    <m/>
    <m/>
    <m/>
    <m/>
    <m/>
    <m/>
    <n v="0"/>
    <n v="0"/>
    <m/>
    <m/>
    <m/>
    <m/>
    <m/>
    <m/>
    <m/>
    <m/>
    <m/>
    <m/>
    <m/>
    <m/>
    <m/>
    <n v="0"/>
    <n v="0"/>
    <m/>
    <m/>
    <m/>
    <m/>
    <m/>
    <m/>
    <m/>
    <m/>
    <m/>
    <m/>
    <m/>
    <m/>
    <m/>
    <n v="0"/>
    <n v="0"/>
    <n v="0"/>
    <n v="7"/>
    <n v="150640"/>
  </r>
  <r>
    <m/>
    <s v="К"/>
    <x v="0"/>
    <x v="4"/>
    <x v="1"/>
    <x v="9"/>
    <s v="ДИТ"/>
    <n v="15930"/>
    <m/>
    <m/>
    <n v="0"/>
    <m/>
    <m/>
    <m/>
    <m/>
    <m/>
    <m/>
    <m/>
    <m/>
    <m/>
    <m/>
    <m/>
    <m/>
    <m/>
    <n v="0"/>
    <n v="0"/>
    <m/>
    <m/>
    <m/>
    <m/>
    <m/>
    <m/>
    <m/>
    <m/>
    <m/>
    <n v="10"/>
    <n v="10"/>
    <n v="10"/>
    <m/>
    <n v="30"/>
    <n v="477900"/>
    <m/>
    <m/>
    <m/>
    <m/>
    <m/>
    <m/>
    <m/>
    <m/>
    <m/>
    <m/>
    <m/>
    <m/>
    <m/>
    <n v="0"/>
    <n v="0"/>
    <m/>
    <m/>
    <m/>
    <m/>
    <m/>
    <m/>
    <m/>
    <m/>
    <m/>
    <m/>
    <m/>
    <m/>
    <m/>
    <n v="0"/>
    <n v="0"/>
    <m/>
    <m/>
    <m/>
    <m/>
    <m/>
    <m/>
    <m/>
    <m/>
    <m/>
    <m/>
    <m/>
    <m/>
    <m/>
    <n v="0"/>
    <n v="0"/>
    <n v="0"/>
    <n v="30"/>
    <n v="477900"/>
  </r>
  <r>
    <m/>
    <s v="К"/>
    <x v="0"/>
    <x v="4"/>
    <x v="1"/>
    <x v="8"/>
    <s v="ДИТ"/>
    <n v="15930"/>
    <m/>
    <m/>
    <n v="0"/>
    <m/>
    <m/>
    <m/>
    <m/>
    <m/>
    <m/>
    <m/>
    <m/>
    <m/>
    <m/>
    <m/>
    <m/>
    <m/>
    <n v="0"/>
    <n v="0"/>
    <m/>
    <m/>
    <m/>
    <m/>
    <m/>
    <m/>
    <m/>
    <m/>
    <m/>
    <n v="10"/>
    <n v="10"/>
    <n v="10"/>
    <m/>
    <n v="30"/>
    <n v="477900"/>
    <m/>
    <m/>
    <m/>
    <m/>
    <m/>
    <m/>
    <m/>
    <m/>
    <m/>
    <m/>
    <m/>
    <m/>
    <m/>
    <n v="0"/>
    <n v="0"/>
    <m/>
    <m/>
    <m/>
    <m/>
    <m/>
    <m/>
    <m/>
    <m/>
    <m/>
    <m/>
    <m/>
    <m/>
    <m/>
    <n v="0"/>
    <n v="0"/>
    <m/>
    <m/>
    <m/>
    <m/>
    <m/>
    <m/>
    <m/>
    <m/>
    <m/>
    <m/>
    <m/>
    <m/>
    <m/>
    <n v="0"/>
    <n v="0"/>
    <n v="0"/>
    <n v="30"/>
    <n v="4779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4"/>
    <x v="1"/>
    <x v="8"/>
    <s v="ДИТ"/>
    <n v="15930"/>
    <m/>
    <m/>
    <n v="0"/>
    <m/>
    <m/>
    <m/>
    <m/>
    <m/>
    <m/>
    <m/>
    <m/>
    <m/>
    <m/>
    <m/>
    <m/>
    <m/>
    <n v="0"/>
    <n v="0"/>
    <m/>
    <m/>
    <m/>
    <m/>
    <m/>
    <m/>
    <m/>
    <m/>
    <m/>
    <m/>
    <m/>
    <m/>
    <m/>
    <n v="0"/>
    <n v="0"/>
    <n v="5"/>
    <n v="3"/>
    <m/>
    <m/>
    <m/>
    <m/>
    <m/>
    <m/>
    <m/>
    <m/>
    <m/>
    <m/>
    <m/>
    <n v="8"/>
    <n v="127440"/>
    <m/>
    <m/>
    <m/>
    <m/>
    <m/>
    <m/>
    <m/>
    <m/>
    <m/>
    <m/>
    <m/>
    <m/>
    <m/>
    <n v="0"/>
    <n v="0"/>
    <m/>
    <m/>
    <m/>
    <m/>
    <m/>
    <m/>
    <m/>
    <m/>
    <m/>
    <m/>
    <m/>
    <m/>
    <m/>
    <n v="0"/>
    <n v="0"/>
    <n v="0"/>
    <n v="8"/>
    <n v="127440"/>
  </r>
  <r>
    <m/>
    <s v="К"/>
    <x v="0"/>
    <x v="4"/>
    <x v="1"/>
    <x v="9"/>
    <s v="ДИТ"/>
    <n v="15930"/>
    <m/>
    <m/>
    <n v="0"/>
    <m/>
    <m/>
    <m/>
    <m/>
    <m/>
    <m/>
    <m/>
    <m/>
    <m/>
    <m/>
    <m/>
    <m/>
    <m/>
    <n v="0"/>
    <n v="0"/>
    <m/>
    <m/>
    <m/>
    <m/>
    <m/>
    <m/>
    <m/>
    <m/>
    <m/>
    <m/>
    <m/>
    <m/>
    <m/>
    <n v="0"/>
    <n v="0"/>
    <n v="5"/>
    <n v="3"/>
    <m/>
    <m/>
    <m/>
    <m/>
    <m/>
    <m/>
    <m/>
    <m/>
    <m/>
    <m/>
    <m/>
    <n v="8"/>
    <n v="127440"/>
    <m/>
    <m/>
    <m/>
    <m/>
    <m/>
    <m/>
    <m/>
    <m/>
    <m/>
    <m/>
    <m/>
    <m/>
    <m/>
    <n v="0"/>
    <n v="0"/>
    <m/>
    <m/>
    <m/>
    <m/>
    <m/>
    <m/>
    <m/>
    <m/>
    <m/>
    <m/>
    <m/>
    <m/>
    <m/>
    <n v="0"/>
    <n v="0"/>
    <n v="0"/>
    <n v="8"/>
    <n v="127440"/>
  </r>
  <r>
    <m/>
    <s v="К"/>
    <x v="0"/>
    <x v="7"/>
    <x v="3"/>
    <x v="4"/>
    <s v="ДИТ"/>
    <n v="21520"/>
    <m/>
    <m/>
    <n v="0"/>
    <m/>
    <m/>
    <m/>
    <m/>
    <m/>
    <m/>
    <m/>
    <m/>
    <m/>
    <m/>
    <m/>
    <m/>
    <m/>
    <n v="0"/>
    <n v="0"/>
    <m/>
    <m/>
    <m/>
    <m/>
    <m/>
    <m/>
    <m/>
    <m/>
    <m/>
    <n v="3"/>
    <m/>
    <n v="5"/>
    <m/>
    <n v="8"/>
    <n v="172160"/>
    <m/>
    <n v="5"/>
    <m/>
    <m/>
    <m/>
    <m/>
    <m/>
    <m/>
    <m/>
    <m/>
    <m/>
    <m/>
    <m/>
    <n v="5"/>
    <n v="107600"/>
    <m/>
    <m/>
    <m/>
    <m/>
    <m/>
    <m/>
    <m/>
    <m/>
    <m/>
    <m/>
    <m/>
    <m/>
    <m/>
    <n v="0"/>
    <n v="0"/>
    <m/>
    <m/>
    <m/>
    <m/>
    <m/>
    <m/>
    <m/>
    <m/>
    <m/>
    <m/>
    <m/>
    <m/>
    <m/>
    <n v="0"/>
    <n v="0"/>
    <n v="0"/>
    <n v="13"/>
    <n v="279760"/>
  </r>
  <r>
    <m/>
    <s v="К"/>
    <x v="0"/>
    <x v="5"/>
    <x v="3"/>
    <x v="5"/>
    <s v="ДИТ"/>
    <n v="21520"/>
    <m/>
    <m/>
    <n v="0"/>
    <m/>
    <m/>
    <m/>
    <m/>
    <m/>
    <m/>
    <m/>
    <m/>
    <m/>
    <m/>
    <m/>
    <m/>
    <m/>
    <n v="0"/>
    <n v="0"/>
    <m/>
    <m/>
    <m/>
    <m/>
    <m/>
    <m/>
    <m/>
    <m/>
    <m/>
    <m/>
    <m/>
    <m/>
    <m/>
    <n v="0"/>
    <n v="0"/>
    <m/>
    <m/>
    <m/>
    <m/>
    <m/>
    <m/>
    <m/>
    <m/>
    <m/>
    <m/>
    <m/>
    <m/>
    <m/>
    <n v="0"/>
    <n v="0"/>
    <m/>
    <m/>
    <m/>
    <m/>
    <m/>
    <m/>
    <m/>
    <m/>
    <m/>
    <m/>
    <m/>
    <m/>
    <m/>
    <n v="0"/>
    <n v="0"/>
    <m/>
    <m/>
    <m/>
    <m/>
    <m/>
    <m/>
    <m/>
    <m/>
    <m/>
    <m/>
    <m/>
    <m/>
    <m/>
    <n v="0"/>
    <n v="0"/>
    <n v="0"/>
    <n v="0"/>
    <n v="0"/>
  </r>
  <r>
    <m/>
    <s v="К"/>
    <x v="0"/>
    <x v="4"/>
    <x v="1"/>
    <x v="8"/>
    <s v="ДИТ"/>
    <n v="15930"/>
    <m/>
    <m/>
    <n v="0"/>
    <m/>
    <m/>
    <m/>
    <m/>
    <m/>
    <m/>
    <m/>
    <m/>
    <m/>
    <m/>
    <m/>
    <m/>
    <m/>
    <n v="0"/>
    <n v="0"/>
    <m/>
    <m/>
    <m/>
    <m/>
    <m/>
    <m/>
    <m/>
    <m/>
    <m/>
    <m/>
    <m/>
    <m/>
    <m/>
    <n v="0"/>
    <n v="0"/>
    <m/>
    <n v="4"/>
    <m/>
    <m/>
    <m/>
    <m/>
    <m/>
    <m/>
    <m/>
    <m/>
    <m/>
    <m/>
    <m/>
    <n v="4"/>
    <n v="63720"/>
    <m/>
    <m/>
    <m/>
    <m/>
    <m/>
    <m/>
    <m/>
    <m/>
    <m/>
    <m/>
    <m/>
    <m/>
    <m/>
    <n v="0"/>
    <n v="0"/>
    <m/>
    <m/>
    <m/>
    <m/>
    <m/>
    <m/>
    <m/>
    <m/>
    <m/>
    <m/>
    <m/>
    <m/>
    <m/>
    <n v="0"/>
    <n v="0"/>
    <n v="0"/>
    <n v="4"/>
    <n v="63720"/>
  </r>
  <r>
    <m/>
    <s v="К"/>
    <x v="0"/>
    <x v="4"/>
    <x v="1"/>
    <x v="9"/>
    <s v="ДИТ"/>
    <n v="15930"/>
    <m/>
    <m/>
    <n v="0"/>
    <m/>
    <m/>
    <m/>
    <m/>
    <m/>
    <m/>
    <m/>
    <m/>
    <m/>
    <m/>
    <m/>
    <m/>
    <m/>
    <n v="0"/>
    <n v="0"/>
    <m/>
    <m/>
    <m/>
    <m/>
    <m/>
    <m/>
    <m/>
    <m/>
    <m/>
    <m/>
    <m/>
    <m/>
    <m/>
    <n v="0"/>
    <n v="0"/>
    <m/>
    <n v="4"/>
    <m/>
    <m/>
    <m/>
    <m/>
    <m/>
    <m/>
    <m/>
    <m/>
    <m/>
    <m/>
    <m/>
    <n v="4"/>
    <n v="63720"/>
    <m/>
    <m/>
    <m/>
    <m/>
    <m/>
    <m/>
    <m/>
    <m/>
    <m/>
    <m/>
    <m/>
    <m/>
    <m/>
    <n v="0"/>
    <n v="0"/>
    <m/>
    <m/>
    <m/>
    <m/>
    <m/>
    <m/>
    <m/>
    <m/>
    <m/>
    <m/>
    <m/>
    <m/>
    <m/>
    <n v="0"/>
    <n v="0"/>
    <n v="0"/>
    <n v="4"/>
    <n v="63720"/>
  </r>
  <r>
    <m/>
    <s v="К"/>
    <x v="0"/>
    <x v="4"/>
    <x v="3"/>
    <x v="4"/>
    <s v="ДИТ"/>
    <n v="21520"/>
    <m/>
    <m/>
    <n v="0"/>
    <m/>
    <m/>
    <m/>
    <m/>
    <m/>
    <m/>
    <m/>
    <m/>
    <m/>
    <m/>
    <m/>
    <m/>
    <m/>
    <n v="0"/>
    <n v="0"/>
    <m/>
    <m/>
    <m/>
    <m/>
    <m/>
    <m/>
    <m/>
    <m/>
    <m/>
    <m/>
    <m/>
    <m/>
    <m/>
    <n v="0"/>
    <n v="0"/>
    <m/>
    <n v="5"/>
    <m/>
    <m/>
    <m/>
    <m/>
    <m/>
    <m/>
    <m/>
    <m/>
    <m/>
    <m/>
    <m/>
    <n v="5"/>
    <n v="107600"/>
    <m/>
    <m/>
    <m/>
    <m/>
    <m/>
    <m/>
    <m/>
    <m/>
    <m/>
    <m/>
    <m/>
    <m/>
    <m/>
    <n v="0"/>
    <n v="0"/>
    <m/>
    <m/>
    <m/>
    <m/>
    <m/>
    <m/>
    <m/>
    <m/>
    <m/>
    <m/>
    <m/>
    <m/>
    <m/>
    <n v="0"/>
    <n v="0"/>
    <n v="0"/>
    <n v="5"/>
    <n v="107600"/>
  </r>
  <r>
    <m/>
    <s v="К"/>
    <x v="0"/>
    <x v="4"/>
    <x v="1"/>
    <x v="7"/>
    <s v="ДИТ"/>
    <n v="15930"/>
    <m/>
    <m/>
    <n v="0"/>
    <m/>
    <m/>
    <m/>
    <m/>
    <m/>
    <m/>
    <m/>
    <m/>
    <m/>
    <m/>
    <m/>
    <m/>
    <m/>
    <n v="0"/>
    <n v="0"/>
    <m/>
    <m/>
    <m/>
    <m/>
    <m/>
    <m/>
    <m/>
    <m/>
    <m/>
    <m/>
    <m/>
    <m/>
    <m/>
    <n v="0"/>
    <n v="0"/>
    <m/>
    <n v="5"/>
    <m/>
    <m/>
    <m/>
    <m/>
    <m/>
    <m/>
    <m/>
    <m/>
    <m/>
    <m/>
    <m/>
    <n v="5"/>
    <n v="79650"/>
    <m/>
    <m/>
    <m/>
    <m/>
    <m/>
    <m/>
    <m/>
    <m/>
    <m/>
    <m/>
    <m/>
    <m/>
    <m/>
    <n v="0"/>
    <n v="0"/>
    <m/>
    <m/>
    <m/>
    <m/>
    <m/>
    <m/>
    <m/>
    <m/>
    <m/>
    <m/>
    <m/>
    <m/>
    <m/>
    <n v="0"/>
    <n v="0"/>
    <n v="0"/>
    <n v="5"/>
    <n v="79650"/>
  </r>
  <r>
    <m/>
    <s v="К"/>
    <x v="0"/>
    <x v="5"/>
    <x v="3"/>
    <x v="5"/>
    <s v="ДИТ"/>
    <n v="21520"/>
    <m/>
    <m/>
    <n v="0"/>
    <m/>
    <m/>
    <m/>
    <m/>
    <m/>
    <m/>
    <m/>
    <m/>
    <m/>
    <m/>
    <m/>
    <m/>
    <m/>
    <n v="0"/>
    <n v="0"/>
    <m/>
    <m/>
    <m/>
    <m/>
    <m/>
    <m/>
    <m/>
    <m/>
    <m/>
    <m/>
    <m/>
    <m/>
    <m/>
    <n v="0"/>
    <n v="0"/>
    <m/>
    <m/>
    <m/>
    <m/>
    <m/>
    <m/>
    <m/>
    <m/>
    <m/>
    <m/>
    <m/>
    <m/>
    <m/>
    <n v="0"/>
    <n v="0"/>
    <m/>
    <m/>
    <m/>
    <m/>
    <m/>
    <m/>
    <m/>
    <m/>
    <m/>
    <m/>
    <m/>
    <m/>
    <m/>
    <n v="0"/>
    <n v="0"/>
    <m/>
    <m/>
    <m/>
    <m/>
    <m/>
    <m/>
    <m/>
    <m/>
    <m/>
    <m/>
    <m/>
    <m/>
    <m/>
    <n v="0"/>
    <n v="0"/>
    <n v="0"/>
    <n v="0"/>
    <n v="0"/>
  </r>
  <r>
    <m/>
    <s v="К"/>
    <x v="0"/>
    <x v="8"/>
    <x v="4"/>
    <x v="10"/>
    <s v="ДИТ"/>
    <n v="6980"/>
    <m/>
    <m/>
    <n v="0"/>
    <m/>
    <m/>
    <m/>
    <m/>
    <m/>
    <m/>
    <m/>
    <m/>
    <m/>
    <m/>
    <m/>
    <m/>
    <m/>
    <n v="0"/>
    <n v="0"/>
    <m/>
    <m/>
    <m/>
    <m/>
    <m/>
    <m/>
    <m/>
    <m/>
    <n v="20"/>
    <n v="20"/>
    <m/>
    <m/>
    <m/>
    <n v="40"/>
    <n v="279200"/>
    <m/>
    <m/>
    <m/>
    <m/>
    <m/>
    <m/>
    <m/>
    <m/>
    <m/>
    <m/>
    <m/>
    <m/>
    <m/>
    <n v="0"/>
    <n v="0"/>
    <m/>
    <m/>
    <m/>
    <m/>
    <m/>
    <m/>
    <m/>
    <m/>
    <m/>
    <m/>
    <m/>
    <m/>
    <m/>
    <n v="0"/>
    <n v="0"/>
    <m/>
    <m/>
    <m/>
    <m/>
    <m/>
    <m/>
    <m/>
    <m/>
    <m/>
    <m/>
    <m/>
    <m/>
    <m/>
    <n v="0"/>
    <n v="0"/>
    <n v="0"/>
    <n v="40"/>
    <n v="279200"/>
  </r>
  <r>
    <m/>
    <s v="К"/>
    <x v="0"/>
    <x v="8"/>
    <x v="4"/>
    <x v="11"/>
    <s v="ДИТ"/>
    <n v="6980"/>
    <m/>
    <m/>
    <n v="0"/>
    <m/>
    <m/>
    <m/>
    <m/>
    <m/>
    <m/>
    <m/>
    <m/>
    <m/>
    <m/>
    <m/>
    <m/>
    <m/>
    <n v="0"/>
    <n v="0"/>
    <m/>
    <m/>
    <m/>
    <m/>
    <m/>
    <m/>
    <m/>
    <m/>
    <n v="20"/>
    <n v="20"/>
    <m/>
    <m/>
    <m/>
    <n v="40"/>
    <n v="279200"/>
    <m/>
    <m/>
    <m/>
    <m/>
    <m/>
    <m/>
    <m/>
    <m/>
    <m/>
    <m/>
    <m/>
    <m/>
    <m/>
    <n v="0"/>
    <n v="0"/>
    <m/>
    <m/>
    <m/>
    <m/>
    <m/>
    <m/>
    <m/>
    <m/>
    <m/>
    <m/>
    <m/>
    <m/>
    <m/>
    <n v="0"/>
    <n v="0"/>
    <m/>
    <m/>
    <m/>
    <m/>
    <m/>
    <m/>
    <m/>
    <m/>
    <m/>
    <m/>
    <m/>
    <m/>
    <m/>
    <n v="0"/>
    <n v="0"/>
    <n v="0"/>
    <n v="40"/>
    <n v="279200"/>
  </r>
  <r>
    <s v="Выполняются работы по получению ЭЦП, подключению аккаунтов на стороне оператора ЭДО, регистрация пользователей в ФНС"/>
    <s v="К"/>
    <x v="0"/>
    <x v="8"/>
    <x v="4"/>
    <x v="10"/>
    <s v="ДИТ"/>
    <n v="6980"/>
    <m/>
    <m/>
    <n v="0"/>
    <m/>
    <m/>
    <m/>
    <m/>
    <m/>
    <m/>
    <m/>
    <m/>
    <m/>
    <m/>
    <m/>
    <m/>
    <m/>
    <n v="0"/>
    <n v="0"/>
    <m/>
    <m/>
    <m/>
    <m/>
    <m/>
    <m/>
    <m/>
    <m/>
    <m/>
    <n v="3"/>
    <m/>
    <m/>
    <m/>
    <n v="3"/>
    <n v="20940"/>
    <m/>
    <n v="4"/>
    <m/>
    <m/>
    <m/>
    <m/>
    <m/>
    <m/>
    <m/>
    <m/>
    <m/>
    <m/>
    <m/>
    <n v="4"/>
    <n v="27920"/>
    <m/>
    <m/>
    <m/>
    <m/>
    <m/>
    <m/>
    <m/>
    <m/>
    <m/>
    <m/>
    <m/>
    <m/>
    <m/>
    <n v="0"/>
    <n v="0"/>
    <m/>
    <m/>
    <m/>
    <m/>
    <m/>
    <m/>
    <m/>
    <m/>
    <m/>
    <m/>
    <m/>
    <m/>
    <m/>
    <n v="0"/>
    <n v="0"/>
    <n v="0"/>
    <n v="7"/>
    <n v="48860"/>
  </r>
  <r>
    <m/>
    <s v="К"/>
    <x v="0"/>
    <x v="4"/>
    <x v="1"/>
    <x v="7"/>
    <s v="ДИТ"/>
    <n v="15930"/>
    <m/>
    <m/>
    <n v="0"/>
    <m/>
    <m/>
    <m/>
    <m/>
    <m/>
    <m/>
    <m/>
    <m/>
    <m/>
    <m/>
    <m/>
    <m/>
    <m/>
    <n v="0"/>
    <n v="0"/>
    <m/>
    <m/>
    <m/>
    <m/>
    <m/>
    <m/>
    <m/>
    <m/>
    <m/>
    <n v="2"/>
    <m/>
    <m/>
    <m/>
    <n v="2"/>
    <n v="31860"/>
    <m/>
    <n v="3"/>
    <m/>
    <m/>
    <m/>
    <n v="2"/>
    <n v="2"/>
    <n v="2"/>
    <n v="2"/>
    <m/>
    <m/>
    <m/>
    <m/>
    <n v="11"/>
    <n v="175230"/>
    <m/>
    <m/>
    <m/>
    <m/>
    <m/>
    <m/>
    <m/>
    <m/>
    <m/>
    <m/>
    <m/>
    <m/>
    <m/>
    <n v="0"/>
    <n v="0"/>
    <n v="2"/>
    <m/>
    <m/>
    <m/>
    <m/>
    <m/>
    <m/>
    <m/>
    <m/>
    <m/>
    <m/>
    <m/>
    <m/>
    <n v="2"/>
    <n v="31860"/>
    <n v="0"/>
    <n v="15"/>
    <n v="238950"/>
  </r>
  <r>
    <s v="Выполняются работы по получению ЭЦП, подключению аккаунтов на стороне оператора ЭДО, регистрация пользователей в ФНС"/>
    <s v="К"/>
    <x v="0"/>
    <x v="8"/>
    <x v="4"/>
    <x v="11"/>
    <s v="ДИТ"/>
    <n v="6980"/>
    <m/>
    <m/>
    <n v="0"/>
    <m/>
    <m/>
    <m/>
    <m/>
    <m/>
    <m/>
    <m/>
    <m/>
    <m/>
    <m/>
    <m/>
    <m/>
    <m/>
    <n v="0"/>
    <n v="0"/>
    <m/>
    <m/>
    <m/>
    <m/>
    <m/>
    <m/>
    <m/>
    <m/>
    <m/>
    <n v="3"/>
    <m/>
    <m/>
    <m/>
    <n v="3"/>
    <n v="20940"/>
    <m/>
    <n v="4"/>
    <m/>
    <m/>
    <m/>
    <m/>
    <m/>
    <m/>
    <m/>
    <m/>
    <m/>
    <m/>
    <m/>
    <n v="4"/>
    <n v="27920"/>
    <m/>
    <m/>
    <m/>
    <m/>
    <m/>
    <m/>
    <m/>
    <m/>
    <m/>
    <m/>
    <m/>
    <m/>
    <m/>
    <n v="0"/>
    <n v="0"/>
    <m/>
    <m/>
    <m/>
    <m/>
    <m/>
    <m/>
    <m/>
    <m/>
    <m/>
    <m/>
    <m/>
    <m/>
    <m/>
    <n v="0"/>
    <n v="0"/>
    <n v="0"/>
    <n v="7"/>
    <n v="48860"/>
  </r>
  <r>
    <m/>
    <s v="К"/>
    <x v="0"/>
    <x v="4"/>
    <x v="1"/>
    <x v="8"/>
    <s v="ДИТ"/>
    <n v="15930"/>
    <m/>
    <m/>
    <n v="0"/>
    <m/>
    <m/>
    <m/>
    <m/>
    <m/>
    <m/>
    <m/>
    <m/>
    <m/>
    <m/>
    <m/>
    <m/>
    <m/>
    <n v="0"/>
    <n v="0"/>
    <m/>
    <m/>
    <m/>
    <m/>
    <m/>
    <m/>
    <m/>
    <m/>
    <m/>
    <m/>
    <m/>
    <m/>
    <m/>
    <n v="0"/>
    <n v="0"/>
    <m/>
    <m/>
    <n v="10"/>
    <n v="7"/>
    <n v="16"/>
    <n v="14"/>
    <n v="13"/>
    <n v="22"/>
    <n v="11"/>
    <n v="13"/>
    <m/>
    <m/>
    <m/>
    <n v="106"/>
    <n v="1688580"/>
    <m/>
    <m/>
    <m/>
    <m/>
    <m/>
    <m/>
    <m/>
    <m/>
    <m/>
    <m/>
    <m/>
    <m/>
    <m/>
    <n v="0"/>
    <n v="0"/>
    <m/>
    <m/>
    <m/>
    <m/>
    <m/>
    <m/>
    <m/>
    <m/>
    <m/>
    <m/>
    <m/>
    <m/>
    <m/>
    <n v="0"/>
    <n v="0"/>
    <n v="0"/>
    <n v="106"/>
    <n v="1688580"/>
  </r>
  <r>
    <m/>
    <s v="К"/>
    <x v="0"/>
    <x v="4"/>
    <x v="1"/>
    <x v="9"/>
    <s v="ДИТ"/>
    <n v="15930"/>
    <m/>
    <m/>
    <n v="0"/>
    <m/>
    <m/>
    <m/>
    <m/>
    <m/>
    <m/>
    <m/>
    <m/>
    <m/>
    <m/>
    <m/>
    <m/>
    <m/>
    <n v="0"/>
    <n v="0"/>
    <m/>
    <m/>
    <m/>
    <m/>
    <m/>
    <m/>
    <m/>
    <m/>
    <m/>
    <m/>
    <m/>
    <m/>
    <m/>
    <n v="0"/>
    <n v="0"/>
    <m/>
    <m/>
    <n v="10"/>
    <n v="7"/>
    <n v="16"/>
    <n v="14"/>
    <n v="13"/>
    <n v="22"/>
    <n v="11"/>
    <n v="13"/>
    <m/>
    <m/>
    <m/>
    <n v="106"/>
    <n v="1688580"/>
    <m/>
    <m/>
    <m/>
    <m/>
    <m/>
    <m/>
    <m/>
    <m/>
    <m/>
    <m/>
    <m/>
    <m/>
    <m/>
    <n v="0"/>
    <n v="0"/>
    <m/>
    <m/>
    <m/>
    <m/>
    <m/>
    <m/>
    <m/>
    <m/>
    <m/>
    <m/>
    <m/>
    <m/>
    <m/>
    <n v="0"/>
    <n v="0"/>
    <n v="0"/>
    <n v="106"/>
    <n v="1688580"/>
  </r>
  <r>
    <m/>
    <s v="К"/>
    <x v="0"/>
    <x v="4"/>
    <x v="3"/>
    <x v="4"/>
    <s v="ДИТ"/>
    <n v="21520"/>
    <m/>
    <m/>
    <n v="0"/>
    <m/>
    <m/>
    <m/>
    <m/>
    <m/>
    <m/>
    <m/>
    <m/>
    <m/>
    <m/>
    <m/>
    <m/>
    <m/>
    <n v="0"/>
    <n v="0"/>
    <m/>
    <m/>
    <m/>
    <m/>
    <m/>
    <m/>
    <m/>
    <m/>
    <m/>
    <m/>
    <m/>
    <m/>
    <m/>
    <n v="0"/>
    <n v="0"/>
    <m/>
    <m/>
    <n v="5"/>
    <m/>
    <m/>
    <m/>
    <n v="5"/>
    <m/>
    <m/>
    <m/>
    <m/>
    <m/>
    <m/>
    <n v="10"/>
    <n v="215200"/>
    <m/>
    <m/>
    <m/>
    <m/>
    <m/>
    <m/>
    <m/>
    <m/>
    <m/>
    <m/>
    <m/>
    <m/>
    <m/>
    <n v="0"/>
    <n v="0"/>
    <m/>
    <m/>
    <m/>
    <m/>
    <m/>
    <m/>
    <m/>
    <m/>
    <m/>
    <m/>
    <m/>
    <m/>
    <m/>
    <n v="0"/>
    <n v="0"/>
    <n v="0"/>
    <n v="10"/>
    <n v="215200"/>
  </r>
  <r>
    <s v="Проведение технического тестирования"/>
    <s v="К"/>
    <x v="0"/>
    <x v="8"/>
    <x v="4"/>
    <x v="10"/>
    <s v="ДИТ"/>
    <n v="6980"/>
    <m/>
    <m/>
    <n v="0"/>
    <m/>
    <m/>
    <m/>
    <m/>
    <m/>
    <m/>
    <m/>
    <m/>
    <m/>
    <m/>
    <m/>
    <m/>
    <m/>
    <n v="0"/>
    <n v="0"/>
    <m/>
    <m/>
    <m/>
    <m/>
    <m/>
    <m/>
    <m/>
    <m/>
    <m/>
    <m/>
    <n v="10"/>
    <n v="5"/>
    <m/>
    <n v="15"/>
    <n v="104700"/>
    <n v="12"/>
    <n v="10"/>
    <m/>
    <m/>
    <m/>
    <m/>
    <m/>
    <m/>
    <m/>
    <m/>
    <m/>
    <m/>
    <m/>
    <n v="22"/>
    <n v="153560"/>
    <m/>
    <m/>
    <m/>
    <m/>
    <m/>
    <m/>
    <m/>
    <m/>
    <m/>
    <m/>
    <m/>
    <m/>
    <m/>
    <n v="0"/>
    <n v="0"/>
    <m/>
    <m/>
    <m/>
    <m/>
    <m/>
    <m/>
    <m/>
    <m/>
    <m/>
    <m/>
    <m/>
    <m/>
    <m/>
    <n v="0"/>
    <n v="0"/>
    <n v="0"/>
    <n v="37"/>
    <n v="258260"/>
  </r>
  <r>
    <s v="Проведение технического тестирования"/>
    <s v="К"/>
    <x v="0"/>
    <x v="8"/>
    <x v="4"/>
    <x v="11"/>
    <s v="ДИТ"/>
    <n v="6980"/>
    <m/>
    <m/>
    <n v="0"/>
    <m/>
    <m/>
    <m/>
    <m/>
    <m/>
    <m/>
    <m/>
    <m/>
    <m/>
    <m/>
    <m/>
    <m/>
    <m/>
    <n v="0"/>
    <n v="0"/>
    <m/>
    <m/>
    <m/>
    <m/>
    <m/>
    <m/>
    <m/>
    <m/>
    <m/>
    <m/>
    <n v="10"/>
    <n v="5"/>
    <m/>
    <n v="15"/>
    <n v="104700"/>
    <n v="12"/>
    <n v="10"/>
    <m/>
    <m/>
    <m/>
    <m/>
    <m/>
    <m/>
    <m/>
    <m/>
    <m/>
    <m/>
    <m/>
    <n v="22"/>
    <n v="153560"/>
    <m/>
    <m/>
    <m/>
    <m/>
    <m/>
    <m/>
    <m/>
    <m/>
    <m/>
    <m/>
    <m/>
    <m/>
    <m/>
    <n v="0"/>
    <n v="0"/>
    <m/>
    <m/>
    <m/>
    <m/>
    <m/>
    <m/>
    <m/>
    <m/>
    <m/>
    <m/>
    <m/>
    <m/>
    <m/>
    <n v="0"/>
    <n v="0"/>
    <n v="0"/>
    <n v="37"/>
    <n v="25826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4"/>
    <x v="1"/>
    <x v="8"/>
    <s v="ДИТ"/>
    <n v="15930"/>
    <m/>
    <m/>
    <n v="0"/>
    <m/>
    <m/>
    <m/>
    <m/>
    <m/>
    <m/>
    <m/>
    <m/>
    <m/>
    <m/>
    <m/>
    <m/>
    <m/>
    <n v="0"/>
    <n v="0"/>
    <m/>
    <m/>
    <m/>
    <m/>
    <m/>
    <m/>
    <m/>
    <m/>
    <m/>
    <m/>
    <m/>
    <m/>
    <m/>
    <n v="0"/>
    <n v="0"/>
    <n v="5"/>
    <n v="3"/>
    <m/>
    <m/>
    <m/>
    <m/>
    <m/>
    <m/>
    <m/>
    <m/>
    <m/>
    <m/>
    <m/>
    <n v="8"/>
    <n v="127440"/>
    <m/>
    <m/>
    <m/>
    <m/>
    <m/>
    <m/>
    <m/>
    <m/>
    <m/>
    <m/>
    <m/>
    <m/>
    <m/>
    <n v="0"/>
    <n v="0"/>
    <m/>
    <m/>
    <m/>
    <m/>
    <m/>
    <m/>
    <m/>
    <m/>
    <m/>
    <m/>
    <m/>
    <m/>
    <m/>
    <n v="0"/>
    <n v="0"/>
    <n v="0"/>
    <n v="8"/>
    <n v="127440"/>
  </r>
  <r>
    <m/>
    <s v="К"/>
    <x v="0"/>
    <x v="4"/>
    <x v="1"/>
    <x v="9"/>
    <s v="ДИТ"/>
    <n v="15930"/>
    <m/>
    <m/>
    <n v="0"/>
    <m/>
    <m/>
    <m/>
    <m/>
    <m/>
    <m/>
    <m/>
    <m/>
    <m/>
    <m/>
    <m/>
    <m/>
    <m/>
    <n v="0"/>
    <n v="0"/>
    <m/>
    <m/>
    <m/>
    <m/>
    <m/>
    <m/>
    <m/>
    <m/>
    <m/>
    <m/>
    <m/>
    <m/>
    <m/>
    <n v="0"/>
    <n v="0"/>
    <n v="7"/>
    <n v="3"/>
    <m/>
    <m/>
    <m/>
    <m/>
    <m/>
    <m/>
    <m/>
    <m/>
    <m/>
    <m/>
    <m/>
    <n v="10"/>
    <n v="159300"/>
    <m/>
    <m/>
    <m/>
    <m/>
    <m/>
    <m/>
    <m/>
    <m/>
    <m/>
    <m/>
    <m/>
    <m/>
    <m/>
    <n v="0"/>
    <n v="0"/>
    <m/>
    <m/>
    <m/>
    <m/>
    <m/>
    <m/>
    <m/>
    <m/>
    <m/>
    <m/>
    <m/>
    <m/>
    <m/>
    <n v="0"/>
    <n v="0"/>
    <n v="0"/>
    <n v="10"/>
    <n v="159300"/>
  </r>
  <r>
    <s v="Посмотреть АКТ-ы"/>
    <s v="К"/>
    <x v="0"/>
    <x v="4"/>
    <x v="1"/>
    <x v="8"/>
    <s v="ДИТ"/>
    <n v="15930"/>
    <m/>
    <m/>
    <n v="0"/>
    <m/>
    <m/>
    <m/>
    <m/>
    <m/>
    <m/>
    <m/>
    <m/>
    <m/>
    <m/>
    <m/>
    <m/>
    <m/>
    <n v="0"/>
    <n v="0"/>
    <m/>
    <m/>
    <m/>
    <m/>
    <m/>
    <m/>
    <m/>
    <m/>
    <m/>
    <m/>
    <n v="8"/>
    <n v="11"/>
    <m/>
    <n v="19"/>
    <n v="302670"/>
    <n v="5"/>
    <n v="4"/>
    <m/>
    <m/>
    <m/>
    <m/>
    <m/>
    <m/>
    <m/>
    <m/>
    <m/>
    <m/>
    <m/>
    <n v="9"/>
    <n v="143370"/>
    <m/>
    <m/>
    <m/>
    <m/>
    <m/>
    <m/>
    <m/>
    <m/>
    <m/>
    <m/>
    <m/>
    <m/>
    <m/>
    <n v="0"/>
    <n v="0"/>
    <m/>
    <m/>
    <m/>
    <m/>
    <m/>
    <m/>
    <m/>
    <m/>
    <m/>
    <m/>
    <m/>
    <m/>
    <m/>
    <n v="0"/>
    <n v="0"/>
    <n v="0"/>
    <n v="28"/>
    <n v="446040"/>
  </r>
  <r>
    <m/>
    <s v="К"/>
    <x v="0"/>
    <x v="4"/>
    <x v="1"/>
    <x v="9"/>
    <s v="ДИТ"/>
    <n v="15930"/>
    <m/>
    <m/>
    <n v="0"/>
    <m/>
    <m/>
    <m/>
    <m/>
    <m/>
    <m/>
    <m/>
    <m/>
    <m/>
    <m/>
    <m/>
    <m/>
    <m/>
    <n v="0"/>
    <n v="0"/>
    <m/>
    <m/>
    <m/>
    <m/>
    <m/>
    <m/>
    <m/>
    <m/>
    <m/>
    <m/>
    <n v="8"/>
    <n v="11"/>
    <m/>
    <n v="19"/>
    <n v="302670"/>
    <n v="5"/>
    <n v="3"/>
    <m/>
    <m/>
    <m/>
    <m/>
    <m/>
    <m/>
    <m/>
    <m/>
    <m/>
    <m/>
    <m/>
    <n v="8"/>
    <n v="127440"/>
    <m/>
    <m/>
    <m/>
    <m/>
    <m/>
    <m/>
    <m/>
    <m/>
    <m/>
    <m/>
    <m/>
    <m/>
    <m/>
    <n v="0"/>
    <n v="0"/>
    <m/>
    <m/>
    <m/>
    <m/>
    <m/>
    <m/>
    <m/>
    <m/>
    <m/>
    <m/>
    <m/>
    <m/>
    <m/>
    <n v="0"/>
    <n v="0"/>
    <n v="0"/>
    <n v="27"/>
    <n v="430110"/>
  </r>
  <r>
    <m/>
    <s v="К"/>
    <x v="0"/>
    <x v="8"/>
    <x v="4"/>
    <x v="10"/>
    <s v="ДИТ"/>
    <n v="6980"/>
    <m/>
    <m/>
    <n v="0"/>
    <m/>
    <m/>
    <m/>
    <m/>
    <m/>
    <m/>
    <m/>
    <m/>
    <m/>
    <m/>
    <m/>
    <m/>
    <m/>
    <n v="0"/>
    <n v="0"/>
    <m/>
    <m/>
    <m/>
    <m/>
    <m/>
    <m/>
    <m/>
    <m/>
    <m/>
    <m/>
    <n v="11"/>
    <n v="5"/>
    <m/>
    <n v="16"/>
    <n v="111680"/>
    <m/>
    <m/>
    <m/>
    <m/>
    <m/>
    <m/>
    <m/>
    <m/>
    <m/>
    <m/>
    <m/>
    <m/>
    <m/>
    <n v="0"/>
    <n v="0"/>
    <m/>
    <m/>
    <m/>
    <m/>
    <m/>
    <m/>
    <m/>
    <m/>
    <m/>
    <m/>
    <m/>
    <m/>
    <m/>
    <n v="0"/>
    <n v="0"/>
    <m/>
    <m/>
    <m/>
    <m/>
    <m/>
    <m/>
    <m/>
    <m/>
    <m/>
    <m/>
    <m/>
    <m/>
    <m/>
    <n v="0"/>
    <n v="0"/>
    <n v="0"/>
    <n v="16"/>
    <n v="111680"/>
  </r>
  <r>
    <m/>
    <s v="К"/>
    <x v="0"/>
    <x v="8"/>
    <x v="4"/>
    <x v="11"/>
    <s v="ДИТ"/>
    <n v="6980"/>
    <m/>
    <m/>
    <n v="0"/>
    <m/>
    <m/>
    <m/>
    <m/>
    <m/>
    <m/>
    <m/>
    <m/>
    <m/>
    <m/>
    <m/>
    <m/>
    <m/>
    <n v="0"/>
    <n v="0"/>
    <m/>
    <m/>
    <m/>
    <m/>
    <m/>
    <m/>
    <m/>
    <m/>
    <m/>
    <m/>
    <n v="11"/>
    <n v="5"/>
    <m/>
    <n v="16"/>
    <n v="111680"/>
    <m/>
    <m/>
    <m/>
    <m/>
    <m/>
    <m/>
    <m/>
    <m/>
    <m/>
    <m/>
    <m/>
    <m/>
    <m/>
    <n v="0"/>
    <n v="0"/>
    <m/>
    <m/>
    <m/>
    <m/>
    <m/>
    <m/>
    <m/>
    <m/>
    <m/>
    <m/>
    <m/>
    <m/>
    <m/>
    <n v="0"/>
    <n v="0"/>
    <m/>
    <m/>
    <m/>
    <m/>
    <m/>
    <m/>
    <m/>
    <m/>
    <m/>
    <m/>
    <m/>
    <m/>
    <m/>
    <n v="0"/>
    <n v="0"/>
    <n v="0"/>
    <n v="16"/>
    <n v="11168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s v="Регламент работы в разрабатываемой системе ЭДО _x000a_"/>
    <s v="К"/>
    <x v="0"/>
    <x v="0"/>
    <x v="0"/>
    <x v="0"/>
    <s v="ДИТ"/>
    <s v="нет данных"/>
    <m/>
    <m/>
    <n v="0"/>
    <m/>
    <m/>
    <m/>
    <m/>
    <m/>
    <m/>
    <m/>
    <m/>
    <m/>
    <m/>
    <m/>
    <m/>
    <m/>
    <n v="0"/>
    <n v="0"/>
    <m/>
    <m/>
    <m/>
    <m/>
    <m/>
    <m/>
    <m/>
    <m/>
    <m/>
    <m/>
    <m/>
    <m/>
    <m/>
    <n v="0"/>
    <n v="0"/>
    <m/>
    <m/>
    <m/>
    <m/>
    <m/>
    <m/>
    <m/>
    <m/>
    <m/>
    <m/>
    <m/>
    <m/>
    <m/>
    <n v="0"/>
    <n v="0"/>
    <m/>
    <m/>
    <m/>
    <m/>
    <m/>
    <m/>
    <m/>
    <m/>
    <m/>
    <m/>
    <m/>
    <m/>
    <m/>
    <n v="0"/>
    <n v="0"/>
    <m/>
    <m/>
    <m/>
    <m/>
    <m/>
    <m/>
    <m/>
    <m/>
    <m/>
    <m/>
    <m/>
    <m/>
    <m/>
    <n v="0"/>
    <n v="0"/>
    <n v="0"/>
    <n v="0"/>
    <n v="0"/>
  </r>
  <r>
    <s v="Регламент работы в разрабатываемой системе ЭДО _x000a_"/>
    <s v="К"/>
    <x v="0"/>
    <x v="4"/>
    <x v="1"/>
    <x v="9"/>
    <s v="ДИТ"/>
    <n v="15930"/>
    <m/>
    <m/>
    <n v="0"/>
    <m/>
    <m/>
    <m/>
    <m/>
    <m/>
    <m/>
    <m/>
    <m/>
    <m/>
    <m/>
    <m/>
    <m/>
    <m/>
    <n v="0"/>
    <n v="0"/>
    <m/>
    <m/>
    <m/>
    <m/>
    <m/>
    <m/>
    <m/>
    <n v="13"/>
    <n v="10"/>
    <m/>
    <m/>
    <m/>
    <m/>
    <n v="23"/>
    <n v="366390"/>
    <m/>
    <n v="4"/>
    <n v="5"/>
    <n v="5"/>
    <m/>
    <m/>
    <m/>
    <m/>
    <m/>
    <m/>
    <m/>
    <m/>
    <m/>
    <n v="14"/>
    <n v="223020"/>
    <m/>
    <m/>
    <m/>
    <m/>
    <m/>
    <m/>
    <m/>
    <m/>
    <m/>
    <m/>
    <m/>
    <m/>
    <m/>
    <n v="0"/>
    <n v="0"/>
    <m/>
    <m/>
    <m/>
    <m/>
    <m/>
    <m/>
    <m/>
    <m/>
    <m/>
    <m/>
    <m/>
    <m/>
    <m/>
    <n v="0"/>
    <n v="0"/>
    <n v="0"/>
    <n v="37"/>
    <n v="589410"/>
  </r>
  <r>
    <s v="Регламент работы в разрабатываемой системе ЭДО _x000a_"/>
    <s v="К"/>
    <x v="0"/>
    <x v="4"/>
    <x v="1"/>
    <x v="8"/>
    <s v="ДИТ"/>
    <n v="15930"/>
    <m/>
    <m/>
    <n v="0"/>
    <m/>
    <m/>
    <m/>
    <m/>
    <m/>
    <m/>
    <m/>
    <m/>
    <m/>
    <m/>
    <m/>
    <m/>
    <m/>
    <n v="0"/>
    <n v="0"/>
    <m/>
    <m/>
    <m/>
    <m/>
    <m/>
    <m/>
    <m/>
    <n v="13"/>
    <n v="10"/>
    <m/>
    <m/>
    <m/>
    <m/>
    <n v="23"/>
    <n v="366390"/>
    <m/>
    <n v="3"/>
    <n v="5"/>
    <n v="5"/>
    <m/>
    <m/>
    <m/>
    <m/>
    <m/>
    <m/>
    <m/>
    <m/>
    <m/>
    <n v="13"/>
    <n v="207090"/>
    <m/>
    <m/>
    <m/>
    <m/>
    <m/>
    <m/>
    <m/>
    <m/>
    <m/>
    <m/>
    <m/>
    <m/>
    <m/>
    <n v="0"/>
    <n v="0"/>
    <m/>
    <m/>
    <m/>
    <m/>
    <m/>
    <m/>
    <m/>
    <m/>
    <m/>
    <m/>
    <m/>
    <m/>
    <m/>
    <n v="0"/>
    <n v="0"/>
    <n v="0"/>
    <n v="36"/>
    <n v="573480"/>
  </r>
  <r>
    <m/>
    <s v="К"/>
    <x v="0"/>
    <x v="5"/>
    <x v="3"/>
    <x v="5"/>
    <s v="ДИТ"/>
    <n v="21520"/>
    <m/>
    <m/>
    <n v="0"/>
    <m/>
    <m/>
    <m/>
    <m/>
    <m/>
    <m/>
    <m/>
    <m/>
    <m/>
    <m/>
    <m/>
    <m/>
    <m/>
    <n v="0"/>
    <n v="0"/>
    <m/>
    <m/>
    <m/>
    <m/>
    <m/>
    <m/>
    <m/>
    <m/>
    <n v="10"/>
    <n v="10"/>
    <m/>
    <m/>
    <m/>
    <n v="20"/>
    <n v="430400"/>
    <m/>
    <m/>
    <m/>
    <m/>
    <m/>
    <m/>
    <m/>
    <m/>
    <m/>
    <m/>
    <m/>
    <m/>
    <m/>
    <n v="0"/>
    <n v="0"/>
    <m/>
    <m/>
    <m/>
    <m/>
    <m/>
    <m/>
    <m/>
    <m/>
    <m/>
    <m/>
    <m/>
    <m/>
    <m/>
    <n v="0"/>
    <n v="0"/>
    <m/>
    <m/>
    <m/>
    <m/>
    <m/>
    <m/>
    <m/>
    <m/>
    <m/>
    <m/>
    <m/>
    <m/>
    <m/>
    <n v="0"/>
    <n v="0"/>
    <n v="0"/>
    <n v="20"/>
    <n v="430400"/>
  </r>
  <r>
    <m/>
    <s v="К"/>
    <x v="0"/>
    <x v="4"/>
    <x v="1"/>
    <x v="9"/>
    <s v="ДИТ"/>
    <n v="15930"/>
    <m/>
    <m/>
    <n v="0"/>
    <m/>
    <m/>
    <m/>
    <m/>
    <m/>
    <m/>
    <m/>
    <m/>
    <m/>
    <m/>
    <m/>
    <m/>
    <m/>
    <n v="0"/>
    <n v="0"/>
    <m/>
    <m/>
    <m/>
    <m/>
    <m/>
    <m/>
    <m/>
    <m/>
    <n v="5"/>
    <n v="10"/>
    <m/>
    <m/>
    <m/>
    <n v="15"/>
    <n v="238950"/>
    <m/>
    <m/>
    <m/>
    <m/>
    <m/>
    <m/>
    <m/>
    <m/>
    <m/>
    <m/>
    <m/>
    <m/>
    <m/>
    <n v="0"/>
    <n v="0"/>
    <m/>
    <m/>
    <m/>
    <m/>
    <m/>
    <m/>
    <m/>
    <m/>
    <m/>
    <m/>
    <m/>
    <m/>
    <m/>
    <n v="0"/>
    <n v="0"/>
    <m/>
    <m/>
    <m/>
    <m/>
    <m/>
    <m/>
    <m/>
    <m/>
    <m/>
    <m/>
    <m/>
    <m/>
    <m/>
    <n v="0"/>
    <n v="0"/>
    <n v="0"/>
    <n v="15"/>
    <n v="238950"/>
  </r>
  <r>
    <m/>
    <s v="К"/>
    <x v="0"/>
    <x v="4"/>
    <x v="1"/>
    <x v="8"/>
    <s v="ДИТ"/>
    <n v="15930"/>
    <m/>
    <m/>
    <n v="0"/>
    <m/>
    <m/>
    <m/>
    <m/>
    <m/>
    <m/>
    <m/>
    <m/>
    <m/>
    <m/>
    <m/>
    <m/>
    <m/>
    <n v="0"/>
    <n v="0"/>
    <m/>
    <m/>
    <m/>
    <m/>
    <m/>
    <m/>
    <m/>
    <m/>
    <n v="5"/>
    <n v="10"/>
    <m/>
    <m/>
    <m/>
    <n v="15"/>
    <n v="238950"/>
    <m/>
    <m/>
    <m/>
    <m/>
    <m/>
    <m/>
    <m/>
    <m/>
    <m/>
    <m/>
    <m/>
    <m/>
    <m/>
    <n v="0"/>
    <n v="0"/>
    <m/>
    <m/>
    <m/>
    <m/>
    <m/>
    <m/>
    <m/>
    <m/>
    <m/>
    <m/>
    <m/>
    <m/>
    <m/>
    <n v="0"/>
    <n v="0"/>
    <m/>
    <m/>
    <m/>
    <m/>
    <m/>
    <m/>
    <m/>
    <m/>
    <m/>
    <m/>
    <m/>
    <m/>
    <m/>
    <n v="0"/>
    <n v="0"/>
    <n v="0"/>
    <n v="15"/>
    <n v="23895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s v="Возможно опекс по системному ПО"/>
    <s v="К"/>
    <x v="0"/>
    <x v="4"/>
    <x v="1"/>
    <x v="8"/>
    <s v="ДИТ"/>
    <n v="15930"/>
    <m/>
    <m/>
    <n v="0"/>
    <m/>
    <m/>
    <m/>
    <m/>
    <m/>
    <m/>
    <m/>
    <m/>
    <m/>
    <m/>
    <m/>
    <m/>
    <m/>
    <n v="0"/>
    <n v="0"/>
    <m/>
    <m/>
    <m/>
    <n v="6"/>
    <m/>
    <m/>
    <m/>
    <m/>
    <m/>
    <m/>
    <n v="3"/>
    <m/>
    <m/>
    <n v="9"/>
    <n v="143370"/>
    <m/>
    <m/>
    <m/>
    <n v="5"/>
    <m/>
    <m/>
    <m/>
    <m/>
    <m/>
    <m/>
    <m/>
    <m/>
    <m/>
    <n v="5"/>
    <n v="79650"/>
    <m/>
    <m/>
    <m/>
    <m/>
    <m/>
    <m/>
    <m/>
    <m/>
    <m/>
    <m/>
    <m/>
    <m/>
    <m/>
    <n v="0"/>
    <n v="0"/>
    <m/>
    <m/>
    <m/>
    <m/>
    <m/>
    <m/>
    <m/>
    <m/>
    <m/>
    <m/>
    <m/>
    <m/>
    <m/>
    <n v="0"/>
    <n v="0"/>
    <n v="0"/>
    <n v="14"/>
    <n v="223020"/>
  </r>
  <r>
    <s v="Возможно опекс по системному ПО"/>
    <s v="К"/>
    <x v="0"/>
    <x v="4"/>
    <x v="1"/>
    <x v="9"/>
    <s v="ДИТ"/>
    <n v="15930"/>
    <m/>
    <m/>
    <n v="0"/>
    <m/>
    <m/>
    <m/>
    <m/>
    <m/>
    <m/>
    <m/>
    <m/>
    <m/>
    <m/>
    <m/>
    <m/>
    <m/>
    <n v="0"/>
    <n v="0"/>
    <m/>
    <m/>
    <m/>
    <n v="6"/>
    <m/>
    <m/>
    <m/>
    <m/>
    <m/>
    <m/>
    <n v="3"/>
    <m/>
    <m/>
    <n v="9"/>
    <n v="143370"/>
    <m/>
    <m/>
    <m/>
    <n v="5"/>
    <m/>
    <m/>
    <m/>
    <m/>
    <m/>
    <m/>
    <m/>
    <m/>
    <m/>
    <n v="5"/>
    <n v="79650"/>
    <m/>
    <m/>
    <m/>
    <m/>
    <m/>
    <m/>
    <m/>
    <m/>
    <m/>
    <m/>
    <m/>
    <m/>
    <m/>
    <n v="0"/>
    <n v="0"/>
    <m/>
    <m/>
    <m/>
    <m/>
    <m/>
    <m/>
    <m/>
    <m/>
    <m/>
    <m/>
    <m/>
    <m/>
    <m/>
    <n v="0"/>
    <n v="0"/>
    <n v="0"/>
    <n v="14"/>
    <n v="223020"/>
  </r>
  <r>
    <m/>
    <s v="К"/>
    <x v="0"/>
    <x v="4"/>
    <x v="1"/>
    <x v="8"/>
    <s v="ДИТ"/>
    <n v="15930"/>
    <m/>
    <m/>
    <n v="0"/>
    <m/>
    <m/>
    <m/>
    <m/>
    <m/>
    <m/>
    <m/>
    <m/>
    <m/>
    <m/>
    <m/>
    <m/>
    <m/>
    <n v="0"/>
    <n v="0"/>
    <m/>
    <m/>
    <n v="10"/>
    <m/>
    <m/>
    <m/>
    <m/>
    <m/>
    <m/>
    <m/>
    <m/>
    <m/>
    <m/>
    <n v="10"/>
    <n v="159300"/>
    <m/>
    <m/>
    <m/>
    <m/>
    <m/>
    <m/>
    <m/>
    <m/>
    <m/>
    <m/>
    <m/>
    <m/>
    <m/>
    <n v="0"/>
    <n v="0"/>
    <m/>
    <m/>
    <m/>
    <m/>
    <m/>
    <m/>
    <m/>
    <m/>
    <m/>
    <m/>
    <m/>
    <m/>
    <m/>
    <n v="0"/>
    <n v="0"/>
    <m/>
    <m/>
    <m/>
    <m/>
    <m/>
    <m/>
    <m/>
    <m/>
    <m/>
    <m/>
    <m/>
    <m/>
    <m/>
    <n v="0"/>
    <n v="0"/>
    <n v="0"/>
    <n v="10"/>
    <n v="159300"/>
  </r>
  <r>
    <m/>
    <s v="К"/>
    <x v="0"/>
    <x v="4"/>
    <x v="1"/>
    <x v="9"/>
    <s v="ДИТ"/>
    <n v="15930"/>
    <m/>
    <m/>
    <n v="0"/>
    <m/>
    <m/>
    <m/>
    <m/>
    <m/>
    <m/>
    <m/>
    <m/>
    <m/>
    <m/>
    <m/>
    <m/>
    <m/>
    <n v="0"/>
    <n v="0"/>
    <m/>
    <m/>
    <n v="10"/>
    <m/>
    <m/>
    <m/>
    <m/>
    <m/>
    <m/>
    <m/>
    <m/>
    <m/>
    <m/>
    <n v="10"/>
    <n v="159300"/>
    <m/>
    <m/>
    <m/>
    <m/>
    <m/>
    <m/>
    <m/>
    <m/>
    <m/>
    <m/>
    <m/>
    <m/>
    <m/>
    <n v="0"/>
    <n v="0"/>
    <m/>
    <m/>
    <m/>
    <m/>
    <m/>
    <m/>
    <m/>
    <m/>
    <m/>
    <m/>
    <m/>
    <m/>
    <m/>
    <n v="0"/>
    <n v="0"/>
    <m/>
    <m/>
    <m/>
    <m/>
    <m/>
    <m/>
    <m/>
    <m/>
    <m/>
    <m/>
    <m/>
    <m/>
    <m/>
    <n v="0"/>
    <n v="0"/>
    <n v="0"/>
    <n v="10"/>
    <n v="159300"/>
  </r>
  <r>
    <m/>
    <s v="К"/>
    <x v="0"/>
    <x v="9"/>
    <x v="5"/>
    <x v="12"/>
    <s v="ДИТ"/>
    <n v="9050"/>
    <m/>
    <m/>
    <n v="0"/>
    <m/>
    <m/>
    <m/>
    <m/>
    <m/>
    <m/>
    <m/>
    <m/>
    <m/>
    <m/>
    <m/>
    <m/>
    <m/>
    <n v="0"/>
    <n v="0"/>
    <m/>
    <n v="5"/>
    <n v="10"/>
    <m/>
    <m/>
    <m/>
    <m/>
    <m/>
    <m/>
    <m/>
    <m/>
    <m/>
    <m/>
    <n v="15"/>
    <n v="135750"/>
    <m/>
    <m/>
    <m/>
    <m/>
    <m/>
    <m/>
    <m/>
    <m/>
    <m/>
    <m/>
    <m/>
    <m/>
    <m/>
    <n v="0"/>
    <n v="0"/>
    <m/>
    <m/>
    <m/>
    <m/>
    <m/>
    <m/>
    <m/>
    <m/>
    <m/>
    <m/>
    <m/>
    <m/>
    <m/>
    <n v="0"/>
    <n v="0"/>
    <m/>
    <m/>
    <m/>
    <m/>
    <m/>
    <m/>
    <m/>
    <m/>
    <m/>
    <m/>
    <m/>
    <m/>
    <m/>
    <n v="0"/>
    <n v="0"/>
    <n v="0"/>
    <n v="15"/>
    <n v="13575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4"/>
    <x v="1"/>
    <x v="9"/>
    <s v="ДИТ"/>
    <n v="15930"/>
    <m/>
    <m/>
    <n v="0"/>
    <m/>
    <m/>
    <m/>
    <m/>
    <m/>
    <m/>
    <m/>
    <m/>
    <m/>
    <m/>
    <m/>
    <m/>
    <m/>
    <n v="0"/>
    <n v="0"/>
    <m/>
    <m/>
    <n v="10"/>
    <n v="15"/>
    <m/>
    <m/>
    <m/>
    <m/>
    <m/>
    <m/>
    <m/>
    <m/>
    <m/>
    <n v="25"/>
    <n v="398250"/>
    <m/>
    <m/>
    <m/>
    <m/>
    <m/>
    <m/>
    <m/>
    <m/>
    <m/>
    <m/>
    <m/>
    <m/>
    <m/>
    <n v="0"/>
    <n v="0"/>
    <m/>
    <m/>
    <m/>
    <m/>
    <m/>
    <m/>
    <m/>
    <m/>
    <m/>
    <m/>
    <m/>
    <m/>
    <m/>
    <n v="0"/>
    <n v="0"/>
    <m/>
    <m/>
    <m/>
    <m/>
    <m/>
    <m/>
    <m/>
    <m/>
    <m/>
    <m/>
    <m/>
    <m/>
    <m/>
    <n v="0"/>
    <n v="0"/>
    <n v="0"/>
    <n v="25"/>
    <n v="398250"/>
  </r>
  <r>
    <m/>
    <s v="К"/>
    <x v="0"/>
    <x v="4"/>
    <x v="1"/>
    <x v="8"/>
    <s v="ДИТ"/>
    <n v="15930"/>
    <m/>
    <m/>
    <n v="0"/>
    <m/>
    <m/>
    <m/>
    <m/>
    <m/>
    <m/>
    <m/>
    <m/>
    <m/>
    <m/>
    <m/>
    <m/>
    <m/>
    <n v="0"/>
    <n v="0"/>
    <m/>
    <m/>
    <n v="10"/>
    <n v="15"/>
    <m/>
    <m/>
    <m/>
    <m/>
    <m/>
    <m/>
    <m/>
    <m/>
    <m/>
    <n v="25"/>
    <n v="398250"/>
    <m/>
    <m/>
    <m/>
    <m/>
    <m/>
    <m/>
    <m/>
    <m/>
    <m/>
    <m/>
    <m/>
    <m/>
    <m/>
    <n v="0"/>
    <n v="0"/>
    <m/>
    <m/>
    <m/>
    <m/>
    <m/>
    <m/>
    <m/>
    <m/>
    <m/>
    <m/>
    <m/>
    <m/>
    <m/>
    <n v="0"/>
    <n v="0"/>
    <m/>
    <m/>
    <m/>
    <m/>
    <m/>
    <m/>
    <m/>
    <m/>
    <m/>
    <m/>
    <m/>
    <m/>
    <m/>
    <n v="0"/>
    <n v="0"/>
    <n v="0"/>
    <n v="25"/>
    <n v="398250"/>
  </r>
  <r>
    <m/>
    <s v="К"/>
    <x v="0"/>
    <x v="9"/>
    <x v="5"/>
    <x v="12"/>
    <s v="ДИТ"/>
    <n v="9050"/>
    <m/>
    <m/>
    <n v="0"/>
    <m/>
    <m/>
    <m/>
    <m/>
    <m/>
    <m/>
    <m/>
    <m/>
    <m/>
    <m/>
    <m/>
    <m/>
    <m/>
    <n v="0"/>
    <n v="0"/>
    <m/>
    <m/>
    <m/>
    <n v="14"/>
    <m/>
    <m/>
    <m/>
    <m/>
    <m/>
    <m/>
    <m/>
    <m/>
    <m/>
    <n v="14"/>
    <n v="126700"/>
    <m/>
    <m/>
    <m/>
    <m/>
    <m/>
    <m/>
    <m/>
    <m/>
    <m/>
    <m/>
    <m/>
    <m/>
    <m/>
    <n v="0"/>
    <n v="0"/>
    <m/>
    <m/>
    <m/>
    <m/>
    <m/>
    <m/>
    <m/>
    <m/>
    <m/>
    <m/>
    <m/>
    <m/>
    <m/>
    <n v="0"/>
    <n v="0"/>
    <m/>
    <m/>
    <m/>
    <m/>
    <m/>
    <m/>
    <m/>
    <m/>
    <m/>
    <m/>
    <m/>
    <m/>
    <m/>
    <n v="0"/>
    <n v="0"/>
    <n v="0"/>
    <n v="14"/>
    <n v="126700"/>
  </r>
  <r>
    <m/>
    <s v="К"/>
    <x v="0"/>
    <x v="4"/>
    <x v="1"/>
    <x v="7"/>
    <s v="ДИТ"/>
    <n v="15930"/>
    <m/>
    <m/>
    <n v="0"/>
    <m/>
    <m/>
    <m/>
    <m/>
    <m/>
    <m/>
    <m/>
    <m/>
    <m/>
    <m/>
    <m/>
    <m/>
    <m/>
    <n v="0"/>
    <n v="0"/>
    <m/>
    <m/>
    <m/>
    <m/>
    <n v="3"/>
    <m/>
    <m/>
    <m/>
    <m/>
    <m/>
    <m/>
    <m/>
    <m/>
    <n v="3"/>
    <n v="47790"/>
    <m/>
    <m/>
    <m/>
    <m/>
    <m/>
    <m/>
    <m/>
    <m/>
    <m/>
    <m/>
    <m/>
    <m/>
    <m/>
    <n v="0"/>
    <n v="0"/>
    <m/>
    <m/>
    <m/>
    <m/>
    <m/>
    <m/>
    <m/>
    <m/>
    <m/>
    <m/>
    <m/>
    <m/>
    <m/>
    <n v="0"/>
    <n v="0"/>
    <m/>
    <m/>
    <m/>
    <m/>
    <m/>
    <m/>
    <m/>
    <m/>
    <m/>
    <m/>
    <m/>
    <m/>
    <m/>
    <n v="0"/>
    <n v="0"/>
    <n v="0"/>
    <n v="3"/>
    <n v="4779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9"/>
    <x v="5"/>
    <x v="12"/>
    <s v="ДИТ"/>
    <n v="9050"/>
    <m/>
    <m/>
    <n v="0"/>
    <m/>
    <m/>
    <m/>
    <m/>
    <m/>
    <m/>
    <m/>
    <m/>
    <m/>
    <m/>
    <m/>
    <m/>
    <m/>
    <n v="0"/>
    <n v="0"/>
    <m/>
    <m/>
    <m/>
    <m/>
    <n v="5"/>
    <m/>
    <m/>
    <m/>
    <m/>
    <m/>
    <m/>
    <m/>
    <m/>
    <n v="5"/>
    <n v="45250"/>
    <m/>
    <m/>
    <m/>
    <m/>
    <m/>
    <m/>
    <m/>
    <m/>
    <m/>
    <m/>
    <m/>
    <m/>
    <m/>
    <n v="0"/>
    <n v="0"/>
    <m/>
    <m/>
    <m/>
    <m/>
    <m/>
    <m/>
    <m/>
    <m/>
    <m/>
    <m/>
    <m/>
    <m/>
    <m/>
    <n v="0"/>
    <n v="0"/>
    <m/>
    <m/>
    <m/>
    <m/>
    <m/>
    <m/>
    <m/>
    <m/>
    <m/>
    <m/>
    <m/>
    <m/>
    <m/>
    <n v="0"/>
    <n v="0"/>
    <n v="0"/>
    <n v="5"/>
    <n v="45250"/>
  </r>
  <r>
    <m/>
    <s v="К"/>
    <x v="0"/>
    <x v="4"/>
    <x v="1"/>
    <x v="7"/>
    <s v="ДИТ"/>
    <n v="15930"/>
    <m/>
    <m/>
    <n v="0"/>
    <m/>
    <m/>
    <m/>
    <m/>
    <m/>
    <m/>
    <m/>
    <m/>
    <m/>
    <m/>
    <m/>
    <m/>
    <m/>
    <n v="0"/>
    <n v="0"/>
    <m/>
    <m/>
    <m/>
    <m/>
    <n v="3"/>
    <m/>
    <m/>
    <m/>
    <m/>
    <m/>
    <m/>
    <m/>
    <m/>
    <n v="3"/>
    <n v="47790"/>
    <m/>
    <m/>
    <m/>
    <m/>
    <m/>
    <m/>
    <m/>
    <m/>
    <m/>
    <m/>
    <m/>
    <m/>
    <m/>
    <n v="0"/>
    <n v="0"/>
    <m/>
    <m/>
    <m/>
    <m/>
    <m/>
    <m/>
    <m/>
    <m/>
    <m/>
    <m/>
    <m/>
    <m/>
    <m/>
    <n v="0"/>
    <n v="0"/>
    <m/>
    <m/>
    <m/>
    <m/>
    <m/>
    <m/>
    <m/>
    <m/>
    <m/>
    <m/>
    <m/>
    <m/>
    <m/>
    <n v="0"/>
    <n v="0"/>
    <n v="0"/>
    <n v="3"/>
    <n v="47790"/>
  </r>
  <r>
    <m/>
    <s v="К"/>
    <x v="0"/>
    <x v="4"/>
    <x v="1"/>
    <x v="9"/>
    <s v="ДИТ"/>
    <n v="15930"/>
    <m/>
    <m/>
    <n v="0"/>
    <m/>
    <m/>
    <m/>
    <m/>
    <m/>
    <m/>
    <m/>
    <m/>
    <m/>
    <m/>
    <m/>
    <m/>
    <m/>
    <n v="0"/>
    <n v="0"/>
    <m/>
    <m/>
    <m/>
    <m/>
    <n v="20"/>
    <n v="10"/>
    <m/>
    <m/>
    <m/>
    <m/>
    <m/>
    <m/>
    <m/>
    <n v="30"/>
    <n v="477900"/>
    <m/>
    <m/>
    <m/>
    <m/>
    <m/>
    <m/>
    <m/>
    <m/>
    <m/>
    <m/>
    <m/>
    <m/>
    <m/>
    <n v="0"/>
    <n v="0"/>
    <m/>
    <m/>
    <m/>
    <m/>
    <m/>
    <m/>
    <m/>
    <m/>
    <m/>
    <m/>
    <m/>
    <m/>
    <m/>
    <n v="0"/>
    <n v="0"/>
    <m/>
    <m/>
    <m/>
    <m/>
    <m/>
    <m/>
    <m/>
    <m/>
    <m/>
    <m/>
    <m/>
    <m/>
    <m/>
    <n v="0"/>
    <n v="0"/>
    <n v="0"/>
    <n v="30"/>
    <n v="477900"/>
  </r>
  <r>
    <m/>
    <s v="К"/>
    <x v="0"/>
    <x v="4"/>
    <x v="1"/>
    <x v="8"/>
    <s v="ДИТ"/>
    <n v="15930"/>
    <m/>
    <m/>
    <n v="0"/>
    <m/>
    <m/>
    <m/>
    <m/>
    <m/>
    <m/>
    <m/>
    <m/>
    <m/>
    <m/>
    <m/>
    <m/>
    <m/>
    <n v="0"/>
    <n v="0"/>
    <m/>
    <m/>
    <m/>
    <m/>
    <n v="20"/>
    <n v="10"/>
    <m/>
    <m/>
    <m/>
    <m/>
    <m/>
    <m/>
    <m/>
    <n v="30"/>
    <n v="477900"/>
    <m/>
    <m/>
    <m/>
    <m/>
    <m/>
    <m/>
    <m/>
    <m/>
    <m/>
    <m/>
    <m/>
    <m/>
    <m/>
    <n v="0"/>
    <n v="0"/>
    <m/>
    <m/>
    <m/>
    <m/>
    <m/>
    <m/>
    <m/>
    <m/>
    <m/>
    <m/>
    <m/>
    <m/>
    <m/>
    <n v="0"/>
    <n v="0"/>
    <m/>
    <m/>
    <m/>
    <m/>
    <m/>
    <m/>
    <m/>
    <m/>
    <m/>
    <m/>
    <m/>
    <m/>
    <m/>
    <n v="0"/>
    <n v="0"/>
    <n v="0"/>
    <n v="30"/>
    <n v="477900"/>
  </r>
  <r>
    <s v="Проведение работ по тестированию тестового окружения, включая  проверку Кабинетов оргазиаций (тестовых) у оператора ЭДО, затем тоже самое по продуктиву"/>
    <s v="К"/>
    <x v="0"/>
    <x v="9"/>
    <x v="5"/>
    <x v="12"/>
    <s v="ДИТ"/>
    <n v="9050"/>
    <m/>
    <m/>
    <n v="0"/>
    <m/>
    <m/>
    <m/>
    <m/>
    <m/>
    <m/>
    <m/>
    <m/>
    <m/>
    <m/>
    <m/>
    <m/>
    <m/>
    <n v="0"/>
    <n v="0"/>
    <m/>
    <m/>
    <m/>
    <n v="5"/>
    <m/>
    <m/>
    <m/>
    <m/>
    <m/>
    <m/>
    <m/>
    <m/>
    <m/>
    <n v="5"/>
    <n v="45250"/>
    <m/>
    <n v="5"/>
    <m/>
    <m/>
    <m/>
    <m/>
    <m/>
    <m/>
    <m/>
    <m/>
    <m/>
    <m/>
    <m/>
    <n v="5"/>
    <n v="45250"/>
    <m/>
    <m/>
    <m/>
    <m/>
    <m/>
    <m/>
    <m/>
    <m/>
    <m/>
    <m/>
    <m/>
    <m/>
    <m/>
    <n v="0"/>
    <n v="0"/>
    <m/>
    <m/>
    <m/>
    <m/>
    <m/>
    <m/>
    <m/>
    <m/>
    <m/>
    <m/>
    <m/>
    <m/>
    <m/>
    <n v="0"/>
    <n v="0"/>
    <n v="0"/>
    <n v="10"/>
    <n v="90500"/>
  </r>
  <r>
    <s v="Проведение работ по тестированию тестового окружения, включая  проверку Кабинетов оргазиаций (тестовых) у оператора ЭДО, затем тоже самое по продуктиву"/>
    <s v="К"/>
    <x v="0"/>
    <x v="4"/>
    <x v="1"/>
    <x v="9"/>
    <s v="ДИТ"/>
    <n v="15930"/>
    <m/>
    <m/>
    <n v="0"/>
    <m/>
    <m/>
    <m/>
    <m/>
    <m/>
    <m/>
    <m/>
    <m/>
    <m/>
    <m/>
    <m/>
    <m/>
    <m/>
    <n v="0"/>
    <n v="0"/>
    <m/>
    <m/>
    <m/>
    <m/>
    <m/>
    <n v="10"/>
    <m/>
    <m/>
    <m/>
    <m/>
    <m/>
    <m/>
    <m/>
    <n v="10"/>
    <n v="159300"/>
    <n v="2"/>
    <n v="2"/>
    <m/>
    <m/>
    <m/>
    <m/>
    <m/>
    <m/>
    <m/>
    <m/>
    <m/>
    <m/>
    <m/>
    <n v="4"/>
    <n v="63720"/>
    <m/>
    <m/>
    <m/>
    <m/>
    <m/>
    <m/>
    <m/>
    <m/>
    <m/>
    <m/>
    <m/>
    <m/>
    <m/>
    <n v="0"/>
    <n v="0"/>
    <m/>
    <m/>
    <m/>
    <m/>
    <m/>
    <m/>
    <m/>
    <m/>
    <m/>
    <m/>
    <m/>
    <m/>
    <m/>
    <n v="0"/>
    <n v="0"/>
    <n v="0"/>
    <n v="14"/>
    <n v="223020"/>
  </r>
  <r>
    <s v="Проведение работ по тестированию тестового окружения, включая  проверку Кабинетов оргазиаций (тестовых) у оператора ЭДО, затем тоже самое по продуктиву"/>
    <s v="К"/>
    <x v="0"/>
    <x v="4"/>
    <x v="1"/>
    <x v="8"/>
    <s v="ДИТ"/>
    <n v="15930"/>
    <m/>
    <m/>
    <n v="0"/>
    <m/>
    <m/>
    <m/>
    <m/>
    <m/>
    <m/>
    <m/>
    <m/>
    <m/>
    <m/>
    <m/>
    <m/>
    <m/>
    <n v="0"/>
    <n v="0"/>
    <m/>
    <m/>
    <m/>
    <m/>
    <m/>
    <n v="10"/>
    <m/>
    <m/>
    <m/>
    <m/>
    <m/>
    <m/>
    <m/>
    <n v="10"/>
    <n v="159300"/>
    <n v="2"/>
    <n v="2"/>
    <m/>
    <m/>
    <m/>
    <m/>
    <m/>
    <m/>
    <m/>
    <m/>
    <m/>
    <m/>
    <m/>
    <n v="4"/>
    <n v="63720"/>
    <m/>
    <m/>
    <m/>
    <m/>
    <m/>
    <m/>
    <m/>
    <m/>
    <m/>
    <m/>
    <m/>
    <m/>
    <m/>
    <n v="0"/>
    <n v="0"/>
    <m/>
    <m/>
    <m/>
    <m/>
    <m/>
    <m/>
    <m/>
    <m/>
    <m/>
    <m/>
    <m/>
    <m/>
    <m/>
    <n v="0"/>
    <n v="0"/>
    <n v="0"/>
    <n v="14"/>
    <n v="22302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О"/>
    <x v="0"/>
    <x v="5"/>
    <x v="3"/>
    <x v="5"/>
    <s v="ДИТ"/>
    <n v="21520"/>
    <m/>
    <m/>
    <n v="0"/>
    <m/>
    <m/>
    <m/>
    <m/>
    <m/>
    <m/>
    <m/>
    <m/>
    <m/>
    <m/>
    <m/>
    <m/>
    <m/>
    <n v="0"/>
    <n v="0"/>
    <m/>
    <m/>
    <m/>
    <m/>
    <m/>
    <n v="5"/>
    <n v="5"/>
    <m/>
    <m/>
    <m/>
    <m/>
    <m/>
    <m/>
    <n v="10"/>
    <n v="215200"/>
    <m/>
    <m/>
    <m/>
    <m/>
    <m/>
    <m/>
    <m/>
    <m/>
    <m/>
    <m/>
    <m/>
    <m/>
    <m/>
    <n v="0"/>
    <n v="0"/>
    <m/>
    <m/>
    <m/>
    <m/>
    <m/>
    <m/>
    <m/>
    <m/>
    <m/>
    <m/>
    <m/>
    <m/>
    <m/>
    <n v="0"/>
    <n v="0"/>
    <m/>
    <m/>
    <m/>
    <m/>
    <m/>
    <m/>
    <m/>
    <m/>
    <m/>
    <m/>
    <m/>
    <m/>
    <m/>
    <n v="0"/>
    <n v="0"/>
    <n v="0"/>
    <n v="10"/>
    <n v="215200"/>
  </r>
  <r>
    <m/>
    <s v="О"/>
    <x v="0"/>
    <x v="0"/>
    <x v="0"/>
    <x v="0"/>
    <s v="ДИТ"/>
    <s v="нет данных"/>
    <m/>
    <m/>
    <n v="0"/>
    <m/>
    <m/>
    <m/>
    <m/>
    <m/>
    <m/>
    <m/>
    <m/>
    <m/>
    <m/>
    <m/>
    <m/>
    <m/>
    <n v="0"/>
    <n v="0"/>
    <m/>
    <m/>
    <m/>
    <m/>
    <m/>
    <m/>
    <m/>
    <m/>
    <m/>
    <m/>
    <m/>
    <m/>
    <m/>
    <n v="0"/>
    <n v="0"/>
    <m/>
    <m/>
    <m/>
    <m/>
    <m/>
    <m/>
    <m/>
    <m/>
    <m/>
    <m/>
    <m/>
    <m/>
    <m/>
    <n v="0"/>
    <n v="0"/>
    <m/>
    <m/>
    <m/>
    <m/>
    <m/>
    <m/>
    <m/>
    <m/>
    <m/>
    <m/>
    <m/>
    <m/>
    <m/>
    <n v="0"/>
    <n v="0"/>
    <m/>
    <m/>
    <m/>
    <m/>
    <m/>
    <m/>
    <m/>
    <m/>
    <m/>
    <m/>
    <m/>
    <m/>
    <m/>
    <n v="0"/>
    <n v="0"/>
    <n v="0"/>
    <n v="0"/>
    <n v="0"/>
  </r>
  <r>
    <s v="A. Положение об использовании Электронной подписи_x000a_B. Регламент получения электронной подписи (включая разработку приложений: «Типовая форма доверенности») _x000a_D. Будут проанализированы и при необходимости уточнены должностные инструкции работников складов (кладовщиков)"/>
    <s v="О"/>
    <x v="0"/>
    <x v="5"/>
    <x v="3"/>
    <x v="5"/>
    <s v="ДИТ"/>
    <n v="21520"/>
    <m/>
    <m/>
    <n v="0"/>
    <m/>
    <m/>
    <m/>
    <m/>
    <m/>
    <m/>
    <m/>
    <m/>
    <m/>
    <m/>
    <m/>
    <m/>
    <m/>
    <n v="0"/>
    <n v="0"/>
    <m/>
    <m/>
    <m/>
    <m/>
    <m/>
    <m/>
    <n v="17"/>
    <n v="23"/>
    <n v="10"/>
    <n v="13"/>
    <n v="10"/>
    <m/>
    <m/>
    <n v="73"/>
    <n v="1570960"/>
    <m/>
    <m/>
    <m/>
    <m/>
    <m/>
    <m/>
    <m/>
    <m/>
    <m/>
    <m/>
    <m/>
    <m/>
    <m/>
    <n v="0"/>
    <n v="0"/>
    <m/>
    <m/>
    <m/>
    <m/>
    <m/>
    <m/>
    <m/>
    <m/>
    <m/>
    <m/>
    <m/>
    <m/>
    <m/>
    <n v="0"/>
    <n v="0"/>
    <m/>
    <m/>
    <m/>
    <m/>
    <m/>
    <m/>
    <m/>
    <m/>
    <m/>
    <m/>
    <m/>
    <m/>
    <m/>
    <n v="0"/>
    <n v="0"/>
    <n v="0"/>
    <n v="73"/>
    <n v="157096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5"/>
    <x v="3"/>
    <x v="5"/>
    <s v="ДИТ"/>
    <n v="21520"/>
    <m/>
    <m/>
    <n v="0"/>
    <m/>
    <m/>
    <m/>
    <m/>
    <m/>
    <m/>
    <m/>
    <m/>
    <m/>
    <m/>
    <m/>
    <m/>
    <m/>
    <n v="0"/>
    <n v="0"/>
    <m/>
    <m/>
    <m/>
    <m/>
    <m/>
    <m/>
    <m/>
    <m/>
    <m/>
    <m/>
    <n v="11"/>
    <n v="21"/>
    <m/>
    <n v="32"/>
    <n v="688640"/>
    <n v="17"/>
    <n v="5"/>
    <m/>
    <m/>
    <m/>
    <m/>
    <m/>
    <m/>
    <m/>
    <m/>
    <m/>
    <m/>
    <m/>
    <n v="22"/>
    <n v="473440"/>
    <m/>
    <m/>
    <m/>
    <m/>
    <m/>
    <m/>
    <m/>
    <m/>
    <m/>
    <m/>
    <m/>
    <m/>
    <m/>
    <n v="0"/>
    <n v="0"/>
    <m/>
    <m/>
    <m/>
    <m/>
    <m/>
    <m/>
    <m/>
    <m/>
    <m/>
    <m/>
    <m/>
    <m/>
    <m/>
    <n v="0"/>
    <n v="0"/>
    <n v="0"/>
    <n v="54"/>
    <n v="116208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8"/>
    <x v="4"/>
    <x v="10"/>
    <s v="ДИТ"/>
    <n v="6980"/>
    <m/>
    <m/>
    <n v="0"/>
    <m/>
    <m/>
    <m/>
    <m/>
    <m/>
    <m/>
    <m/>
    <m/>
    <m/>
    <m/>
    <m/>
    <m/>
    <m/>
    <n v="0"/>
    <n v="0"/>
    <m/>
    <m/>
    <m/>
    <m/>
    <m/>
    <m/>
    <m/>
    <m/>
    <m/>
    <m/>
    <m/>
    <n v="11"/>
    <m/>
    <n v="11"/>
    <n v="76780"/>
    <m/>
    <m/>
    <m/>
    <m/>
    <m/>
    <m/>
    <m/>
    <m/>
    <m/>
    <m/>
    <m/>
    <m/>
    <m/>
    <n v="0"/>
    <n v="0"/>
    <m/>
    <m/>
    <m/>
    <m/>
    <m/>
    <m/>
    <m/>
    <m/>
    <m/>
    <m/>
    <m/>
    <m/>
    <m/>
    <n v="0"/>
    <n v="0"/>
    <m/>
    <m/>
    <m/>
    <m/>
    <m/>
    <m/>
    <m/>
    <m/>
    <m/>
    <m/>
    <m/>
    <m/>
    <m/>
    <n v="0"/>
    <n v="0"/>
    <n v="0"/>
    <n v="11"/>
    <n v="76780"/>
  </r>
  <r>
    <m/>
    <s v="О"/>
    <x v="0"/>
    <x v="8"/>
    <x v="4"/>
    <x v="11"/>
    <s v="ДИТ"/>
    <n v="6980"/>
    <m/>
    <m/>
    <n v="0"/>
    <m/>
    <m/>
    <m/>
    <m/>
    <m/>
    <m/>
    <m/>
    <m/>
    <m/>
    <m/>
    <m/>
    <m/>
    <m/>
    <n v="0"/>
    <n v="0"/>
    <m/>
    <m/>
    <m/>
    <m/>
    <m/>
    <m/>
    <m/>
    <m/>
    <m/>
    <m/>
    <m/>
    <n v="11"/>
    <m/>
    <n v="11"/>
    <n v="76780"/>
    <m/>
    <m/>
    <m/>
    <m/>
    <m/>
    <m/>
    <m/>
    <m/>
    <m/>
    <m/>
    <m/>
    <m/>
    <m/>
    <n v="0"/>
    <n v="0"/>
    <m/>
    <m/>
    <m/>
    <m/>
    <m/>
    <m/>
    <m/>
    <m/>
    <m/>
    <m/>
    <m/>
    <m/>
    <m/>
    <n v="0"/>
    <n v="0"/>
    <m/>
    <m/>
    <m/>
    <m/>
    <m/>
    <m/>
    <m/>
    <m/>
    <m/>
    <m/>
    <m/>
    <m/>
    <m/>
    <n v="0"/>
    <n v="0"/>
    <n v="0"/>
    <n v="11"/>
    <n v="76780"/>
  </r>
  <r>
    <m/>
    <s v="О"/>
    <x v="0"/>
    <x v="8"/>
    <x v="4"/>
    <x v="10"/>
    <s v="ДИТ"/>
    <n v="6980"/>
    <m/>
    <m/>
    <n v="0"/>
    <m/>
    <m/>
    <m/>
    <m/>
    <m/>
    <m/>
    <m/>
    <m/>
    <m/>
    <m/>
    <m/>
    <m/>
    <m/>
    <n v="0"/>
    <n v="0"/>
    <m/>
    <m/>
    <m/>
    <m/>
    <m/>
    <m/>
    <m/>
    <m/>
    <m/>
    <m/>
    <m/>
    <m/>
    <m/>
    <n v="0"/>
    <n v="0"/>
    <n v="5"/>
    <n v="5"/>
    <m/>
    <m/>
    <m/>
    <m/>
    <m/>
    <m/>
    <m/>
    <m/>
    <m/>
    <m/>
    <m/>
    <n v="10"/>
    <n v="69800"/>
    <m/>
    <m/>
    <m/>
    <m/>
    <m/>
    <m/>
    <m/>
    <m/>
    <m/>
    <m/>
    <m/>
    <m/>
    <m/>
    <n v="0"/>
    <n v="0"/>
    <m/>
    <m/>
    <m/>
    <m/>
    <m/>
    <m/>
    <m/>
    <m/>
    <m/>
    <m/>
    <m/>
    <m/>
    <m/>
    <n v="0"/>
    <n v="0"/>
    <n v="0"/>
    <n v="10"/>
    <n v="69800"/>
  </r>
  <r>
    <m/>
    <s v="О"/>
    <x v="0"/>
    <x v="8"/>
    <x v="4"/>
    <x v="11"/>
    <s v="ДИТ"/>
    <n v="6980"/>
    <m/>
    <m/>
    <n v="0"/>
    <m/>
    <m/>
    <m/>
    <m/>
    <m/>
    <m/>
    <m/>
    <m/>
    <m/>
    <m/>
    <m/>
    <m/>
    <m/>
    <n v="0"/>
    <n v="0"/>
    <m/>
    <m/>
    <m/>
    <m/>
    <m/>
    <m/>
    <m/>
    <m/>
    <m/>
    <m/>
    <m/>
    <m/>
    <m/>
    <n v="0"/>
    <n v="0"/>
    <n v="5"/>
    <n v="5"/>
    <m/>
    <m/>
    <m/>
    <m/>
    <m/>
    <m/>
    <m/>
    <m/>
    <m/>
    <m/>
    <m/>
    <n v="10"/>
    <n v="69800"/>
    <m/>
    <m/>
    <m/>
    <m/>
    <m/>
    <m/>
    <m/>
    <m/>
    <m/>
    <m/>
    <m/>
    <m/>
    <m/>
    <n v="0"/>
    <n v="0"/>
    <m/>
    <m/>
    <m/>
    <m/>
    <m/>
    <m/>
    <m/>
    <m/>
    <m/>
    <m/>
    <m/>
    <m/>
    <m/>
    <n v="0"/>
    <n v="0"/>
    <n v="0"/>
    <n v="10"/>
    <n v="69800"/>
  </r>
  <r>
    <m/>
    <s v="О"/>
    <x v="0"/>
    <x v="5"/>
    <x v="3"/>
    <x v="5"/>
    <s v="ДИТ"/>
    <n v="21520"/>
    <m/>
    <m/>
    <n v="0"/>
    <m/>
    <m/>
    <m/>
    <m/>
    <m/>
    <m/>
    <m/>
    <m/>
    <m/>
    <m/>
    <m/>
    <m/>
    <m/>
    <n v="0"/>
    <n v="0"/>
    <m/>
    <m/>
    <m/>
    <m/>
    <m/>
    <m/>
    <m/>
    <m/>
    <m/>
    <m/>
    <m/>
    <m/>
    <m/>
    <n v="0"/>
    <n v="0"/>
    <m/>
    <m/>
    <n v="20"/>
    <n v="22"/>
    <n v="21"/>
    <n v="10"/>
    <n v="23"/>
    <n v="22"/>
    <n v="21"/>
    <n v="10"/>
    <m/>
    <m/>
    <m/>
    <n v="149"/>
    <n v="3206480"/>
    <m/>
    <m/>
    <m/>
    <m/>
    <m/>
    <m/>
    <m/>
    <m/>
    <m/>
    <m/>
    <m/>
    <m/>
    <m/>
    <n v="0"/>
    <n v="0"/>
    <m/>
    <m/>
    <m/>
    <m/>
    <m/>
    <m/>
    <m/>
    <m/>
    <m/>
    <m/>
    <m/>
    <m/>
    <m/>
    <n v="0"/>
    <n v="0"/>
    <n v="0"/>
    <n v="149"/>
    <n v="3206480"/>
  </r>
  <r>
    <m/>
    <s v="О"/>
    <x v="0"/>
    <x v="8"/>
    <x v="4"/>
    <x v="10"/>
    <s v="ДИТ"/>
    <n v="6980"/>
    <m/>
    <m/>
    <n v="0"/>
    <m/>
    <m/>
    <m/>
    <m/>
    <m/>
    <m/>
    <m/>
    <m/>
    <m/>
    <m/>
    <m/>
    <m/>
    <m/>
    <n v="0"/>
    <n v="0"/>
    <m/>
    <m/>
    <m/>
    <m/>
    <m/>
    <m/>
    <m/>
    <m/>
    <m/>
    <m/>
    <m/>
    <m/>
    <m/>
    <n v="0"/>
    <n v="0"/>
    <m/>
    <m/>
    <n v="15"/>
    <n v="17"/>
    <n v="16"/>
    <n v="14"/>
    <n v="23"/>
    <n v="22"/>
    <n v="21"/>
    <n v="23"/>
    <n v="20"/>
    <m/>
    <m/>
    <n v="171"/>
    <n v="1193580"/>
    <m/>
    <m/>
    <m/>
    <m/>
    <m/>
    <m/>
    <m/>
    <m/>
    <m/>
    <m/>
    <m/>
    <m/>
    <m/>
    <n v="0"/>
    <n v="0"/>
    <m/>
    <m/>
    <m/>
    <m/>
    <m/>
    <m/>
    <m/>
    <m/>
    <m/>
    <m/>
    <m/>
    <m/>
    <m/>
    <n v="0"/>
    <n v="0"/>
    <n v="0"/>
    <n v="171"/>
    <n v="1193580"/>
  </r>
  <r>
    <m/>
    <s v="О"/>
    <x v="0"/>
    <x v="4"/>
    <x v="1"/>
    <x v="8"/>
    <s v="ДИТ"/>
    <n v="15930"/>
    <m/>
    <m/>
    <n v="0"/>
    <m/>
    <m/>
    <m/>
    <m/>
    <m/>
    <m/>
    <m/>
    <m/>
    <m/>
    <m/>
    <m/>
    <m/>
    <m/>
    <n v="0"/>
    <n v="0"/>
    <m/>
    <m/>
    <m/>
    <m/>
    <m/>
    <m/>
    <m/>
    <m/>
    <m/>
    <m/>
    <m/>
    <m/>
    <m/>
    <n v="0"/>
    <n v="0"/>
    <m/>
    <m/>
    <n v="3"/>
    <n v="3"/>
    <n v="3"/>
    <n v="3"/>
    <m/>
    <m/>
    <m/>
    <m/>
    <m/>
    <m/>
    <m/>
    <n v="12"/>
    <n v="191160"/>
    <m/>
    <m/>
    <m/>
    <m/>
    <m/>
    <m/>
    <m/>
    <m/>
    <m/>
    <m/>
    <m/>
    <m/>
    <m/>
    <n v="0"/>
    <n v="0"/>
    <m/>
    <m/>
    <m/>
    <m/>
    <m/>
    <m/>
    <m/>
    <m/>
    <m/>
    <m/>
    <m/>
    <m/>
    <m/>
    <n v="0"/>
    <n v="0"/>
    <n v="0"/>
    <n v="12"/>
    <n v="191160"/>
  </r>
  <r>
    <m/>
    <s v="О"/>
    <x v="0"/>
    <x v="4"/>
    <x v="1"/>
    <x v="9"/>
    <s v="ДИТ"/>
    <n v="15930"/>
    <m/>
    <m/>
    <n v="0"/>
    <m/>
    <m/>
    <m/>
    <m/>
    <m/>
    <m/>
    <m/>
    <m/>
    <m/>
    <m/>
    <m/>
    <m/>
    <m/>
    <n v="0"/>
    <n v="0"/>
    <m/>
    <m/>
    <m/>
    <m/>
    <m/>
    <m/>
    <m/>
    <m/>
    <m/>
    <m/>
    <m/>
    <m/>
    <m/>
    <n v="0"/>
    <n v="0"/>
    <m/>
    <m/>
    <n v="3"/>
    <n v="3"/>
    <n v="3"/>
    <n v="3"/>
    <m/>
    <m/>
    <m/>
    <m/>
    <m/>
    <m/>
    <m/>
    <n v="12"/>
    <n v="191160"/>
    <m/>
    <m/>
    <m/>
    <m/>
    <m/>
    <m/>
    <m/>
    <m/>
    <m/>
    <m/>
    <m/>
    <m/>
    <m/>
    <n v="0"/>
    <n v="0"/>
    <m/>
    <m/>
    <m/>
    <m/>
    <m/>
    <m/>
    <m/>
    <m/>
    <m/>
    <m/>
    <m/>
    <m/>
    <m/>
    <n v="0"/>
    <n v="0"/>
    <n v="0"/>
    <n v="12"/>
    <n v="191160"/>
  </r>
  <r>
    <m/>
    <s v="О"/>
    <x v="0"/>
    <x v="8"/>
    <x v="4"/>
    <x v="11"/>
    <s v="ДИТ"/>
    <n v="6980"/>
    <m/>
    <m/>
    <n v="0"/>
    <m/>
    <m/>
    <m/>
    <m/>
    <m/>
    <m/>
    <m/>
    <m/>
    <m/>
    <m/>
    <m/>
    <m/>
    <m/>
    <n v="0"/>
    <n v="0"/>
    <m/>
    <m/>
    <m/>
    <m/>
    <m/>
    <m/>
    <m/>
    <m/>
    <m/>
    <m/>
    <m/>
    <m/>
    <m/>
    <n v="0"/>
    <n v="0"/>
    <m/>
    <m/>
    <n v="15"/>
    <n v="17"/>
    <n v="16"/>
    <n v="14"/>
    <n v="23"/>
    <n v="22"/>
    <n v="21"/>
    <n v="23"/>
    <n v="20"/>
    <m/>
    <m/>
    <n v="171"/>
    <n v="1193580"/>
    <m/>
    <m/>
    <m/>
    <m/>
    <m/>
    <m/>
    <m/>
    <m/>
    <m/>
    <m/>
    <m/>
    <m/>
    <m/>
    <n v="0"/>
    <n v="0"/>
    <m/>
    <m/>
    <m/>
    <m/>
    <m/>
    <m/>
    <m/>
    <m/>
    <m/>
    <m/>
    <m/>
    <m/>
    <m/>
    <n v="0"/>
    <n v="0"/>
    <n v="0"/>
    <n v="171"/>
    <n v="1193580"/>
  </r>
  <r>
    <m/>
    <s v="О"/>
    <x v="0"/>
    <x v="4"/>
    <x v="1"/>
    <x v="8"/>
    <s v="ДИТ"/>
    <n v="15930"/>
    <m/>
    <m/>
    <n v="0"/>
    <m/>
    <m/>
    <m/>
    <m/>
    <m/>
    <m/>
    <m/>
    <m/>
    <m/>
    <m/>
    <m/>
    <m/>
    <m/>
    <n v="0"/>
    <n v="0"/>
    <m/>
    <m/>
    <m/>
    <m/>
    <m/>
    <m/>
    <m/>
    <m/>
    <m/>
    <m/>
    <m/>
    <m/>
    <m/>
    <n v="0"/>
    <n v="0"/>
    <m/>
    <m/>
    <m/>
    <m/>
    <m/>
    <m/>
    <n v="10"/>
    <m/>
    <m/>
    <n v="5"/>
    <m/>
    <m/>
    <m/>
    <n v="15"/>
    <n v="238950"/>
    <m/>
    <m/>
    <m/>
    <m/>
    <m/>
    <m/>
    <m/>
    <m/>
    <m/>
    <m/>
    <m/>
    <m/>
    <m/>
    <n v="0"/>
    <n v="0"/>
    <m/>
    <m/>
    <m/>
    <m/>
    <m/>
    <m/>
    <m/>
    <m/>
    <m/>
    <m/>
    <m/>
    <m/>
    <m/>
    <n v="0"/>
    <n v="0"/>
    <n v="0"/>
    <n v="15"/>
    <n v="238950"/>
  </r>
  <r>
    <m/>
    <s v="О"/>
    <x v="0"/>
    <x v="4"/>
    <x v="1"/>
    <x v="9"/>
    <s v="ДИТ"/>
    <n v="15930"/>
    <m/>
    <m/>
    <n v="0"/>
    <m/>
    <m/>
    <m/>
    <m/>
    <m/>
    <m/>
    <m/>
    <m/>
    <m/>
    <m/>
    <m/>
    <m/>
    <m/>
    <n v="0"/>
    <n v="0"/>
    <m/>
    <m/>
    <m/>
    <m/>
    <m/>
    <m/>
    <m/>
    <m/>
    <m/>
    <m/>
    <m/>
    <m/>
    <m/>
    <n v="0"/>
    <n v="0"/>
    <m/>
    <m/>
    <m/>
    <m/>
    <m/>
    <m/>
    <n v="10"/>
    <m/>
    <m/>
    <n v="5"/>
    <m/>
    <m/>
    <m/>
    <n v="15"/>
    <n v="238950"/>
    <m/>
    <m/>
    <m/>
    <m/>
    <m/>
    <m/>
    <m/>
    <m/>
    <m/>
    <m/>
    <m/>
    <m/>
    <m/>
    <n v="0"/>
    <n v="0"/>
    <m/>
    <m/>
    <m/>
    <m/>
    <m/>
    <m/>
    <m/>
    <m/>
    <m/>
    <m/>
    <m/>
    <m/>
    <m/>
    <n v="0"/>
    <n v="0"/>
    <n v="0"/>
    <n v="15"/>
    <n v="238950"/>
  </r>
  <r>
    <m/>
    <s v="О"/>
    <x v="0"/>
    <x v="5"/>
    <x v="3"/>
    <x v="5"/>
    <s v="ДИТ"/>
    <n v="21520"/>
    <m/>
    <m/>
    <n v="0"/>
    <m/>
    <m/>
    <m/>
    <m/>
    <m/>
    <m/>
    <m/>
    <m/>
    <m/>
    <m/>
    <m/>
    <m/>
    <m/>
    <n v="0"/>
    <n v="0"/>
    <m/>
    <m/>
    <m/>
    <m/>
    <m/>
    <m/>
    <m/>
    <m/>
    <m/>
    <m/>
    <m/>
    <m/>
    <m/>
    <n v="0"/>
    <n v="0"/>
    <m/>
    <n v="9"/>
    <m/>
    <m/>
    <m/>
    <n v="9"/>
    <m/>
    <m/>
    <m/>
    <n v="3"/>
    <m/>
    <m/>
    <m/>
    <n v="21"/>
    <n v="451920"/>
    <m/>
    <m/>
    <m/>
    <m/>
    <m/>
    <m/>
    <m/>
    <m/>
    <m/>
    <m/>
    <m/>
    <m/>
    <m/>
    <n v="0"/>
    <n v="0"/>
    <m/>
    <m/>
    <m/>
    <m/>
    <m/>
    <m/>
    <m/>
    <m/>
    <m/>
    <m/>
    <m/>
    <m/>
    <m/>
    <n v="0"/>
    <n v="0"/>
    <n v="0"/>
    <n v="21"/>
    <n v="451920"/>
  </r>
  <r>
    <m/>
    <s v="К"/>
    <x v="0"/>
    <x v="2"/>
    <x v="2"/>
    <x v="2"/>
    <s v="ДИТ"/>
    <n v="11900"/>
    <m/>
    <m/>
    <n v="0"/>
    <m/>
    <m/>
    <m/>
    <m/>
    <m/>
    <m/>
    <m/>
    <m/>
    <m/>
    <m/>
    <m/>
    <m/>
    <m/>
    <n v="0"/>
    <n v="0"/>
    <m/>
    <m/>
    <m/>
    <m/>
    <m/>
    <m/>
    <m/>
    <m/>
    <m/>
    <m/>
    <m/>
    <m/>
    <m/>
    <n v="0"/>
    <n v="0"/>
    <m/>
    <m/>
    <m/>
    <m/>
    <m/>
    <m/>
    <m/>
    <n v="5"/>
    <n v="4"/>
    <n v="2"/>
    <m/>
    <m/>
    <m/>
    <n v="11"/>
    <n v="130900"/>
    <m/>
    <m/>
    <m/>
    <m/>
    <m/>
    <m/>
    <m/>
    <m/>
    <m/>
    <m/>
    <m/>
    <m/>
    <m/>
    <n v="0"/>
    <n v="0"/>
    <m/>
    <m/>
    <m/>
    <m/>
    <m/>
    <m/>
    <m/>
    <m/>
    <m/>
    <m/>
    <m/>
    <m/>
    <m/>
    <n v="0"/>
    <n v="0"/>
    <n v="0"/>
    <n v="11"/>
    <n v="1309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2"/>
    <x v="2"/>
    <x v="2"/>
    <s v="ДИТ"/>
    <n v="11900"/>
    <m/>
    <m/>
    <n v="0"/>
    <m/>
    <m/>
    <m/>
    <m/>
    <m/>
    <m/>
    <m/>
    <m/>
    <m/>
    <m/>
    <m/>
    <m/>
    <m/>
    <n v="0"/>
    <n v="0"/>
    <m/>
    <m/>
    <m/>
    <m/>
    <m/>
    <m/>
    <m/>
    <m/>
    <m/>
    <m/>
    <m/>
    <m/>
    <m/>
    <n v="0"/>
    <n v="0"/>
    <m/>
    <m/>
    <m/>
    <m/>
    <m/>
    <m/>
    <m/>
    <n v="5"/>
    <n v="4"/>
    <n v="2"/>
    <m/>
    <m/>
    <m/>
    <n v="11"/>
    <n v="130900"/>
    <m/>
    <m/>
    <m/>
    <m/>
    <m/>
    <m/>
    <m/>
    <m/>
    <m/>
    <m/>
    <m/>
    <m/>
    <m/>
    <n v="0"/>
    <n v="0"/>
    <m/>
    <m/>
    <m/>
    <m/>
    <m/>
    <m/>
    <m/>
    <m/>
    <m/>
    <m/>
    <m/>
    <m/>
    <m/>
    <n v="0"/>
    <n v="0"/>
    <n v="0"/>
    <n v="11"/>
    <n v="130900"/>
  </r>
  <r>
    <m/>
    <s v="К"/>
    <x v="0"/>
    <x v="0"/>
    <x v="0"/>
    <x v="0"/>
    <s v="ДИТ"/>
    <s v="нет данных"/>
    <m/>
    <m/>
    <n v="0"/>
    <m/>
    <m/>
    <m/>
    <m/>
    <m/>
    <m/>
    <m/>
    <m/>
    <m/>
    <m/>
    <m/>
    <m/>
    <m/>
    <n v="0"/>
    <n v="0"/>
    <m/>
    <m/>
    <m/>
    <m/>
    <m/>
    <m/>
    <m/>
    <m/>
    <m/>
    <m/>
    <m/>
    <m/>
    <m/>
    <n v="0"/>
    <n v="0"/>
    <m/>
    <m/>
    <m/>
    <m/>
    <m/>
    <m/>
    <m/>
    <m/>
    <m/>
    <m/>
    <m/>
    <m/>
    <m/>
    <n v="0"/>
    <n v="0"/>
    <m/>
    <m/>
    <m/>
    <m/>
    <m/>
    <m/>
    <m/>
    <m/>
    <m/>
    <m/>
    <m/>
    <m/>
    <m/>
    <n v="0"/>
    <n v="0"/>
    <m/>
    <m/>
    <m/>
    <m/>
    <m/>
    <m/>
    <m/>
    <m/>
    <m/>
    <m/>
    <m/>
    <m/>
    <m/>
    <n v="0"/>
    <n v="0"/>
    <n v="0"/>
    <n v="0"/>
    <n v="0"/>
  </r>
  <r>
    <m/>
    <s v="К"/>
    <x v="0"/>
    <x v="4"/>
    <x v="1"/>
    <x v="8"/>
    <s v="ДИТ"/>
    <n v="15930"/>
    <m/>
    <m/>
    <n v="0"/>
    <m/>
    <m/>
    <m/>
    <m/>
    <m/>
    <m/>
    <m/>
    <m/>
    <m/>
    <m/>
    <m/>
    <m/>
    <m/>
    <n v="0"/>
    <n v="0"/>
    <m/>
    <m/>
    <m/>
    <m/>
    <m/>
    <m/>
    <m/>
    <m/>
    <m/>
    <m/>
    <m/>
    <m/>
    <m/>
    <n v="0"/>
    <n v="0"/>
    <m/>
    <m/>
    <n v="2"/>
    <n v="2"/>
    <n v="2"/>
    <n v="2"/>
    <m/>
    <m/>
    <m/>
    <m/>
    <m/>
    <m/>
    <m/>
    <n v="8"/>
    <n v="127440"/>
    <m/>
    <m/>
    <m/>
    <m/>
    <m/>
    <m/>
    <m/>
    <m/>
    <m/>
    <m/>
    <m/>
    <m/>
    <m/>
    <n v="0"/>
    <n v="0"/>
    <m/>
    <m/>
    <m/>
    <m/>
    <m/>
    <m/>
    <m/>
    <m/>
    <m/>
    <m/>
    <m/>
    <m/>
    <m/>
    <n v="0"/>
    <n v="0"/>
    <n v="0"/>
    <n v="8"/>
    <n v="127440"/>
  </r>
  <r>
    <m/>
    <s v="К"/>
    <x v="0"/>
    <x v="4"/>
    <x v="1"/>
    <x v="9"/>
    <s v="ДИТ"/>
    <n v="15930"/>
    <m/>
    <m/>
    <n v="0"/>
    <m/>
    <m/>
    <m/>
    <m/>
    <m/>
    <m/>
    <m/>
    <m/>
    <m/>
    <m/>
    <m/>
    <m/>
    <m/>
    <n v="0"/>
    <n v="0"/>
    <m/>
    <m/>
    <m/>
    <m/>
    <m/>
    <m/>
    <m/>
    <m/>
    <m/>
    <m/>
    <m/>
    <m/>
    <m/>
    <n v="0"/>
    <n v="0"/>
    <m/>
    <m/>
    <n v="2"/>
    <n v="2"/>
    <n v="2"/>
    <n v="2"/>
    <m/>
    <m/>
    <m/>
    <m/>
    <m/>
    <m/>
    <m/>
    <n v="8"/>
    <n v="127440"/>
    <m/>
    <m/>
    <m/>
    <m/>
    <m/>
    <m/>
    <m/>
    <m/>
    <m/>
    <m/>
    <m/>
    <m/>
    <m/>
    <n v="0"/>
    <n v="0"/>
    <m/>
    <m/>
    <m/>
    <m/>
    <m/>
    <m/>
    <m/>
    <m/>
    <m/>
    <m/>
    <m/>
    <m/>
    <m/>
    <n v="0"/>
    <n v="0"/>
    <n v="0"/>
    <n v="8"/>
    <n v="127440"/>
  </r>
  <r>
    <m/>
    <s v="К"/>
    <x v="0"/>
    <x v="4"/>
    <x v="3"/>
    <x v="4"/>
    <s v="ДИТ"/>
    <n v="21520"/>
    <m/>
    <m/>
    <n v="0"/>
    <m/>
    <m/>
    <m/>
    <m/>
    <m/>
    <m/>
    <m/>
    <m/>
    <m/>
    <m/>
    <m/>
    <m/>
    <m/>
    <n v="0"/>
    <n v="0"/>
    <m/>
    <m/>
    <m/>
    <m/>
    <m/>
    <m/>
    <m/>
    <m/>
    <m/>
    <m/>
    <m/>
    <m/>
    <m/>
    <n v="0"/>
    <n v="0"/>
    <m/>
    <m/>
    <n v="5"/>
    <n v="5"/>
    <m/>
    <m/>
    <n v="5"/>
    <n v="5"/>
    <m/>
    <m/>
    <m/>
    <m/>
    <m/>
    <n v="20"/>
    <n v="430400"/>
    <m/>
    <m/>
    <m/>
    <m/>
    <m/>
    <m/>
    <m/>
    <m/>
    <m/>
    <m/>
    <m/>
    <m/>
    <m/>
    <n v="0"/>
    <n v="0"/>
    <m/>
    <m/>
    <m/>
    <m/>
    <m/>
    <m/>
    <m/>
    <m/>
    <m/>
    <m/>
    <m/>
    <m/>
    <m/>
    <n v="0"/>
    <n v="0"/>
    <n v="0"/>
    <n v="20"/>
    <n v="430400"/>
  </r>
  <r>
    <m/>
    <s v="К"/>
    <x v="0"/>
    <x v="8"/>
    <x v="4"/>
    <x v="10"/>
    <s v="ДИТ"/>
    <n v="6980"/>
    <m/>
    <m/>
    <n v="0"/>
    <m/>
    <m/>
    <m/>
    <m/>
    <m/>
    <m/>
    <m/>
    <m/>
    <m/>
    <m/>
    <m/>
    <m/>
    <m/>
    <n v="0"/>
    <n v="0"/>
    <m/>
    <m/>
    <m/>
    <m/>
    <m/>
    <m/>
    <m/>
    <m/>
    <m/>
    <m/>
    <m/>
    <m/>
    <m/>
    <n v="0"/>
    <n v="0"/>
    <m/>
    <m/>
    <n v="5"/>
    <n v="5"/>
    <n v="5"/>
    <n v="5"/>
    <m/>
    <m/>
    <m/>
    <m/>
    <m/>
    <m/>
    <m/>
    <n v="20"/>
    <n v="139600"/>
    <m/>
    <m/>
    <m/>
    <m/>
    <m/>
    <m/>
    <m/>
    <m/>
    <m/>
    <m/>
    <m/>
    <m/>
    <m/>
    <n v="0"/>
    <n v="0"/>
    <m/>
    <m/>
    <m/>
    <m/>
    <m/>
    <m/>
    <m/>
    <m/>
    <m/>
    <m/>
    <m/>
    <m/>
    <m/>
    <n v="0"/>
    <n v="0"/>
    <n v="0"/>
    <n v="20"/>
    <n v="139600"/>
  </r>
  <r>
    <m/>
    <s v="К"/>
    <x v="0"/>
    <x v="8"/>
    <x v="4"/>
    <x v="11"/>
    <s v="ДИТ"/>
    <n v="6980"/>
    <m/>
    <m/>
    <n v="0"/>
    <m/>
    <m/>
    <m/>
    <m/>
    <m/>
    <m/>
    <m/>
    <m/>
    <m/>
    <m/>
    <m/>
    <m/>
    <m/>
    <n v="0"/>
    <n v="0"/>
    <m/>
    <m/>
    <m/>
    <m/>
    <m/>
    <m/>
    <m/>
    <m/>
    <m/>
    <m/>
    <m/>
    <m/>
    <m/>
    <n v="0"/>
    <n v="0"/>
    <m/>
    <m/>
    <n v="5"/>
    <n v="5"/>
    <n v="5"/>
    <n v="5"/>
    <m/>
    <m/>
    <m/>
    <m/>
    <m/>
    <m/>
    <m/>
    <n v="20"/>
    <n v="139600"/>
    <m/>
    <m/>
    <m/>
    <m/>
    <m/>
    <m/>
    <m/>
    <m/>
    <m/>
    <m/>
    <m/>
    <m/>
    <m/>
    <n v="0"/>
    <n v="0"/>
    <m/>
    <m/>
    <m/>
    <m/>
    <m/>
    <m/>
    <m/>
    <m/>
    <m/>
    <m/>
    <m/>
    <m/>
    <m/>
    <n v="0"/>
    <n v="0"/>
    <n v="0"/>
    <n v="20"/>
    <n v="139600"/>
  </r>
  <r>
    <m/>
    <s v="К"/>
    <x v="0"/>
    <x v="7"/>
    <x v="3"/>
    <x v="4"/>
    <s v="ДИТ"/>
    <n v="21520"/>
    <m/>
    <m/>
    <n v="0"/>
    <m/>
    <m/>
    <m/>
    <m/>
    <m/>
    <m/>
    <m/>
    <m/>
    <m/>
    <m/>
    <m/>
    <m/>
    <m/>
    <n v="0"/>
    <n v="0"/>
    <m/>
    <m/>
    <m/>
    <m/>
    <m/>
    <m/>
    <m/>
    <m/>
    <m/>
    <m/>
    <m/>
    <m/>
    <m/>
    <n v="0"/>
    <n v="0"/>
    <m/>
    <m/>
    <n v="5"/>
    <n v="5"/>
    <m/>
    <m/>
    <n v="5"/>
    <m/>
    <m/>
    <n v="5"/>
    <m/>
    <m/>
    <m/>
    <n v="20"/>
    <n v="430400"/>
    <m/>
    <m/>
    <m/>
    <m/>
    <m/>
    <m/>
    <m/>
    <m/>
    <m/>
    <m/>
    <m/>
    <m/>
    <m/>
    <n v="0"/>
    <n v="0"/>
    <m/>
    <m/>
    <m/>
    <m/>
    <m/>
    <m/>
    <m/>
    <m/>
    <m/>
    <m/>
    <m/>
    <m/>
    <m/>
    <n v="0"/>
    <n v="0"/>
    <n v="0"/>
    <n v="20"/>
    <n v="430400"/>
  </r>
  <r>
    <m/>
    <s v="К"/>
    <x v="0"/>
    <x v="4"/>
    <x v="1"/>
    <x v="8"/>
    <s v="ДИТ"/>
    <n v="15930"/>
    <m/>
    <m/>
    <n v="0"/>
    <m/>
    <m/>
    <m/>
    <m/>
    <m/>
    <m/>
    <m/>
    <m/>
    <m/>
    <m/>
    <m/>
    <m/>
    <m/>
    <n v="0"/>
    <n v="0"/>
    <m/>
    <m/>
    <m/>
    <m/>
    <m/>
    <m/>
    <m/>
    <m/>
    <m/>
    <m/>
    <m/>
    <m/>
    <m/>
    <n v="0"/>
    <n v="0"/>
    <m/>
    <m/>
    <m/>
    <m/>
    <m/>
    <m/>
    <m/>
    <m/>
    <n v="10"/>
    <n v="5"/>
    <m/>
    <m/>
    <m/>
    <n v="15"/>
    <n v="238950"/>
    <m/>
    <m/>
    <m/>
    <m/>
    <m/>
    <m/>
    <m/>
    <m/>
    <m/>
    <m/>
    <m/>
    <m/>
    <m/>
    <n v="0"/>
    <n v="0"/>
    <m/>
    <m/>
    <m/>
    <m/>
    <m/>
    <m/>
    <m/>
    <m/>
    <m/>
    <m/>
    <m/>
    <m/>
    <m/>
    <n v="0"/>
    <n v="0"/>
    <n v="0"/>
    <n v="15"/>
    <n v="238950"/>
  </r>
  <r>
    <m/>
    <s v="К"/>
    <x v="0"/>
    <x v="4"/>
    <x v="1"/>
    <x v="9"/>
    <s v="ДИТ"/>
    <n v="15930"/>
    <m/>
    <m/>
    <n v="0"/>
    <m/>
    <m/>
    <m/>
    <m/>
    <m/>
    <m/>
    <m/>
    <m/>
    <m/>
    <m/>
    <m/>
    <m/>
    <m/>
    <n v="0"/>
    <n v="0"/>
    <m/>
    <m/>
    <m/>
    <m/>
    <m/>
    <m/>
    <m/>
    <m/>
    <m/>
    <m/>
    <m/>
    <m/>
    <m/>
    <n v="0"/>
    <n v="0"/>
    <m/>
    <m/>
    <m/>
    <m/>
    <m/>
    <m/>
    <m/>
    <m/>
    <n v="10"/>
    <n v="5"/>
    <m/>
    <m/>
    <m/>
    <n v="15"/>
    <n v="238950"/>
    <m/>
    <m/>
    <m/>
    <m/>
    <m/>
    <m/>
    <m/>
    <m/>
    <m/>
    <m/>
    <m/>
    <m/>
    <m/>
    <n v="0"/>
    <n v="0"/>
    <m/>
    <m/>
    <m/>
    <m/>
    <m/>
    <m/>
    <m/>
    <m/>
    <m/>
    <m/>
    <m/>
    <m/>
    <m/>
    <n v="0"/>
    <n v="0"/>
    <n v="0"/>
    <n v="15"/>
    <n v="238950"/>
  </r>
  <r>
    <m/>
    <s v="К"/>
    <x v="0"/>
    <x v="7"/>
    <x v="3"/>
    <x v="4"/>
    <s v="ДИТ"/>
    <n v="21520"/>
    <m/>
    <m/>
    <n v="0"/>
    <m/>
    <m/>
    <m/>
    <m/>
    <m/>
    <m/>
    <m/>
    <m/>
    <m/>
    <m/>
    <m/>
    <m/>
    <m/>
    <n v="0"/>
    <n v="0"/>
    <m/>
    <m/>
    <m/>
    <m/>
    <m/>
    <m/>
    <m/>
    <m/>
    <m/>
    <m/>
    <m/>
    <m/>
    <m/>
    <n v="0"/>
    <n v="0"/>
    <m/>
    <n v="10"/>
    <m/>
    <m/>
    <m/>
    <m/>
    <m/>
    <m/>
    <m/>
    <n v="10"/>
    <m/>
    <m/>
    <m/>
    <n v="20"/>
    <n v="430400"/>
    <m/>
    <m/>
    <m/>
    <m/>
    <m/>
    <m/>
    <m/>
    <m/>
    <m/>
    <m/>
    <m/>
    <m/>
    <m/>
    <n v="0"/>
    <n v="0"/>
    <m/>
    <m/>
    <m/>
    <m/>
    <m/>
    <m/>
    <m/>
    <m/>
    <m/>
    <m/>
    <m/>
    <m/>
    <m/>
    <n v="0"/>
    <n v="0"/>
    <n v="0"/>
    <n v="20"/>
    <n v="430400"/>
  </r>
  <r>
    <m/>
    <s v="К"/>
    <x v="0"/>
    <x v="5"/>
    <x v="3"/>
    <x v="5"/>
    <s v="ДИТ"/>
    <n v="21520"/>
    <m/>
    <m/>
    <n v="0"/>
    <m/>
    <m/>
    <m/>
    <m/>
    <m/>
    <m/>
    <m/>
    <m/>
    <m/>
    <m/>
    <m/>
    <m/>
    <m/>
    <n v="0"/>
    <n v="0"/>
    <m/>
    <m/>
    <m/>
    <m/>
    <m/>
    <m/>
    <m/>
    <m/>
    <m/>
    <m/>
    <m/>
    <m/>
    <m/>
    <n v="0"/>
    <n v="0"/>
    <m/>
    <n v="5"/>
    <m/>
    <m/>
    <m/>
    <m/>
    <m/>
    <m/>
    <m/>
    <n v="10"/>
    <m/>
    <m/>
    <m/>
    <n v="15"/>
    <n v="322800"/>
    <m/>
    <m/>
    <m/>
    <m/>
    <m/>
    <m/>
    <m/>
    <m/>
    <m/>
    <m/>
    <m/>
    <m/>
    <m/>
    <n v="0"/>
    <n v="0"/>
    <m/>
    <m/>
    <m/>
    <m/>
    <m/>
    <m/>
    <m/>
    <m/>
    <m/>
    <m/>
    <m/>
    <m/>
    <m/>
    <n v="0"/>
    <n v="0"/>
    <n v="0"/>
    <n v="15"/>
    <n v="322800"/>
  </r>
  <r>
    <m/>
    <s v="О"/>
    <x v="0"/>
    <x v="2"/>
    <x v="2"/>
    <x v="2"/>
    <s v="ДИТ"/>
    <n v="11900"/>
    <m/>
    <m/>
    <n v="0"/>
    <m/>
    <m/>
    <m/>
    <m/>
    <m/>
    <m/>
    <m/>
    <m/>
    <m/>
    <m/>
    <m/>
    <m/>
    <m/>
    <n v="0"/>
    <n v="0"/>
    <m/>
    <m/>
    <m/>
    <m/>
    <m/>
    <m/>
    <m/>
    <m/>
    <m/>
    <m/>
    <m/>
    <m/>
    <m/>
    <n v="0"/>
    <n v="0"/>
    <m/>
    <m/>
    <m/>
    <m/>
    <m/>
    <m/>
    <m/>
    <m/>
    <n v="10"/>
    <n v="3"/>
    <m/>
    <m/>
    <m/>
    <n v="13"/>
    <n v="154700"/>
    <m/>
    <m/>
    <m/>
    <m/>
    <m/>
    <m/>
    <m/>
    <m/>
    <m/>
    <m/>
    <m/>
    <m/>
    <m/>
    <n v="0"/>
    <n v="0"/>
    <m/>
    <m/>
    <m/>
    <m/>
    <m/>
    <m/>
    <m/>
    <m/>
    <m/>
    <m/>
    <m/>
    <m/>
    <m/>
    <n v="0"/>
    <n v="0"/>
    <n v="0"/>
    <n v="13"/>
    <n v="15470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2"/>
    <x v="2"/>
    <x v="2"/>
    <s v="ДИТ"/>
    <n v="11900"/>
    <m/>
    <m/>
    <n v="0"/>
    <m/>
    <m/>
    <m/>
    <m/>
    <m/>
    <m/>
    <m/>
    <m/>
    <m/>
    <m/>
    <m/>
    <m/>
    <m/>
    <n v="0"/>
    <n v="0"/>
    <m/>
    <m/>
    <m/>
    <m/>
    <m/>
    <m/>
    <m/>
    <m/>
    <m/>
    <m/>
    <m/>
    <m/>
    <m/>
    <n v="0"/>
    <n v="0"/>
    <m/>
    <m/>
    <m/>
    <m/>
    <m/>
    <m/>
    <m/>
    <m/>
    <m/>
    <n v="16"/>
    <n v="10"/>
    <m/>
    <m/>
    <n v="26"/>
    <n v="309400"/>
    <m/>
    <m/>
    <m/>
    <m/>
    <m/>
    <m/>
    <m/>
    <m/>
    <m/>
    <m/>
    <m/>
    <m/>
    <m/>
    <n v="0"/>
    <n v="0"/>
    <m/>
    <m/>
    <m/>
    <m/>
    <m/>
    <m/>
    <m/>
    <m/>
    <m/>
    <m/>
    <m/>
    <m/>
    <m/>
    <n v="0"/>
    <n v="0"/>
    <n v="0"/>
    <n v="26"/>
    <n v="309400"/>
  </r>
  <r>
    <m/>
    <s v="О"/>
    <x v="0"/>
    <x v="4"/>
    <x v="1"/>
    <x v="9"/>
    <s v="ДИТ"/>
    <n v="15930"/>
    <m/>
    <m/>
    <n v="0"/>
    <m/>
    <m/>
    <m/>
    <m/>
    <m/>
    <m/>
    <m/>
    <m/>
    <m/>
    <m/>
    <m/>
    <m/>
    <m/>
    <n v="0"/>
    <n v="0"/>
    <m/>
    <m/>
    <m/>
    <m/>
    <m/>
    <m/>
    <m/>
    <m/>
    <m/>
    <m/>
    <m/>
    <m/>
    <m/>
    <n v="0"/>
    <n v="0"/>
    <m/>
    <m/>
    <m/>
    <m/>
    <m/>
    <m/>
    <m/>
    <m/>
    <m/>
    <m/>
    <n v="20"/>
    <m/>
    <m/>
    <n v="20"/>
    <n v="318600"/>
    <m/>
    <m/>
    <m/>
    <m/>
    <m/>
    <m/>
    <m/>
    <m/>
    <m/>
    <m/>
    <m/>
    <m/>
    <m/>
    <n v="0"/>
    <n v="0"/>
    <m/>
    <m/>
    <m/>
    <m/>
    <m/>
    <m/>
    <m/>
    <m/>
    <m/>
    <m/>
    <m/>
    <m/>
    <m/>
    <n v="0"/>
    <n v="0"/>
    <n v="0"/>
    <n v="20"/>
    <n v="318600"/>
  </r>
  <r>
    <m/>
    <s v="О"/>
    <x v="0"/>
    <x v="1"/>
    <x v="1"/>
    <x v="1"/>
    <s v="ДИТ"/>
    <n v="15930"/>
    <m/>
    <m/>
    <n v="0"/>
    <m/>
    <m/>
    <m/>
    <m/>
    <m/>
    <m/>
    <m/>
    <m/>
    <m/>
    <m/>
    <m/>
    <m/>
    <m/>
    <n v="0"/>
    <n v="0"/>
    <m/>
    <m/>
    <m/>
    <m/>
    <m/>
    <m/>
    <m/>
    <m/>
    <m/>
    <m/>
    <m/>
    <m/>
    <m/>
    <n v="0"/>
    <n v="0"/>
    <m/>
    <m/>
    <m/>
    <m/>
    <m/>
    <m/>
    <m/>
    <m/>
    <m/>
    <n v="3"/>
    <m/>
    <m/>
    <m/>
    <n v="3"/>
    <n v="47790"/>
    <m/>
    <m/>
    <m/>
    <m/>
    <m/>
    <m/>
    <m/>
    <m/>
    <m/>
    <m/>
    <m/>
    <m/>
    <m/>
    <n v="0"/>
    <n v="0"/>
    <m/>
    <m/>
    <m/>
    <m/>
    <m/>
    <m/>
    <m/>
    <m/>
    <m/>
    <m/>
    <m/>
    <m/>
    <m/>
    <n v="0"/>
    <n v="0"/>
    <n v="0"/>
    <n v="3"/>
    <n v="47790"/>
  </r>
  <r>
    <m/>
    <s v="О"/>
    <x v="0"/>
    <x v="4"/>
    <x v="1"/>
    <x v="8"/>
    <s v="ДИТ"/>
    <n v="15930"/>
    <m/>
    <m/>
    <n v="0"/>
    <m/>
    <m/>
    <m/>
    <m/>
    <m/>
    <m/>
    <m/>
    <m/>
    <m/>
    <m/>
    <m/>
    <m/>
    <m/>
    <n v="0"/>
    <n v="0"/>
    <m/>
    <m/>
    <m/>
    <m/>
    <m/>
    <m/>
    <m/>
    <m/>
    <m/>
    <m/>
    <m/>
    <m/>
    <m/>
    <n v="0"/>
    <n v="0"/>
    <m/>
    <m/>
    <m/>
    <m/>
    <m/>
    <m/>
    <m/>
    <m/>
    <m/>
    <m/>
    <n v="20"/>
    <m/>
    <m/>
    <n v="20"/>
    <n v="318600"/>
    <m/>
    <m/>
    <m/>
    <m/>
    <m/>
    <m/>
    <m/>
    <m/>
    <m/>
    <m/>
    <m/>
    <m/>
    <m/>
    <n v="0"/>
    <n v="0"/>
    <m/>
    <m/>
    <m/>
    <m/>
    <m/>
    <m/>
    <m/>
    <m/>
    <m/>
    <m/>
    <m/>
    <m/>
    <m/>
    <n v="0"/>
    <n v="0"/>
    <n v="0"/>
    <n v="20"/>
    <n v="318600"/>
  </r>
  <r>
    <m/>
    <s v="О"/>
    <x v="0"/>
    <x v="2"/>
    <x v="2"/>
    <x v="2"/>
    <s v="ДИТ"/>
    <n v="11900"/>
    <m/>
    <m/>
    <n v="0"/>
    <m/>
    <m/>
    <m/>
    <m/>
    <m/>
    <m/>
    <m/>
    <m/>
    <m/>
    <m/>
    <m/>
    <m/>
    <m/>
    <n v="0"/>
    <n v="0"/>
    <m/>
    <m/>
    <m/>
    <m/>
    <m/>
    <m/>
    <m/>
    <m/>
    <m/>
    <m/>
    <m/>
    <m/>
    <m/>
    <n v="0"/>
    <n v="0"/>
    <m/>
    <m/>
    <m/>
    <m/>
    <m/>
    <m/>
    <m/>
    <m/>
    <m/>
    <m/>
    <n v="2"/>
    <m/>
    <m/>
    <n v="2"/>
    <n v="23800"/>
    <m/>
    <m/>
    <m/>
    <m/>
    <m/>
    <m/>
    <m/>
    <m/>
    <m/>
    <m/>
    <m/>
    <m/>
    <m/>
    <n v="0"/>
    <n v="0"/>
    <m/>
    <m/>
    <m/>
    <m/>
    <m/>
    <m/>
    <m/>
    <m/>
    <m/>
    <m/>
    <m/>
    <m/>
    <m/>
    <n v="0"/>
    <n v="0"/>
    <n v="0"/>
    <n v="2"/>
    <n v="2380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2"/>
    <x v="2"/>
    <x v="2"/>
    <s v="ДИТ"/>
    <n v="11900"/>
    <m/>
    <m/>
    <n v="0"/>
    <m/>
    <m/>
    <m/>
    <m/>
    <m/>
    <m/>
    <m/>
    <m/>
    <m/>
    <m/>
    <m/>
    <m/>
    <m/>
    <n v="0"/>
    <n v="0"/>
    <m/>
    <m/>
    <m/>
    <m/>
    <m/>
    <m/>
    <m/>
    <m/>
    <m/>
    <m/>
    <m/>
    <m/>
    <m/>
    <n v="0"/>
    <n v="0"/>
    <m/>
    <m/>
    <m/>
    <m/>
    <m/>
    <m/>
    <m/>
    <m/>
    <m/>
    <m/>
    <n v="8"/>
    <n v="8"/>
    <m/>
    <n v="16"/>
    <n v="190400"/>
    <m/>
    <m/>
    <m/>
    <m/>
    <m/>
    <m/>
    <m/>
    <m/>
    <m/>
    <m/>
    <m/>
    <m/>
    <m/>
    <n v="0"/>
    <n v="0"/>
    <m/>
    <m/>
    <m/>
    <m/>
    <m/>
    <m/>
    <m/>
    <m/>
    <m/>
    <m/>
    <m/>
    <m/>
    <m/>
    <n v="0"/>
    <n v="0"/>
    <n v="0"/>
    <n v="16"/>
    <n v="19040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2"/>
    <x v="2"/>
    <x v="2"/>
    <s v="ДИТ"/>
    <n v="11900"/>
    <m/>
    <m/>
    <n v="0"/>
    <m/>
    <m/>
    <m/>
    <m/>
    <m/>
    <m/>
    <m/>
    <m/>
    <m/>
    <m/>
    <m/>
    <m/>
    <m/>
    <n v="0"/>
    <n v="0"/>
    <m/>
    <m/>
    <m/>
    <m/>
    <m/>
    <m/>
    <m/>
    <m/>
    <m/>
    <m/>
    <m/>
    <m/>
    <m/>
    <n v="0"/>
    <n v="0"/>
    <m/>
    <m/>
    <m/>
    <m/>
    <m/>
    <m/>
    <m/>
    <m/>
    <m/>
    <m/>
    <m/>
    <n v="2"/>
    <m/>
    <n v="2"/>
    <n v="23800"/>
    <m/>
    <m/>
    <m/>
    <m/>
    <m/>
    <m/>
    <m/>
    <m/>
    <m/>
    <m/>
    <m/>
    <m/>
    <m/>
    <n v="0"/>
    <n v="0"/>
    <m/>
    <m/>
    <m/>
    <m/>
    <m/>
    <m/>
    <m/>
    <m/>
    <m/>
    <m/>
    <m/>
    <m/>
    <m/>
    <n v="0"/>
    <n v="0"/>
    <n v="0"/>
    <n v="2"/>
    <n v="2380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s v=""/>
    <n v="0"/>
    <n v="0"/>
    <n v="0"/>
    <n v="0"/>
    <n v="0"/>
    <n v="0"/>
    <n v="0"/>
    <n v="0"/>
    <n v="0"/>
    <n v="0"/>
    <n v="0"/>
    <n v="0"/>
    <n v="0"/>
    <n v="0"/>
    <n v="0"/>
    <n v="0"/>
    <n v="0"/>
    <n v="0"/>
    <n v="0"/>
    <n v="24"/>
    <n v="135"/>
    <n v="150"/>
    <n v="142"/>
    <n v="135"/>
    <n v="116"/>
    <n v="121"/>
    <n v="148"/>
    <n v="176"/>
    <n v="149"/>
    <n v="152"/>
    <n v="0"/>
    <n v="1448"/>
    <n v="22398330"/>
    <n v="121"/>
    <n v="166"/>
    <n v="160"/>
    <n v="164"/>
    <n v="147"/>
    <n v="135"/>
    <n v="178"/>
    <n v="161"/>
    <n v="149"/>
    <n v="176"/>
    <n v="103"/>
    <n v="10"/>
    <n v="0"/>
    <n v="1670"/>
    <n v="23182570"/>
    <m/>
    <m/>
    <m/>
    <m/>
    <m/>
    <m/>
    <m/>
    <m/>
    <m/>
    <m/>
    <m/>
    <m/>
    <n v="0"/>
    <n v="0"/>
    <n v="0"/>
    <m/>
    <m/>
    <m/>
    <m/>
    <m/>
    <m/>
    <m/>
    <m/>
    <m/>
    <m/>
    <m/>
    <m/>
    <n v="0"/>
    <n v="2"/>
    <n v="31860"/>
    <n v="0"/>
    <n v="3120"/>
    <n v="45612760"/>
  </r>
  <r>
    <m/>
    <m/>
    <x v="0"/>
    <x v="0"/>
    <x v="0"/>
    <x v="0"/>
    <m/>
    <s v=""/>
    <m/>
    <m/>
    <m/>
    <m/>
    <m/>
    <m/>
    <m/>
    <m/>
    <m/>
    <m/>
    <m/>
    <m/>
    <m/>
    <m/>
    <m/>
    <m/>
    <m/>
    <m/>
    <m/>
    <m/>
    <m/>
    <m/>
    <m/>
    <m/>
    <m/>
    <m/>
    <m/>
    <m/>
    <m/>
    <m/>
    <m/>
    <m/>
    <m/>
    <m/>
    <m/>
    <m/>
    <m/>
    <m/>
    <m/>
    <m/>
    <m/>
    <m/>
    <m/>
    <m/>
    <m/>
    <m/>
    <m/>
    <m/>
    <m/>
    <m/>
    <m/>
    <m/>
    <m/>
    <m/>
    <m/>
    <m/>
    <m/>
    <m/>
    <m/>
    <m/>
    <m/>
    <m/>
    <m/>
    <m/>
    <m/>
    <m/>
    <m/>
    <m/>
    <m/>
    <m/>
    <m/>
    <m/>
    <m/>
    <m/>
    <m/>
    <m/>
    <m/>
    <m/>
    <m/>
    <m/>
    <m/>
  </r>
  <r>
    <m/>
    <s v="О"/>
    <x v="0"/>
    <x v="2"/>
    <x v="2"/>
    <x v="2"/>
    <s v="ДИТ"/>
    <n v="11900"/>
    <m/>
    <m/>
    <n v="0"/>
    <m/>
    <m/>
    <m/>
    <m/>
    <m/>
    <m/>
    <m/>
    <m/>
    <m/>
    <m/>
    <m/>
    <m/>
    <m/>
    <n v="0"/>
    <n v="0"/>
    <m/>
    <m/>
    <m/>
    <m/>
    <m/>
    <m/>
    <m/>
    <m/>
    <m/>
    <m/>
    <m/>
    <m/>
    <m/>
    <n v="0"/>
    <n v="0"/>
    <m/>
    <m/>
    <m/>
    <m/>
    <m/>
    <m/>
    <m/>
    <m/>
    <m/>
    <m/>
    <m/>
    <n v="10"/>
    <m/>
    <n v="10"/>
    <n v="119000"/>
    <m/>
    <m/>
    <m/>
    <m/>
    <m/>
    <m/>
    <m/>
    <m/>
    <m/>
    <m/>
    <m/>
    <m/>
    <m/>
    <n v="0"/>
    <n v="0"/>
    <m/>
    <m/>
    <m/>
    <m/>
    <m/>
    <m/>
    <m/>
    <m/>
    <m/>
    <m/>
    <m/>
    <m/>
    <m/>
    <n v="0"/>
    <n v="0"/>
    <n v="0"/>
    <n v="10"/>
    <n v="11900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1"/>
    <x v="1"/>
    <x v="1"/>
    <s v="ДИТ"/>
    <n v="15930"/>
    <m/>
    <m/>
    <n v="0"/>
    <m/>
    <m/>
    <m/>
    <m/>
    <m/>
    <m/>
    <m/>
    <m/>
    <m/>
    <m/>
    <m/>
    <m/>
    <m/>
    <n v="0"/>
    <n v="0"/>
    <m/>
    <m/>
    <m/>
    <m/>
    <m/>
    <m/>
    <m/>
    <m/>
    <m/>
    <m/>
    <m/>
    <m/>
    <m/>
    <n v="0"/>
    <n v="0"/>
    <m/>
    <m/>
    <m/>
    <m/>
    <m/>
    <m/>
    <m/>
    <m/>
    <m/>
    <m/>
    <m/>
    <n v="3"/>
    <m/>
    <n v="3"/>
    <n v="47790"/>
    <m/>
    <m/>
    <m/>
    <m/>
    <m/>
    <m/>
    <m/>
    <m/>
    <m/>
    <m/>
    <m/>
    <m/>
    <m/>
    <n v="0"/>
    <n v="0"/>
    <m/>
    <m/>
    <m/>
    <m/>
    <m/>
    <m/>
    <m/>
    <m/>
    <m/>
    <m/>
    <m/>
    <m/>
    <m/>
    <n v="0"/>
    <n v="0"/>
    <n v="0"/>
    <n v="3"/>
    <n v="4779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2"/>
    <x v="2"/>
    <x v="2"/>
    <s v="ДИТ"/>
    <n v="11900"/>
    <m/>
    <m/>
    <n v="0"/>
    <m/>
    <m/>
    <m/>
    <m/>
    <m/>
    <m/>
    <m/>
    <m/>
    <m/>
    <m/>
    <m/>
    <m/>
    <m/>
    <n v="0"/>
    <n v="0"/>
    <m/>
    <m/>
    <m/>
    <m/>
    <m/>
    <m/>
    <m/>
    <m/>
    <m/>
    <m/>
    <m/>
    <m/>
    <m/>
    <n v="0"/>
    <n v="0"/>
    <m/>
    <m/>
    <m/>
    <m/>
    <m/>
    <m/>
    <m/>
    <m/>
    <m/>
    <m/>
    <m/>
    <n v="2"/>
    <m/>
    <n v="2"/>
    <n v="23800"/>
    <m/>
    <m/>
    <m/>
    <m/>
    <m/>
    <m/>
    <m/>
    <m/>
    <m/>
    <m/>
    <m/>
    <m/>
    <m/>
    <n v="0"/>
    <n v="0"/>
    <m/>
    <m/>
    <m/>
    <m/>
    <m/>
    <m/>
    <m/>
    <m/>
    <m/>
    <m/>
    <m/>
    <m/>
    <m/>
    <n v="0"/>
    <n v="0"/>
    <n v="0"/>
    <n v="2"/>
    <n v="23800"/>
  </r>
  <r>
    <m/>
    <s v="О"/>
    <x v="0"/>
    <x v="1"/>
    <x v="1"/>
    <x v="1"/>
    <s v="ДИТ"/>
    <n v="15930"/>
    <m/>
    <m/>
    <n v="0"/>
    <m/>
    <m/>
    <m/>
    <m/>
    <m/>
    <m/>
    <m/>
    <m/>
    <m/>
    <m/>
    <m/>
    <m/>
    <m/>
    <n v="0"/>
    <n v="0"/>
    <m/>
    <m/>
    <m/>
    <m/>
    <m/>
    <m/>
    <m/>
    <m/>
    <m/>
    <m/>
    <m/>
    <m/>
    <m/>
    <n v="0"/>
    <n v="0"/>
    <m/>
    <m/>
    <m/>
    <m/>
    <m/>
    <m/>
    <m/>
    <m/>
    <m/>
    <m/>
    <n v="15"/>
    <n v="17"/>
    <m/>
    <n v="32"/>
    <n v="509760"/>
    <m/>
    <m/>
    <m/>
    <m/>
    <m/>
    <m/>
    <m/>
    <m/>
    <m/>
    <m/>
    <m/>
    <m/>
    <m/>
    <n v="0"/>
    <n v="0"/>
    <m/>
    <m/>
    <m/>
    <m/>
    <m/>
    <m/>
    <m/>
    <m/>
    <m/>
    <m/>
    <m/>
    <m/>
    <m/>
    <n v="0"/>
    <n v="0"/>
    <n v="0"/>
    <n v="32"/>
    <n v="509760"/>
  </r>
  <r>
    <m/>
    <s v="О"/>
    <x v="0"/>
    <x v="1"/>
    <x v="1"/>
    <x v="1"/>
    <s v="ДИТ"/>
    <n v="15930"/>
    <m/>
    <m/>
    <n v="0"/>
    <m/>
    <m/>
    <m/>
    <m/>
    <m/>
    <m/>
    <m/>
    <m/>
    <m/>
    <m/>
    <m/>
    <m/>
    <m/>
    <n v="0"/>
    <n v="0"/>
    <m/>
    <m/>
    <m/>
    <m/>
    <m/>
    <m/>
    <m/>
    <m/>
    <m/>
    <m/>
    <m/>
    <m/>
    <m/>
    <n v="0"/>
    <n v="0"/>
    <m/>
    <m/>
    <m/>
    <m/>
    <m/>
    <m/>
    <m/>
    <m/>
    <m/>
    <m/>
    <n v="2"/>
    <m/>
    <m/>
    <n v="2"/>
    <n v="31860"/>
    <m/>
    <m/>
    <m/>
    <m/>
    <m/>
    <m/>
    <m/>
    <m/>
    <m/>
    <m/>
    <m/>
    <m/>
    <m/>
    <n v="0"/>
    <n v="0"/>
    <m/>
    <m/>
    <m/>
    <m/>
    <m/>
    <m/>
    <m/>
    <m/>
    <m/>
    <m/>
    <m/>
    <m/>
    <m/>
    <n v="0"/>
    <n v="0"/>
    <n v="0"/>
    <n v="2"/>
    <n v="31860"/>
  </r>
  <r>
    <m/>
    <s v="О"/>
    <x v="0"/>
    <x v="0"/>
    <x v="0"/>
    <x v="0"/>
    <s v="ДИТ"/>
    <s v="нет данных"/>
    <m/>
    <m/>
    <n v="0"/>
    <m/>
    <m/>
    <m/>
    <m/>
    <m/>
    <m/>
    <m/>
    <m/>
    <m/>
    <m/>
    <m/>
    <m/>
    <m/>
    <n v="0"/>
    <n v="0"/>
    <m/>
    <m/>
    <m/>
    <m/>
    <m/>
    <m/>
    <m/>
    <m/>
    <m/>
    <m/>
    <m/>
    <m/>
    <m/>
    <n v="0"/>
    <n v="0"/>
    <m/>
    <m/>
    <m/>
    <m/>
    <m/>
    <m/>
    <m/>
    <m/>
    <m/>
    <m/>
    <m/>
    <m/>
    <m/>
    <n v="0"/>
    <n v="0"/>
    <m/>
    <m/>
    <m/>
    <m/>
    <m/>
    <m/>
    <m/>
    <m/>
    <m/>
    <m/>
    <m/>
    <m/>
    <m/>
    <n v="0"/>
    <n v="0"/>
    <m/>
    <m/>
    <m/>
    <m/>
    <m/>
    <m/>
    <m/>
    <m/>
    <m/>
    <m/>
    <m/>
    <m/>
    <m/>
    <n v="0"/>
    <n v="0"/>
    <n v="0"/>
    <n v="0"/>
    <n v="0"/>
  </r>
  <r>
    <m/>
    <s v="О"/>
    <x v="0"/>
    <x v="1"/>
    <x v="1"/>
    <x v="1"/>
    <s v="ДИТ"/>
    <n v="15930"/>
    <m/>
    <m/>
    <n v="0"/>
    <m/>
    <m/>
    <m/>
    <m/>
    <m/>
    <m/>
    <m/>
    <m/>
    <m/>
    <m/>
    <m/>
    <m/>
    <m/>
    <n v="0"/>
    <n v="0"/>
    <m/>
    <m/>
    <m/>
    <m/>
    <m/>
    <m/>
    <m/>
    <m/>
    <m/>
    <m/>
    <m/>
    <m/>
    <m/>
    <n v="0"/>
    <n v="0"/>
    <m/>
    <m/>
    <m/>
    <m/>
    <m/>
    <m/>
    <m/>
    <m/>
    <m/>
    <m/>
    <m/>
    <n v="2"/>
    <m/>
    <n v="2"/>
    <n v="31860"/>
    <m/>
    <m/>
    <m/>
    <m/>
    <m/>
    <m/>
    <m/>
    <m/>
    <m/>
    <m/>
    <m/>
    <m/>
    <m/>
    <n v="0"/>
    <n v="0"/>
    <m/>
    <m/>
    <m/>
    <m/>
    <m/>
    <m/>
    <m/>
    <m/>
    <m/>
    <m/>
    <m/>
    <m/>
    <m/>
    <n v="0"/>
    <n v="0"/>
    <n v="0"/>
    <n v="2"/>
    <n v="31860"/>
  </r>
  <r>
    <m/>
    <s v="О"/>
    <x v="0"/>
    <x v="0"/>
    <x v="0"/>
    <x v="0"/>
    <s v="ДИТ"/>
    <s v="нет данных"/>
    <m/>
    <m/>
    <n v="0"/>
    <m/>
    <m/>
    <m/>
    <m/>
    <m/>
    <m/>
    <m/>
    <m/>
    <m/>
    <m/>
    <m/>
    <m/>
    <m/>
    <n v="0"/>
    <n v="0"/>
    <m/>
    <m/>
    <m/>
    <m/>
    <m/>
    <m/>
    <m/>
    <m/>
    <m/>
    <m/>
    <m/>
    <m/>
    <m/>
    <n v="0"/>
    <n v="0"/>
    <m/>
    <m/>
    <m/>
    <m/>
    <m/>
    <m/>
    <m/>
    <m/>
    <m/>
    <m/>
    <m/>
    <m/>
    <m/>
    <n v="0"/>
    <n v="0"/>
    <m/>
    <m/>
    <m/>
    <m/>
    <m/>
    <m/>
    <m/>
    <m/>
    <m/>
    <m/>
    <m/>
    <m/>
    <m/>
    <n v="0"/>
    <n v="0"/>
    <m/>
    <m/>
    <m/>
    <m/>
    <m/>
    <m/>
    <m/>
    <m/>
    <m/>
    <m/>
    <m/>
    <m/>
    <m/>
    <n v="0"/>
    <n v="0"/>
    <n v="0"/>
    <n v="0"/>
    <n v="0"/>
  </r>
  <r>
    <m/>
    <m/>
    <x v="0"/>
    <x v="0"/>
    <x v="0"/>
    <x v="0"/>
    <m/>
    <s v=""/>
    <n v="0"/>
    <n v="0"/>
    <n v="0"/>
    <n v="0"/>
    <n v="0"/>
    <n v="0"/>
    <n v="0"/>
    <n v="0"/>
    <n v="0"/>
    <n v="0"/>
    <n v="0"/>
    <n v="0"/>
    <n v="0"/>
    <n v="0"/>
    <n v="0"/>
    <n v="0"/>
    <n v="0"/>
    <n v="0"/>
    <n v="0"/>
    <n v="0"/>
    <n v="0"/>
    <n v="0"/>
    <n v="0"/>
    <n v="0"/>
    <n v="0"/>
    <n v="0"/>
    <n v="0"/>
    <n v="0"/>
    <n v="0"/>
    <n v="0"/>
    <n v="0"/>
    <n v="0"/>
    <n v="0"/>
    <n v="0"/>
    <n v="0"/>
    <n v="0"/>
    <n v="0"/>
    <n v="0"/>
    <n v="0"/>
    <n v="0"/>
    <n v="0"/>
    <n v="0"/>
    <n v="0"/>
    <n v="17"/>
    <n v="34"/>
    <n v="0"/>
    <n v="51"/>
    <n v="764070"/>
    <m/>
    <m/>
    <m/>
    <m/>
    <m/>
    <m/>
    <m/>
    <m/>
    <m/>
    <m/>
    <m/>
    <m/>
    <n v="0"/>
    <n v="0"/>
    <n v="0"/>
    <m/>
    <m/>
    <m/>
    <m/>
    <m/>
    <m/>
    <m/>
    <m/>
    <m/>
    <m/>
    <m/>
    <m/>
    <n v="0"/>
    <n v="0"/>
    <n v="0"/>
    <n v="0"/>
    <n v="51"/>
    <n v="764070"/>
  </r>
  <r>
    <m/>
    <m/>
    <x v="0"/>
    <x v="0"/>
    <x v="0"/>
    <x v="0"/>
    <m/>
    <s v="Итого по ДРП:"/>
    <n v="0"/>
    <n v="0"/>
    <n v="0"/>
    <n v="0"/>
    <n v="0"/>
    <n v="0"/>
    <n v="0"/>
    <n v="0"/>
    <n v="0"/>
    <n v="0"/>
    <n v="0"/>
    <n v="0"/>
    <n v="0"/>
    <n v="0"/>
    <n v="0"/>
    <n v="0"/>
    <n v="0"/>
    <n v="0"/>
    <n v="0"/>
    <n v="24"/>
    <n v="135"/>
    <n v="150"/>
    <n v="142"/>
    <n v="135"/>
    <n v="116"/>
    <n v="121"/>
    <n v="148"/>
    <n v="176"/>
    <n v="149"/>
    <n v="152"/>
    <n v="0"/>
    <n v="1448"/>
    <n v="22398330"/>
    <n v="121"/>
    <n v="166"/>
    <n v="160"/>
    <n v="164"/>
    <n v="147"/>
    <n v="135"/>
    <n v="178"/>
    <n v="161"/>
    <n v="149"/>
    <n v="176"/>
    <n v="120"/>
    <n v="44"/>
    <n v="0"/>
    <n v="1721"/>
    <n v="23946640"/>
    <m/>
    <m/>
    <m/>
    <m/>
    <m/>
    <m/>
    <m/>
    <m/>
    <m/>
    <m/>
    <m/>
    <m/>
    <n v="0"/>
    <n v="0"/>
    <n v="0"/>
    <m/>
    <m/>
    <m/>
    <m/>
    <m/>
    <m/>
    <m/>
    <m/>
    <m/>
    <m/>
    <m/>
    <m/>
    <n v="0"/>
    <n v="2"/>
    <n v="31860"/>
    <n v="0"/>
    <n v="3171"/>
    <n v="46376830"/>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s v="Начисления (акты)"/>
    <m/>
    <m/>
    <n v="2016"/>
    <s v="янв"/>
    <s v="фев"/>
    <s v="мар"/>
    <s v="апр"/>
    <s v="май"/>
    <s v="июн"/>
    <s v="июл"/>
    <s v="авг"/>
    <s v="сен"/>
    <s v="окт"/>
    <s v="ноя"/>
    <s v="дек"/>
    <s v="вых"/>
    <m/>
    <n v="2017"/>
    <s v="янв"/>
    <s v="фев"/>
    <s v="мар"/>
    <s v="апр"/>
    <s v="май"/>
    <s v="июн"/>
    <s v="июл"/>
    <s v="авг"/>
    <s v="сен"/>
    <s v="окт"/>
    <s v="ноя"/>
    <s v="дек"/>
    <s v="вых"/>
    <m/>
    <n v="2018"/>
    <s v="янв"/>
    <s v="фев"/>
    <s v="мар"/>
    <s v="апр"/>
    <s v="май"/>
    <s v="июн"/>
    <s v="июл"/>
    <s v="авг"/>
    <s v="сен"/>
    <s v="окт"/>
    <s v="ноя"/>
    <s v="дек"/>
    <s v="вых"/>
    <m/>
    <n v="2019"/>
    <s v="янв"/>
    <s v="фев"/>
    <s v="мар"/>
    <s v="апр"/>
    <s v="май"/>
    <s v="июн"/>
    <s v="июл"/>
    <s v="авг"/>
    <s v="сен"/>
    <s v="окт"/>
    <s v="ноя"/>
    <s v="дек"/>
    <s v="вых"/>
    <m/>
    <n v="2020"/>
    <s v="янв"/>
    <s v="фев"/>
    <s v="мар"/>
    <s v="апр"/>
    <s v="май"/>
    <s v="июн"/>
    <s v="июл"/>
    <s v="авг"/>
    <s v="сен"/>
    <s v="окт"/>
    <s v="ноя"/>
    <s v="дек"/>
    <s v="вых"/>
    <m/>
    <n v="2021"/>
    <m/>
    <m/>
    <m/>
  </r>
  <r>
    <m/>
    <m/>
    <x v="0"/>
    <x v="0"/>
    <x v="0"/>
    <x v="0"/>
    <m/>
    <s v="Opex т.р."/>
    <n v="0"/>
    <n v="0"/>
    <n v="0"/>
    <n v="0"/>
    <n v="0"/>
    <n v="0"/>
    <n v="0"/>
    <n v="0"/>
    <n v="0"/>
    <n v="0"/>
    <n v="0"/>
    <n v="0"/>
    <n v="0"/>
    <n v="0"/>
    <n v="0"/>
    <n v="0"/>
    <m/>
    <n v="0"/>
    <n v="0"/>
    <n v="0"/>
    <n v="0"/>
    <n v="0"/>
    <n v="0"/>
    <n v="107.6"/>
    <n v="473.44"/>
    <n v="494.96"/>
    <n v="215.2"/>
    <n v="279.76"/>
    <n v="451.92"/>
    <n v="605.48"/>
    <n v="0"/>
    <m/>
    <n v="2628.36"/>
    <n v="435.64"/>
    <n v="371.08"/>
    <n v="735.38"/>
    <n v="806.34"/>
    <n v="770.86"/>
    <n v="699.9"/>
    <n v="1134.6400000000001"/>
    <n v="780.56"/>
    <n v="864.08"/>
    <n v="1034.03"/>
    <n v="1425.21"/>
    <n v="612.26"/>
    <n v="0"/>
    <m/>
    <n v="9669.98"/>
    <n v="0"/>
    <n v="0"/>
    <n v="0"/>
    <n v="0"/>
    <n v="0"/>
    <n v="0"/>
    <n v="0"/>
    <n v="0"/>
    <n v="0"/>
    <n v="0"/>
    <n v="0"/>
    <n v="0"/>
    <n v="0"/>
    <m/>
    <n v="0"/>
    <n v="0"/>
    <n v="0"/>
    <n v="0"/>
    <n v="0"/>
    <n v="0"/>
    <n v="0"/>
    <n v="0"/>
    <n v="0"/>
    <n v="0"/>
    <n v="0"/>
    <n v="0"/>
    <n v="0"/>
    <n v="0"/>
    <m/>
    <n v="0"/>
    <m/>
    <m/>
    <m/>
  </r>
  <r>
    <n v="0"/>
    <m/>
    <x v="0"/>
    <x v="0"/>
    <x v="0"/>
    <x v="0"/>
    <m/>
    <s v="Capex т.р."/>
    <n v="0"/>
    <n v="0"/>
    <n v="0"/>
    <n v="0"/>
    <n v="0"/>
    <n v="0"/>
    <n v="0"/>
    <n v="0"/>
    <n v="0"/>
    <n v="0"/>
    <n v="0"/>
    <n v="0"/>
    <n v="0"/>
    <n v="0"/>
    <n v="0"/>
    <n v="0"/>
    <m/>
    <n v="0"/>
    <n v="0"/>
    <n v="454.13"/>
    <n v="2252.6999999999998"/>
    <n v="2436.88"/>
    <n v="2335.9499999999998"/>
    <n v="2221.6999999999998"/>
    <n v="1436.71"/>
    <n v="1496.4"/>
    <n v="1854.77"/>
    <n v="2190.35"/>
    <n v="1589.69"/>
    <n v="1500.69"/>
    <n v="0"/>
    <m/>
    <n v="19769.969999999998"/>
    <n v="1214.1099999999999"/>
    <n v="2040.24"/>
    <n v="1598.42"/>
    <n v="1502.6"/>
    <n v="1227.71"/>
    <n v="1140.19"/>
    <n v="1408.93"/>
    <n v="1452.64"/>
    <n v="1166.3499999999999"/>
    <n v="1477.68"/>
    <n v="47.79"/>
    <n v="0"/>
    <n v="0"/>
    <m/>
    <n v="14276.660000000002"/>
    <n v="0"/>
    <n v="0"/>
    <n v="0"/>
    <n v="0"/>
    <n v="0"/>
    <n v="0"/>
    <n v="0"/>
    <n v="0"/>
    <n v="0"/>
    <n v="0"/>
    <n v="0"/>
    <n v="0"/>
    <n v="0"/>
    <m/>
    <n v="0"/>
    <n v="31.86"/>
    <n v="0"/>
    <n v="0"/>
    <n v="0"/>
    <n v="0"/>
    <n v="0"/>
    <n v="0"/>
    <n v="0"/>
    <n v="0"/>
    <n v="0"/>
    <n v="0"/>
    <n v="0"/>
    <n v="0"/>
    <m/>
    <n v="31.86"/>
    <m/>
    <m/>
    <m/>
  </r>
  <r>
    <n v="0"/>
    <m/>
    <x v="0"/>
    <x v="0"/>
    <x v="0"/>
    <x v="0"/>
    <m/>
    <m/>
    <m/>
    <m/>
    <m/>
    <m/>
    <m/>
    <m/>
    <m/>
    <m/>
    <m/>
    <m/>
    <m/>
    <m/>
    <m/>
    <m/>
    <m/>
    <m/>
    <m/>
    <m/>
    <m/>
    <m/>
    <m/>
    <m/>
    <m/>
    <m/>
    <m/>
    <m/>
    <m/>
    <m/>
    <m/>
    <m/>
    <m/>
    <m/>
    <m/>
    <m/>
    <m/>
    <m/>
    <m/>
    <m/>
    <m/>
    <m/>
    <m/>
    <m/>
    <m/>
    <m/>
    <m/>
    <m/>
    <m/>
    <m/>
    <m/>
    <m/>
    <m/>
    <m/>
    <m/>
    <m/>
    <m/>
    <m/>
    <m/>
    <m/>
    <m/>
    <m/>
    <m/>
    <m/>
    <m/>
    <m/>
    <m/>
    <m/>
    <m/>
    <m/>
    <m/>
    <m/>
    <m/>
    <m/>
    <m/>
    <m/>
    <m/>
    <m/>
    <m/>
    <m/>
    <m/>
    <m/>
    <m/>
  </r>
  <r>
    <n v="0"/>
    <m/>
    <x v="0"/>
    <x v="0"/>
    <x v="0"/>
    <x v="0"/>
    <m/>
    <s v="Бюджет по оплатам"/>
    <m/>
    <m/>
    <n v="2016"/>
    <s v="янв"/>
    <s v="фев"/>
    <s v="мар"/>
    <s v="апр"/>
    <s v="май"/>
    <s v="июн"/>
    <s v="июл"/>
    <s v="авг"/>
    <s v="сен"/>
    <s v="окт"/>
    <s v="ноя"/>
    <s v="дек"/>
    <s v="вых"/>
    <m/>
    <n v="2017"/>
    <s v="янв"/>
    <s v="фев"/>
    <s v="мар"/>
    <s v="апр"/>
    <s v="май"/>
    <s v="июн"/>
    <s v="июл"/>
    <s v="авг"/>
    <s v="сен"/>
    <s v="окт"/>
    <s v="ноя"/>
    <s v="дек"/>
    <s v="вых"/>
    <m/>
    <n v="2018"/>
    <s v="янв"/>
    <s v="фев"/>
    <s v="мар"/>
    <s v="апр"/>
    <s v="май"/>
    <s v="июн"/>
    <s v="июл"/>
    <s v="авг"/>
    <s v="сен"/>
    <s v="окт"/>
    <s v="ноя"/>
    <s v="дек"/>
    <s v="вых"/>
    <m/>
    <n v="2019"/>
    <s v="янв"/>
    <s v="фев"/>
    <s v="мар"/>
    <s v="апр"/>
    <s v="май"/>
    <s v="июн"/>
    <s v="июл"/>
    <s v="авг"/>
    <s v="сен"/>
    <s v="окт"/>
    <s v="ноя"/>
    <s v="дек"/>
    <s v="вых"/>
    <m/>
    <n v="2020"/>
    <s v="янв"/>
    <s v="фев"/>
    <s v="мар"/>
    <s v="апр"/>
    <s v="май"/>
    <s v="июн"/>
    <s v="июл"/>
    <s v="авг"/>
    <s v="сен"/>
    <s v="окт"/>
    <s v="ноя"/>
    <s v="дек"/>
    <s v="вых"/>
    <m/>
    <n v="2021"/>
    <m/>
    <m/>
    <s v="янв. 2022"/>
  </r>
  <r>
    <n v="0"/>
    <m/>
    <x v="0"/>
    <x v="0"/>
    <x v="0"/>
    <x v="0"/>
    <m/>
    <s v="Opex т.р."/>
    <m/>
    <m/>
    <n v="0"/>
    <m/>
    <n v="0"/>
    <n v="0"/>
    <n v="0"/>
    <n v="0"/>
    <n v="0"/>
    <n v="0"/>
    <n v="0"/>
    <n v="0"/>
    <n v="0"/>
    <n v="0"/>
    <n v="0"/>
    <n v="0"/>
    <m/>
    <n v="0"/>
    <n v="0"/>
    <n v="0"/>
    <n v="0"/>
    <n v="0"/>
    <n v="0"/>
    <n v="0"/>
    <n v="107.6"/>
    <n v="473.44"/>
    <n v="494.96"/>
    <n v="215.2"/>
    <n v="279.76"/>
    <n v="451.92"/>
    <n v="0"/>
    <m/>
    <n v="2022.88"/>
    <n v="605.48"/>
    <n v="435.64"/>
    <n v="371.08"/>
    <n v="735.38"/>
    <n v="806.34"/>
    <n v="770.86"/>
    <n v="699.9"/>
    <n v="1134.6400000000001"/>
    <n v="780.56"/>
    <n v="864.08"/>
    <n v="1034.03"/>
    <n v="1425.21"/>
    <n v="0"/>
    <m/>
    <n v="9663.2000000000007"/>
    <n v="612.26"/>
    <n v="0"/>
    <n v="0"/>
    <n v="0"/>
    <n v="0"/>
    <n v="0"/>
    <n v="0"/>
    <n v="0"/>
    <n v="0"/>
    <n v="0"/>
    <n v="0"/>
    <n v="0"/>
    <n v="0"/>
    <m/>
    <n v="612.26"/>
    <n v="0"/>
    <n v="0"/>
    <n v="0"/>
    <n v="0"/>
    <n v="0"/>
    <n v="0"/>
    <n v="0"/>
    <n v="0"/>
    <n v="0"/>
    <n v="0"/>
    <n v="0"/>
    <n v="0"/>
    <n v="0"/>
    <m/>
    <n v="0"/>
    <m/>
    <m/>
    <n v="0"/>
  </r>
  <r>
    <n v="45612760"/>
    <m/>
    <x v="0"/>
    <x v="0"/>
    <x v="0"/>
    <x v="0"/>
    <m/>
    <s v="Capex т.р."/>
    <m/>
    <m/>
    <n v="0"/>
    <m/>
    <n v="0"/>
    <n v="0"/>
    <n v="0"/>
    <n v="0"/>
    <n v="0"/>
    <n v="0"/>
    <n v="0"/>
    <n v="0"/>
    <n v="0"/>
    <n v="0"/>
    <n v="0"/>
    <n v="0"/>
    <m/>
    <n v="0"/>
    <n v="0"/>
    <n v="0"/>
    <n v="454.13"/>
    <n v="2252.6999999999998"/>
    <n v="2436.88"/>
    <n v="2335.9499999999998"/>
    <n v="2221.6999999999998"/>
    <n v="1436.71"/>
    <n v="1496.4"/>
    <n v="1854.77"/>
    <n v="2190.35"/>
    <n v="1589.69"/>
    <n v="0"/>
    <m/>
    <n v="18269.28"/>
    <n v="1500.69"/>
    <n v="1214.1099999999999"/>
    <n v="2040.24"/>
    <n v="1598.42"/>
    <n v="1502.6"/>
    <n v="1227.71"/>
    <n v="1140.19"/>
    <n v="1408.93"/>
    <n v="1452.64"/>
    <n v="1166.3499999999999"/>
    <n v="1477.68"/>
    <n v="47.79"/>
    <n v="0"/>
    <m/>
    <n v="15777.350000000002"/>
    <n v="0"/>
    <n v="0"/>
    <n v="0"/>
    <n v="0"/>
    <n v="0"/>
    <n v="0"/>
    <n v="0"/>
    <n v="0"/>
    <n v="0"/>
    <n v="0"/>
    <n v="0"/>
    <n v="0"/>
    <n v="0"/>
    <m/>
    <n v="0"/>
    <n v="0"/>
    <n v="31.86"/>
    <n v="0"/>
    <n v="0"/>
    <n v="0"/>
    <n v="0"/>
    <n v="0"/>
    <n v="0"/>
    <n v="0"/>
    <n v="0"/>
    <n v="0"/>
    <n v="0"/>
    <n v="0"/>
    <m/>
    <n v="31.86"/>
    <m/>
    <m/>
    <n v="0"/>
  </r>
  <r>
    <n v="764070"/>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220">
  <r>
    <s v="1."/>
    <s v="Фвза 1. Инициирование. Этап № 1. Оценка"/>
    <m/>
    <m/>
    <x v="0"/>
    <m/>
    <m/>
    <m/>
    <m/>
    <m/>
    <m/>
    <m/>
    <m/>
    <m/>
    <m/>
    <m/>
    <m/>
    <m/>
    <m/>
    <m/>
    <m/>
    <m/>
    <m/>
    <m/>
    <m/>
    <m/>
    <m/>
    <m/>
    <m/>
    <m/>
    <m/>
    <m/>
    <m/>
    <m/>
    <m/>
    <m/>
    <m/>
    <m/>
    <m/>
    <m/>
    <m/>
    <m/>
    <m/>
    <m/>
    <m/>
    <m/>
    <m/>
    <m/>
    <m/>
    <m/>
    <m/>
    <m/>
    <m/>
    <m/>
    <m/>
    <m/>
    <m/>
    <m/>
    <m/>
    <m/>
    <m/>
    <m/>
    <m/>
    <m/>
    <m/>
    <m/>
    <m/>
    <m/>
    <m/>
    <m/>
    <m/>
    <m/>
    <m/>
    <m/>
    <m/>
    <m/>
    <m/>
    <m/>
    <m/>
    <m/>
    <m/>
    <m/>
    <m/>
    <m/>
    <m/>
    <m/>
    <m/>
    <m/>
    <m/>
    <m/>
    <m/>
    <m/>
  </r>
  <r>
    <s v="13.1.01"/>
    <s v="Разработка,  согласование и подписание Карточки ИТ-инициативы"/>
    <s v="Разработка,  согласование и подписание Карточки ИТ-инициативы с ФЗ и ДИТ (включая: Реестр требований, Обоснование целесообразности,  Бизнес-выгоды,  Реестр рисков, Опросный лист ИБ;  определение источника и лимитов финансирования)"/>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1.02"/>
    <s v="Регистрация ИТ-инициативы в Программе проектов Компании"/>
    <s v="Регистрация ИТ-инициативы в Программе проектов Компании (присвоение номера ИТ-инициативе)"/>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1:"/>
    <m/>
    <m/>
    <m/>
    <x v="0"/>
    <m/>
    <m/>
    <m/>
    <m/>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2."/>
    <s v="Фаза 1. Инициирование. Этап № 2. Выбор "/>
    <m/>
    <m/>
    <x v="0"/>
    <m/>
    <m/>
    <m/>
    <m/>
    <m/>
    <s v=""/>
    <m/>
    <m/>
    <m/>
    <m/>
    <m/>
    <m/>
    <m/>
    <m/>
    <m/>
    <m/>
    <m/>
    <m/>
    <m/>
    <m/>
    <m/>
    <m/>
    <m/>
    <m/>
    <m/>
    <m/>
    <m/>
    <m/>
    <m/>
    <m/>
    <m/>
    <m/>
    <m/>
    <m/>
    <m/>
    <m/>
    <m/>
    <m/>
    <m/>
    <m/>
    <m/>
    <m/>
    <m/>
    <m/>
    <m/>
    <m/>
    <m/>
    <m/>
    <m/>
    <m/>
    <m/>
    <m/>
    <m/>
    <m/>
    <m/>
    <m/>
    <m/>
    <m/>
    <m/>
    <m/>
    <m/>
    <m/>
    <m/>
    <m/>
    <m/>
    <m/>
    <m/>
    <m/>
    <m/>
    <m/>
    <m/>
    <m/>
    <m/>
    <m/>
    <m/>
    <m/>
    <m/>
    <m/>
    <m/>
    <m/>
    <m/>
    <m/>
    <m/>
    <m/>
    <m/>
    <m/>
    <m/>
  </r>
  <r>
    <s v="13.2.01"/>
    <s v="Проведение анализа рынка по реализации ИТ-инициативы"/>
    <s v="Проведение анализа рынка, оценки потенциальных поставщиков и стоимости  услуг по проработке  ИТ-инициатив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2"/>
    <s v="Разработка Детального ресурсного плана на  ИТ-иницитиву"/>
    <s v="Разработка, согласование и подписание Детального ресурсного плана на проработку ИТ-иницитивы (на фазы &quot;Инициирование&quot; и &quot;Планирова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3"/>
    <s v="Разработка и согласование комплекта документов для ИК/ИПК  на ИТ- инициативу"/>
    <s v="Разработка и согласование  комплекта документов для ИК/ИПК (Заявка о включении в повестку заседания, Презентация, Бизнес-план, ФЭМ/Паспорт проекта, Бюджет проекта,  Реестр рисков)"/>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4"/>
    <s v="Утверждение лимита финансирования на проработку ИТ-инициативы"/>
    <s v="Утверждение лимита финансирования на проработку ИТ-инициативы  (на фазы &quot;Инициирование&quot; и &quot;Планирова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5"/>
    <s v="Подготовка  Приказа по НН-ОЦО о старте ИТ-инициативы и выделении ресурсов"/>
    <s v="Подготовка  Приказа по НН-ОЦО о старте ИТ-инициативы и выделении ресурсов на ИТ-инициативу"/>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6"/>
    <s v="Организация заведения заявок в системе учета трудозатрат"/>
    <s v="Организация заведения заявок в системе учета трудозатрат"/>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7"/>
    <s v="Подготовка комплекта закупочной документации  на ИТ-инициативу"/>
    <s v="Подготовка комплекта закупочной документации для закупки услуг по проработке ИТ-инициатив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8"/>
    <s v="Проведение закупки услуг по проработке ИТ-инициативы"/>
    <s v="Проведение закупки, Экспертиза предложений  потенциальных поставщиков услуг по проработке ИТ-инициативы и подготовка экспертных заключений в рамках проведения закупочных процедур"/>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2.09"/>
    <s v="Заключение договора с внешним подрядчиком на проработку ИТ-инициативы"/>
    <s v="Подготовка, согласоване и заключение договора с внешним подрядчиком на оказание услуг по проработке ИТ-инициатив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2:"/>
    <m/>
    <m/>
    <m/>
    <x v="0"/>
    <m/>
    <m/>
    <m/>
    <m/>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3."/>
    <s v="Фаза 2. Планирование. Этап № 3.Изучение и детализация "/>
    <m/>
    <m/>
    <x v="0"/>
    <m/>
    <m/>
    <m/>
    <m/>
    <m/>
    <m/>
    <m/>
    <m/>
    <m/>
    <m/>
    <m/>
    <m/>
    <m/>
    <m/>
    <m/>
    <m/>
    <m/>
    <m/>
    <m/>
    <m/>
    <m/>
    <m/>
    <m/>
    <m/>
    <m/>
    <m/>
    <m/>
    <m/>
    <m/>
    <m/>
    <m/>
    <m/>
    <m/>
    <m/>
    <m/>
    <m/>
    <m/>
    <m/>
    <m/>
    <m/>
    <m/>
    <m/>
    <m/>
    <m/>
    <m/>
    <m/>
    <m/>
    <m/>
    <m/>
    <m/>
    <m/>
    <m/>
    <m/>
    <m/>
    <m/>
    <m/>
    <m/>
    <m/>
    <m/>
    <m/>
    <m/>
    <m/>
    <m/>
    <m/>
    <m/>
    <m/>
    <m/>
    <m/>
    <m/>
    <m/>
    <m/>
    <m/>
    <m/>
    <m/>
    <m/>
    <m/>
    <m/>
    <m/>
    <m/>
    <m/>
    <m/>
    <m/>
    <m/>
    <m/>
    <m/>
    <m/>
    <m/>
  </r>
  <r>
    <s v="13.3.01"/>
    <s v="Управление ИТ-инициативой"/>
    <s v="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2"/>
    <s v="Администрирование ИТ-инициативы"/>
    <s v="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3"/>
    <s v="Разработка и согласование Функционально-технических требований"/>
    <s v="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4"/>
    <s v="Проведение анализа рынка по реализации ИТ-проекта"/>
    <s v="Проведение анализа рынка, оценки потенциальных поставщиков и стоимости услуг по реализации ИТ-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5"/>
    <s v="Архитектурная проработка ИТ-инициативы"/>
    <s v="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6"/>
    <s v="Принятие решения по архитектуре системы"/>
    <s v="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7"/>
    <s v="Разработка и согласование Детального ресурного плана на ИТ-проект"/>
    <s v="Разработка и согласование Детального ресурного плана на ИТ-проект (на фазы &quot;Реализация&quot; и &quot;Заверше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8"/>
    <s v="Разработка и согласование комплекта документов для ИК/ИПК на ИТ- проект"/>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3.09"/>
    <s v="Защита бюджета и параметров ИТ-проекта"/>
    <s v="Защита бюджета и параметров ИТ-проекта  (на фазы &quot;Реализация&quot;и &quot;Заверше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3:"/>
    <m/>
    <m/>
    <m/>
    <x v="0"/>
    <m/>
    <m/>
    <m/>
    <m/>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4."/>
    <s v="Фаза 2. Планирование. Этап № 4. Подготовка к реализации "/>
    <m/>
    <m/>
    <x v="0"/>
    <m/>
    <m/>
    <m/>
    <m/>
    <m/>
    <s v=""/>
    <m/>
    <m/>
    <m/>
    <m/>
    <m/>
    <m/>
    <m/>
    <m/>
    <m/>
    <m/>
    <m/>
    <m/>
    <m/>
    <m/>
    <m/>
    <m/>
    <m/>
    <m/>
    <m/>
    <m/>
    <m/>
    <m/>
    <m/>
    <m/>
    <m/>
    <m/>
    <m/>
    <m/>
    <m/>
    <m/>
    <m/>
    <m/>
    <m/>
    <m/>
    <m/>
    <m/>
    <m/>
    <m/>
    <m/>
    <m/>
    <m/>
    <m/>
    <m/>
    <m/>
    <m/>
    <m/>
    <m/>
    <m/>
    <m/>
    <m/>
    <m/>
    <m/>
    <m/>
    <m/>
    <m/>
    <m/>
    <m/>
    <m/>
    <m/>
    <m/>
    <m/>
    <m/>
    <m/>
    <m/>
    <m/>
    <m/>
    <m/>
    <m/>
    <m/>
    <m/>
    <m/>
    <m/>
    <m/>
    <m/>
    <m/>
    <m/>
    <m/>
    <m/>
    <m/>
    <m/>
    <m/>
  </r>
  <r>
    <s v="13.4.01"/>
    <s v="Управление ИТ-проектом"/>
    <s v="Управление ИТ-проектом (включая, но не ограничиваясь: организацию и контроль работ по ИТ-проекту, проведение встреч в рамках ИТ-проекта, согласование и подписание протоколов встреч в рамках ИТ-проекта; подготовка презентационных материалов для ОС/УК; проведение заседаний Операционного совета и Управляющего комитета;  подготовку и проведение закупочных процедур; контрактование; ведение договорной работы; разработку и согласование комплекта документов для ИК/ИПК; организацию работ по выделению ресурсов НН-ОЦО на реализацию 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2"/>
    <s v="Администрирование ИТ-проекта"/>
    <s v="Администрирование ИТ-проекта (включая, но не ограничиваясь: организацию и согласование документов, разрабатываемых в рамках ИТ-проекта; контроль исполнения поручений в рамках ИТ-проекта; ведение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3"/>
    <s v="Подготовка комплекта закупочной документации на ИТ-проект"/>
    <s v="Подготовка комплекта закупочной документации для закупки услуг по реализации ИТ-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4"/>
    <s v="Проведение закупочных процедур по реализации ИТ-проекта"/>
    <s v="Проведение закупки, экспертиза предложений потенциальных поставщиков услуг по реализации ИТ-проекта, подготовка экспертных заключений в рамках проведения закупочных процедур"/>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6"/>
    <s v="Актуализация и согласование  документации по ИТ-проекту по результатам закупочных процедур"/>
    <s v="Актуализация и согласование  документации по проекту по результатам закупочных процедур (включая: Детальный ресурный план,  Реестр рисков, Требования ИБ, План технической инфраструктуры, ФТТ, Реестр точек интеграции, Требования к разработке)"/>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7"/>
    <s v="Разработка и согласование комплекта документов для ИК/ИПК (корректировка ИТ-проекта)"/>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8"/>
    <s v="Защита корректировок бюджета и параметров ИТ-проекта  "/>
    <s v="Защита корректировок бюджета и параметров ИТ-проекта по результатам закупочных процедур  (на фазы &quot;Реализация&quot; и &quot;Завершение&quot;)"/>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09"/>
    <s v="Заключение договора с внешним подрядчиком на ИТ-проект"/>
    <s v="Подготовка, согласоване и заключение договора с внешним подрядчиком на оказание услуг по реализации ИТ-проекта"/>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10"/>
    <s v="Подготовка  Приказа по НН-ОЦО о старте ИТ-проекта и выделении ресурсов"/>
    <s v="Подготовка  Приказа по НН-ОЦО о старте ИТ-проекта и выделении ресурсов на ИТ-проект"/>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11"/>
    <s v="Организация заведения заявок в системе учета трудозатрат"/>
    <s v="Организация заведения заявок в системе учета трудозатрат"/>
    <m/>
    <x v="1"/>
    <m/>
    <m/>
    <m/>
    <m/>
    <s v="ДИТ"/>
    <s v="нет данных"/>
    <m/>
    <m/>
    <n v="0"/>
    <m/>
    <m/>
    <m/>
    <m/>
    <m/>
    <m/>
    <m/>
    <m/>
    <m/>
    <m/>
    <m/>
    <m/>
    <m/>
    <n v="0"/>
    <n v="0"/>
    <m/>
    <m/>
    <m/>
    <m/>
    <m/>
    <m/>
    <m/>
    <m/>
    <m/>
    <m/>
    <m/>
    <m/>
    <m/>
    <n v="0"/>
    <n v="0"/>
    <m/>
    <m/>
    <m/>
    <m/>
    <m/>
    <m/>
    <m/>
    <m/>
    <m/>
    <m/>
    <m/>
    <m/>
    <m/>
    <n v="0"/>
    <n v="0"/>
    <m/>
    <m/>
    <m/>
    <m/>
    <m/>
    <m/>
    <m/>
    <m/>
    <m/>
    <m/>
    <m/>
    <m/>
    <m/>
    <n v="0"/>
    <n v="0"/>
    <m/>
    <m/>
    <m/>
    <m/>
    <m/>
    <m/>
    <m/>
    <m/>
    <m/>
    <m/>
    <m/>
    <m/>
    <m/>
    <n v="0"/>
    <n v="0"/>
    <n v="0"/>
    <n v="0"/>
    <n v="0"/>
  </r>
  <r>
    <m/>
    <m/>
    <m/>
    <m/>
    <x v="1"/>
    <m/>
    <m/>
    <m/>
    <m/>
    <s v="ДИТ"/>
    <s v="нет данных"/>
    <m/>
    <m/>
    <n v="0"/>
    <m/>
    <m/>
    <m/>
    <m/>
    <m/>
    <m/>
    <m/>
    <m/>
    <m/>
    <m/>
    <m/>
    <m/>
    <m/>
    <n v="0"/>
    <n v="0"/>
    <m/>
    <m/>
    <m/>
    <m/>
    <m/>
    <m/>
    <m/>
    <m/>
    <m/>
    <m/>
    <m/>
    <m/>
    <m/>
    <n v="0"/>
    <n v="0"/>
    <m/>
    <m/>
    <m/>
    <m/>
    <m/>
    <m/>
    <m/>
    <m/>
    <m/>
    <m/>
    <m/>
    <m/>
    <m/>
    <n v="0"/>
    <n v="0"/>
    <m/>
    <m/>
    <m/>
    <m/>
    <m/>
    <m/>
    <m/>
    <m/>
    <m/>
    <m/>
    <m/>
    <m/>
    <m/>
    <n v="0"/>
    <n v="0"/>
    <m/>
    <m/>
    <m/>
    <m/>
    <m/>
    <m/>
    <m/>
    <m/>
    <m/>
    <m/>
    <m/>
    <m/>
    <m/>
    <n v="0"/>
    <n v="0"/>
    <n v="0"/>
    <n v="0"/>
    <n v="0"/>
  </r>
  <r>
    <s v="13.4.12"/>
    <s v="Приобретение лицензий на программное обеспечение "/>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4.13"/>
    <s v="Приобретение оборудования"/>
    <s v="Приобретение оборудования  (в том числе, ИТ-оборудования))"/>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4:"/>
    <m/>
    <m/>
    <m/>
    <x v="0"/>
    <m/>
    <m/>
    <m/>
    <m/>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5."/>
    <s v="Фаза  3. Реализация.  Этап № 5. Реализация  "/>
    <m/>
    <m/>
    <x v="0"/>
    <m/>
    <m/>
    <m/>
    <m/>
    <m/>
    <s v=""/>
    <m/>
    <m/>
    <m/>
    <m/>
    <m/>
    <m/>
    <m/>
    <m/>
    <m/>
    <m/>
    <m/>
    <m/>
    <m/>
    <m/>
    <m/>
    <m/>
    <m/>
    <m/>
    <m/>
    <m/>
    <m/>
    <m/>
    <m/>
    <m/>
    <m/>
    <m/>
    <m/>
    <m/>
    <m/>
    <m/>
    <m/>
    <m/>
    <m/>
    <m/>
    <m/>
    <m/>
    <m/>
    <m/>
    <m/>
    <m/>
    <m/>
    <m/>
    <m/>
    <m/>
    <m/>
    <m/>
    <m/>
    <m/>
    <m/>
    <m/>
    <m/>
    <m/>
    <m/>
    <m/>
    <m/>
    <m/>
    <m/>
    <m/>
    <m/>
    <m/>
    <m/>
    <m/>
    <m/>
    <m/>
    <m/>
    <m/>
    <m/>
    <m/>
    <m/>
    <m/>
    <m/>
    <m/>
    <m/>
    <m/>
    <m/>
    <m/>
    <m/>
    <m/>
    <m/>
    <m/>
    <m/>
  </r>
  <r>
    <s v="13.5.01"/>
    <s v="Управление ИТ-проектом"/>
    <s v="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
    <m/>
    <x v="2"/>
    <m/>
    <s v="Руководитель проекта"/>
    <s v="К5"/>
    <s v="Вакансия 1"/>
    <s v="ДИТ"/>
    <n v="15930"/>
    <m/>
    <m/>
    <n v="0"/>
    <m/>
    <m/>
    <m/>
    <m/>
    <m/>
    <m/>
    <m/>
    <m/>
    <m/>
    <m/>
    <m/>
    <m/>
    <m/>
    <n v="0"/>
    <n v="0"/>
    <m/>
    <m/>
    <n v="20"/>
    <n v="21"/>
    <n v="20"/>
    <n v="20"/>
    <n v="22"/>
    <n v="23"/>
    <n v="20"/>
    <n v="23"/>
    <n v="21"/>
    <n v="21"/>
    <m/>
    <n v="211"/>
    <n v="3361230"/>
    <n v="17"/>
    <n v="19"/>
    <n v="20"/>
    <n v="22"/>
    <n v="21"/>
    <n v="19"/>
    <n v="23"/>
    <n v="22"/>
    <n v="21"/>
    <n v="20"/>
    <n v="3"/>
    <m/>
    <m/>
    <n v="207"/>
    <n v="3297510"/>
    <m/>
    <m/>
    <m/>
    <m/>
    <m/>
    <m/>
    <m/>
    <m/>
    <m/>
    <m/>
    <m/>
    <m/>
    <m/>
    <n v="0"/>
    <n v="0"/>
    <m/>
    <m/>
    <m/>
    <m/>
    <m/>
    <m/>
    <m/>
    <m/>
    <m/>
    <m/>
    <m/>
    <m/>
    <m/>
    <n v="0"/>
    <n v="0"/>
    <n v="0"/>
    <n v="418"/>
    <n v="6658740"/>
  </r>
  <r>
    <m/>
    <m/>
    <m/>
    <m/>
    <x v="2"/>
    <m/>
    <m/>
    <m/>
    <m/>
    <s v="ДИТ"/>
    <s v="нет данных"/>
    <m/>
    <m/>
    <n v="0"/>
    <m/>
    <m/>
    <m/>
    <m/>
    <m/>
    <m/>
    <m/>
    <m/>
    <m/>
    <m/>
    <m/>
    <m/>
    <m/>
    <n v="0"/>
    <n v="0"/>
    <m/>
    <m/>
    <m/>
    <m/>
    <m/>
    <m/>
    <m/>
    <m/>
    <m/>
    <m/>
    <m/>
    <m/>
    <m/>
    <n v="0"/>
    <n v="0"/>
    <m/>
    <m/>
    <m/>
    <m/>
    <m/>
    <m/>
    <m/>
    <m/>
    <m/>
    <m/>
    <m/>
    <m/>
    <m/>
    <n v="0"/>
    <n v="0"/>
    <m/>
    <m/>
    <m/>
    <m/>
    <m/>
    <m/>
    <m/>
    <m/>
    <m/>
    <m/>
    <m/>
    <m/>
    <m/>
    <n v="0"/>
    <n v="0"/>
    <m/>
    <m/>
    <m/>
    <m/>
    <m/>
    <m/>
    <m/>
    <m/>
    <m/>
    <m/>
    <m/>
    <m/>
    <m/>
    <n v="0"/>
    <n v="0"/>
    <n v="0"/>
    <n v="0"/>
    <n v="0"/>
  </r>
  <r>
    <s v="13.5.02"/>
    <s v="Администрирование ИТ-проекта"/>
    <s v="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2"/>
    <m/>
    <s v="Администратор"/>
    <s v="К4"/>
    <s v="Вакансия 2"/>
    <s v="ДИТ"/>
    <n v="11900"/>
    <m/>
    <m/>
    <n v="0"/>
    <m/>
    <m/>
    <m/>
    <m/>
    <m/>
    <m/>
    <m/>
    <m/>
    <m/>
    <m/>
    <m/>
    <m/>
    <m/>
    <n v="0"/>
    <n v="0"/>
    <m/>
    <m/>
    <n v="20"/>
    <n v="21"/>
    <n v="20"/>
    <n v="20"/>
    <n v="22"/>
    <n v="23"/>
    <n v="20"/>
    <n v="23"/>
    <n v="21"/>
    <n v="21"/>
    <m/>
    <n v="211"/>
    <n v="2510900"/>
    <n v="17"/>
    <n v="19"/>
    <n v="20"/>
    <n v="22"/>
    <n v="21"/>
    <n v="19"/>
    <n v="23"/>
    <n v="12"/>
    <n v="3"/>
    <m/>
    <m/>
    <m/>
    <m/>
    <n v="156"/>
    <n v="1856400"/>
    <m/>
    <m/>
    <m/>
    <m/>
    <m/>
    <m/>
    <m/>
    <m/>
    <m/>
    <m/>
    <m/>
    <m/>
    <m/>
    <n v="0"/>
    <n v="0"/>
    <m/>
    <m/>
    <m/>
    <m/>
    <m/>
    <m/>
    <m/>
    <m/>
    <m/>
    <m/>
    <m/>
    <m/>
    <m/>
    <n v="0"/>
    <n v="0"/>
    <n v="0"/>
    <n v="367"/>
    <n v="4367300"/>
  </r>
  <r>
    <m/>
    <m/>
    <m/>
    <m/>
    <x v="2"/>
    <m/>
    <m/>
    <m/>
    <m/>
    <s v="ДИТ"/>
    <s v="нет данных"/>
    <m/>
    <m/>
    <n v="0"/>
    <m/>
    <m/>
    <m/>
    <m/>
    <m/>
    <m/>
    <m/>
    <m/>
    <m/>
    <m/>
    <m/>
    <m/>
    <m/>
    <n v="0"/>
    <n v="0"/>
    <m/>
    <m/>
    <m/>
    <m/>
    <m/>
    <m/>
    <m/>
    <m/>
    <m/>
    <m/>
    <m/>
    <m/>
    <m/>
    <n v="0"/>
    <n v="0"/>
    <m/>
    <m/>
    <m/>
    <m/>
    <m/>
    <m/>
    <m/>
    <m/>
    <m/>
    <m/>
    <m/>
    <m/>
    <m/>
    <n v="0"/>
    <n v="0"/>
    <m/>
    <m/>
    <m/>
    <m/>
    <m/>
    <m/>
    <m/>
    <m/>
    <m/>
    <m/>
    <m/>
    <m/>
    <m/>
    <n v="0"/>
    <n v="0"/>
    <m/>
    <m/>
    <m/>
    <m/>
    <m/>
    <m/>
    <m/>
    <m/>
    <m/>
    <m/>
    <m/>
    <m/>
    <m/>
    <n v="0"/>
    <n v="0"/>
    <n v="0"/>
    <n v="0"/>
    <n v="0"/>
  </r>
  <r>
    <s v="13.5.03"/>
    <s v="Проведение дообследования предметной области"/>
    <s v="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quot;as is&quot;)"/>
    <m/>
    <x v="2"/>
    <m/>
    <s v="Эксперт"/>
    <s v="К6"/>
    <s v="Захарчев Александр Анатольевич"/>
    <s v="ДИТ"/>
    <n v="21520"/>
    <m/>
    <m/>
    <n v="0"/>
    <m/>
    <m/>
    <m/>
    <m/>
    <m/>
    <m/>
    <m/>
    <m/>
    <m/>
    <m/>
    <m/>
    <m/>
    <m/>
    <n v="0"/>
    <n v="0"/>
    <m/>
    <n v="19"/>
    <n v="20"/>
    <n v="21"/>
    <n v="20"/>
    <n v="20"/>
    <m/>
    <m/>
    <m/>
    <m/>
    <m/>
    <m/>
    <m/>
    <n v="100"/>
    <n v="2152000"/>
    <m/>
    <m/>
    <m/>
    <m/>
    <m/>
    <m/>
    <m/>
    <m/>
    <m/>
    <m/>
    <m/>
    <m/>
    <m/>
    <n v="0"/>
    <n v="0"/>
    <m/>
    <m/>
    <m/>
    <m/>
    <m/>
    <m/>
    <m/>
    <m/>
    <m/>
    <m/>
    <m/>
    <m/>
    <m/>
    <n v="0"/>
    <n v="0"/>
    <m/>
    <m/>
    <m/>
    <m/>
    <m/>
    <m/>
    <m/>
    <m/>
    <m/>
    <m/>
    <m/>
    <m/>
    <m/>
    <n v="0"/>
    <n v="0"/>
    <n v="0"/>
    <n v="100"/>
    <n v="2152000"/>
  </r>
  <r>
    <m/>
    <m/>
    <m/>
    <m/>
    <x v="2"/>
    <s v=""/>
    <s v="Консультант"/>
    <s v="К6"/>
    <s v="TBD СЛ SAP"/>
    <s v="ДИТ"/>
    <n v="21520"/>
    <m/>
    <m/>
    <n v="0"/>
    <m/>
    <m/>
    <m/>
    <m/>
    <m/>
    <m/>
    <m/>
    <m/>
    <m/>
    <m/>
    <m/>
    <m/>
    <m/>
    <n v="0"/>
    <n v="0"/>
    <m/>
    <m/>
    <n v="5"/>
    <n v="5"/>
    <m/>
    <m/>
    <m/>
    <m/>
    <m/>
    <m/>
    <m/>
    <m/>
    <m/>
    <n v="10"/>
    <n v="215200"/>
    <m/>
    <m/>
    <n v="5"/>
    <m/>
    <m/>
    <m/>
    <m/>
    <m/>
    <m/>
    <m/>
    <m/>
    <m/>
    <m/>
    <n v="5"/>
    <n v="107600"/>
    <m/>
    <m/>
    <m/>
    <m/>
    <m/>
    <m/>
    <m/>
    <m/>
    <m/>
    <m/>
    <m/>
    <m/>
    <m/>
    <n v="0"/>
    <n v="0"/>
    <m/>
    <m/>
    <m/>
    <m/>
    <m/>
    <m/>
    <m/>
    <m/>
    <m/>
    <m/>
    <m/>
    <m/>
    <m/>
    <n v="0"/>
    <n v="0"/>
    <n v="0"/>
    <n v="15"/>
    <n v="322800"/>
  </r>
  <r>
    <m/>
    <m/>
    <m/>
    <m/>
    <x v="2"/>
    <m/>
    <s v="Аналитик"/>
    <s v="К6"/>
    <s v="Вакансия 3"/>
    <s v="ДИТ"/>
    <n v="21520"/>
    <m/>
    <m/>
    <n v="0"/>
    <m/>
    <m/>
    <m/>
    <m/>
    <m/>
    <m/>
    <m/>
    <m/>
    <m/>
    <m/>
    <m/>
    <m/>
    <m/>
    <n v="0"/>
    <n v="0"/>
    <m/>
    <m/>
    <n v="10"/>
    <n v="10"/>
    <n v="10"/>
    <m/>
    <m/>
    <m/>
    <m/>
    <m/>
    <m/>
    <m/>
    <m/>
    <n v="30"/>
    <n v="645600"/>
    <m/>
    <m/>
    <m/>
    <m/>
    <m/>
    <m/>
    <m/>
    <m/>
    <m/>
    <m/>
    <m/>
    <m/>
    <m/>
    <n v="0"/>
    <n v="0"/>
    <m/>
    <m/>
    <m/>
    <m/>
    <m/>
    <m/>
    <m/>
    <m/>
    <m/>
    <m/>
    <m/>
    <m/>
    <m/>
    <n v="0"/>
    <n v="0"/>
    <m/>
    <m/>
    <m/>
    <m/>
    <m/>
    <m/>
    <m/>
    <m/>
    <m/>
    <m/>
    <m/>
    <m/>
    <m/>
    <n v="0"/>
    <n v="0"/>
    <n v="0"/>
    <n v="30"/>
    <n v="645600"/>
  </r>
  <r>
    <s v="13.5.04"/>
    <s v="Разработка и согласование Технического задания"/>
    <s v="Разработка и согласование Технического задания"/>
    <m/>
    <x v="2"/>
    <m/>
    <s v="Аналитик"/>
    <s v="К6"/>
    <s v="Вакансия 3"/>
    <s v="ДИТ"/>
    <n v="21520"/>
    <m/>
    <m/>
    <n v="0"/>
    <m/>
    <m/>
    <m/>
    <m/>
    <m/>
    <m/>
    <m/>
    <m/>
    <m/>
    <m/>
    <m/>
    <m/>
    <m/>
    <n v="0"/>
    <n v="0"/>
    <m/>
    <m/>
    <n v="5"/>
    <n v="6"/>
    <n v="5"/>
    <n v="5"/>
    <m/>
    <m/>
    <m/>
    <m/>
    <m/>
    <m/>
    <m/>
    <n v="21"/>
    <n v="451920"/>
    <m/>
    <m/>
    <m/>
    <m/>
    <m/>
    <m/>
    <m/>
    <m/>
    <m/>
    <m/>
    <m/>
    <m/>
    <m/>
    <n v="0"/>
    <n v="0"/>
    <m/>
    <m/>
    <m/>
    <m/>
    <m/>
    <m/>
    <m/>
    <m/>
    <m/>
    <m/>
    <m/>
    <m/>
    <m/>
    <n v="0"/>
    <n v="0"/>
    <m/>
    <m/>
    <m/>
    <m/>
    <m/>
    <m/>
    <m/>
    <m/>
    <m/>
    <m/>
    <m/>
    <m/>
    <m/>
    <n v="0"/>
    <n v="0"/>
    <n v="0"/>
    <n v="21"/>
    <n v="451920"/>
  </r>
  <r>
    <m/>
    <m/>
    <m/>
    <m/>
    <x v="2"/>
    <m/>
    <s v="Консультант"/>
    <s v="К6"/>
    <s v="TBD СЛ SAP"/>
    <s v="ДИТ"/>
    <n v="21520"/>
    <m/>
    <m/>
    <n v="0"/>
    <m/>
    <m/>
    <m/>
    <m/>
    <m/>
    <m/>
    <m/>
    <m/>
    <m/>
    <m/>
    <m/>
    <m/>
    <m/>
    <n v="0"/>
    <n v="0"/>
    <m/>
    <m/>
    <m/>
    <m/>
    <m/>
    <n v="5"/>
    <m/>
    <m/>
    <m/>
    <m/>
    <m/>
    <m/>
    <m/>
    <n v="5"/>
    <n v="107600"/>
    <m/>
    <m/>
    <m/>
    <m/>
    <m/>
    <m/>
    <m/>
    <m/>
    <m/>
    <m/>
    <m/>
    <m/>
    <m/>
    <n v="0"/>
    <n v="0"/>
    <m/>
    <m/>
    <m/>
    <m/>
    <m/>
    <m/>
    <m/>
    <m/>
    <m/>
    <m/>
    <m/>
    <m/>
    <m/>
    <n v="0"/>
    <n v="0"/>
    <m/>
    <m/>
    <m/>
    <m/>
    <m/>
    <m/>
    <m/>
    <m/>
    <m/>
    <m/>
    <m/>
    <m/>
    <m/>
    <n v="0"/>
    <n v="0"/>
    <n v="0"/>
    <n v="5"/>
    <n v="107600"/>
  </r>
  <r>
    <s v="13.5.05"/>
    <s v="Разработка и согласование документации технического проекта "/>
    <s v="Разработка и согласование документации технического проекта (включая, но не ограничиваясь:  Концептуальный проект / Проектные решения)"/>
    <m/>
    <x v="2"/>
    <m/>
    <s v="Аналитик"/>
    <s v="К6"/>
    <s v="Вакансия 3"/>
    <s v="ДИТ"/>
    <n v="21520"/>
    <m/>
    <m/>
    <n v="0"/>
    <m/>
    <m/>
    <m/>
    <m/>
    <m/>
    <m/>
    <m/>
    <m/>
    <m/>
    <m/>
    <m/>
    <m/>
    <m/>
    <n v="0"/>
    <n v="0"/>
    <m/>
    <m/>
    <n v="5"/>
    <n v="5"/>
    <n v="5"/>
    <n v="5"/>
    <m/>
    <m/>
    <m/>
    <m/>
    <m/>
    <m/>
    <m/>
    <n v="20"/>
    <n v="430400"/>
    <m/>
    <m/>
    <m/>
    <m/>
    <m/>
    <m/>
    <m/>
    <m/>
    <m/>
    <m/>
    <m/>
    <m/>
    <m/>
    <n v="0"/>
    <n v="0"/>
    <m/>
    <m/>
    <m/>
    <m/>
    <m/>
    <m/>
    <m/>
    <m/>
    <m/>
    <m/>
    <m/>
    <m/>
    <m/>
    <n v="0"/>
    <n v="0"/>
    <m/>
    <m/>
    <m/>
    <m/>
    <m/>
    <m/>
    <m/>
    <m/>
    <m/>
    <m/>
    <m/>
    <m/>
    <m/>
    <n v="0"/>
    <n v="0"/>
    <n v="0"/>
    <n v="20"/>
    <n v="430400"/>
  </r>
  <r>
    <m/>
    <m/>
    <m/>
    <m/>
    <x v="2"/>
    <s v=""/>
    <s v="Архитектор по ИБ"/>
    <s v="К4"/>
    <s v="TBD Безопасность"/>
    <s v="ДИТ"/>
    <n v="11900"/>
    <m/>
    <m/>
    <n v="0"/>
    <m/>
    <m/>
    <m/>
    <m/>
    <m/>
    <m/>
    <m/>
    <m/>
    <m/>
    <m/>
    <m/>
    <m/>
    <m/>
    <n v="0"/>
    <n v="0"/>
    <m/>
    <m/>
    <m/>
    <m/>
    <n v="10"/>
    <n v="5"/>
    <m/>
    <m/>
    <m/>
    <n v="2"/>
    <m/>
    <m/>
    <m/>
    <n v="17"/>
    <n v="202300"/>
    <m/>
    <m/>
    <m/>
    <m/>
    <m/>
    <m/>
    <m/>
    <m/>
    <m/>
    <m/>
    <m/>
    <m/>
    <m/>
    <n v="0"/>
    <n v="0"/>
    <m/>
    <m/>
    <m/>
    <m/>
    <m/>
    <m/>
    <m/>
    <m/>
    <m/>
    <m/>
    <m/>
    <m/>
    <m/>
    <n v="0"/>
    <n v="0"/>
    <m/>
    <m/>
    <m/>
    <m/>
    <m/>
    <m/>
    <m/>
    <m/>
    <m/>
    <m/>
    <m/>
    <m/>
    <m/>
    <n v="0"/>
    <n v="0"/>
    <n v="0"/>
    <n v="17"/>
    <n v="202300"/>
  </r>
  <r>
    <m/>
    <m/>
    <m/>
    <m/>
    <x v="2"/>
    <s v=""/>
    <s v="Консультант"/>
    <s v="К6"/>
    <s v="TBD Базис"/>
    <s v="ДИТ"/>
    <n v="21520"/>
    <m/>
    <m/>
    <n v="0"/>
    <m/>
    <m/>
    <m/>
    <m/>
    <m/>
    <m/>
    <m/>
    <m/>
    <m/>
    <m/>
    <m/>
    <m/>
    <m/>
    <n v="0"/>
    <n v="0"/>
    <m/>
    <m/>
    <m/>
    <m/>
    <n v="1"/>
    <m/>
    <m/>
    <m/>
    <m/>
    <n v="1"/>
    <m/>
    <m/>
    <m/>
    <n v="2"/>
    <n v="43040"/>
    <m/>
    <m/>
    <m/>
    <m/>
    <m/>
    <m/>
    <m/>
    <m/>
    <m/>
    <m/>
    <m/>
    <m/>
    <m/>
    <n v="0"/>
    <n v="0"/>
    <m/>
    <m/>
    <m/>
    <m/>
    <m/>
    <m/>
    <m/>
    <m/>
    <m/>
    <m/>
    <m/>
    <m/>
    <m/>
    <n v="0"/>
    <n v="0"/>
    <m/>
    <m/>
    <m/>
    <m/>
    <m/>
    <m/>
    <m/>
    <m/>
    <m/>
    <m/>
    <m/>
    <m/>
    <m/>
    <n v="0"/>
    <n v="0"/>
    <n v="0"/>
    <n v="2"/>
    <n v="43040"/>
  </r>
  <r>
    <m/>
    <m/>
    <m/>
    <m/>
    <x v="2"/>
    <m/>
    <s v="Консультант"/>
    <s v="К6"/>
    <s v="TBD СЛ SAP"/>
    <s v="ДИТ"/>
    <n v="21520"/>
    <m/>
    <m/>
    <n v="0"/>
    <m/>
    <m/>
    <m/>
    <m/>
    <m/>
    <m/>
    <m/>
    <m/>
    <m/>
    <m/>
    <m/>
    <m/>
    <m/>
    <n v="0"/>
    <n v="0"/>
    <m/>
    <m/>
    <m/>
    <m/>
    <m/>
    <n v="5"/>
    <m/>
    <m/>
    <m/>
    <m/>
    <m/>
    <m/>
    <m/>
    <n v="5"/>
    <n v="107600"/>
    <m/>
    <m/>
    <m/>
    <m/>
    <m/>
    <m/>
    <m/>
    <m/>
    <m/>
    <m/>
    <m/>
    <m/>
    <m/>
    <n v="0"/>
    <n v="0"/>
    <m/>
    <m/>
    <m/>
    <m/>
    <m/>
    <m/>
    <m/>
    <m/>
    <m/>
    <m/>
    <m/>
    <m/>
    <m/>
    <n v="0"/>
    <n v="0"/>
    <m/>
    <m/>
    <m/>
    <m/>
    <m/>
    <m/>
    <m/>
    <m/>
    <m/>
    <m/>
    <m/>
    <m/>
    <m/>
    <n v="0"/>
    <n v="0"/>
    <n v="0"/>
    <n v="5"/>
    <n v="107600"/>
  </r>
  <r>
    <s v="13.5.06"/>
    <s v="Разработка и согласование комплекта документации Технического проекта по ГОСТ 34"/>
    <s v="Разработка и согласование комплекта документации Технического проекта в соответствии с требованиями ГОСТ 34"/>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07"/>
    <s v="Разработка описаний автоматизируемых бизнес-процессов и моделей в ARIS (модель &quot;to be&quot;)"/>
    <s v="Разработка описаний автомтаизируемых бизнес-процессов и моделей в ARIS (модель &quot;to be&quot;)"/>
    <m/>
    <x v="2"/>
    <m/>
    <s v="Аналитик"/>
    <s v="К6"/>
    <s v="Вакансия 3"/>
    <s v="ДИТ"/>
    <n v="21520"/>
    <m/>
    <m/>
    <n v="0"/>
    <m/>
    <m/>
    <m/>
    <m/>
    <m/>
    <m/>
    <m/>
    <m/>
    <m/>
    <m/>
    <m/>
    <m/>
    <m/>
    <n v="0"/>
    <n v="0"/>
    <m/>
    <m/>
    <m/>
    <m/>
    <m/>
    <n v="5"/>
    <m/>
    <m/>
    <m/>
    <m/>
    <m/>
    <m/>
    <m/>
    <n v="5"/>
    <n v="107600"/>
    <m/>
    <m/>
    <m/>
    <m/>
    <m/>
    <m/>
    <m/>
    <m/>
    <m/>
    <m/>
    <m/>
    <m/>
    <m/>
    <n v="0"/>
    <n v="0"/>
    <m/>
    <m/>
    <m/>
    <m/>
    <m/>
    <m/>
    <m/>
    <m/>
    <m/>
    <m/>
    <m/>
    <m/>
    <m/>
    <n v="0"/>
    <n v="0"/>
    <m/>
    <m/>
    <m/>
    <m/>
    <m/>
    <m/>
    <m/>
    <m/>
    <m/>
    <m/>
    <m/>
    <m/>
    <m/>
    <n v="0"/>
    <n v="0"/>
    <n v="0"/>
    <n v="5"/>
    <n v="107600"/>
  </r>
  <r>
    <m/>
    <m/>
    <m/>
    <m/>
    <x v="2"/>
    <m/>
    <m/>
    <m/>
    <m/>
    <s v="ДИТ"/>
    <s v="нет данных"/>
    <m/>
    <m/>
    <n v="0"/>
    <m/>
    <m/>
    <m/>
    <m/>
    <m/>
    <m/>
    <m/>
    <m/>
    <m/>
    <m/>
    <m/>
    <m/>
    <m/>
    <n v="0"/>
    <n v="0"/>
    <m/>
    <m/>
    <m/>
    <m/>
    <m/>
    <m/>
    <m/>
    <m/>
    <m/>
    <m/>
    <m/>
    <m/>
    <m/>
    <n v="0"/>
    <n v="0"/>
    <m/>
    <m/>
    <m/>
    <m/>
    <m/>
    <m/>
    <m/>
    <m/>
    <m/>
    <m/>
    <m/>
    <m/>
    <m/>
    <n v="0"/>
    <n v="0"/>
    <m/>
    <m/>
    <m/>
    <m/>
    <m/>
    <m/>
    <m/>
    <m/>
    <m/>
    <m/>
    <m/>
    <m/>
    <m/>
    <n v="0"/>
    <n v="0"/>
    <m/>
    <m/>
    <m/>
    <m/>
    <m/>
    <m/>
    <m/>
    <m/>
    <m/>
    <m/>
    <m/>
    <m/>
    <m/>
    <n v="0"/>
    <n v="0"/>
    <n v="0"/>
    <n v="0"/>
    <n v="0"/>
  </r>
  <r>
    <s v="13.5.08"/>
    <s v="Разработка и настройка системы"/>
    <s v="Разработка и настройка системы"/>
    <m/>
    <x v="2"/>
    <s v=""/>
    <s v="Консультант"/>
    <s v="К5"/>
    <s v="Вакансия 4"/>
    <s v="ДИТ"/>
    <n v="15930"/>
    <m/>
    <m/>
    <n v="0"/>
    <m/>
    <m/>
    <m/>
    <m/>
    <m/>
    <m/>
    <m/>
    <m/>
    <m/>
    <m/>
    <m/>
    <m/>
    <m/>
    <n v="0"/>
    <n v="0"/>
    <m/>
    <m/>
    <m/>
    <m/>
    <m/>
    <m/>
    <n v="22"/>
    <n v="10"/>
    <n v="5"/>
    <n v="3"/>
    <m/>
    <m/>
    <m/>
    <n v="40"/>
    <n v="637200"/>
    <m/>
    <m/>
    <m/>
    <m/>
    <m/>
    <m/>
    <m/>
    <m/>
    <m/>
    <m/>
    <m/>
    <m/>
    <m/>
    <n v="0"/>
    <n v="0"/>
    <m/>
    <m/>
    <m/>
    <m/>
    <m/>
    <m/>
    <m/>
    <m/>
    <m/>
    <m/>
    <m/>
    <m/>
    <m/>
    <n v="0"/>
    <n v="0"/>
    <m/>
    <m/>
    <m/>
    <m/>
    <m/>
    <m/>
    <m/>
    <m/>
    <m/>
    <m/>
    <m/>
    <m/>
    <m/>
    <n v="0"/>
    <n v="0"/>
    <n v="0"/>
    <n v="40"/>
    <n v="637200"/>
  </r>
  <r>
    <m/>
    <m/>
    <m/>
    <m/>
    <x v="2"/>
    <s v=""/>
    <s v="Консультант"/>
    <s v="К5"/>
    <s v="Вакансия 5"/>
    <s v="ДИТ"/>
    <n v="15930"/>
    <m/>
    <m/>
    <n v="0"/>
    <m/>
    <m/>
    <m/>
    <m/>
    <m/>
    <m/>
    <m/>
    <m/>
    <m/>
    <m/>
    <m/>
    <m/>
    <m/>
    <n v="0"/>
    <n v="0"/>
    <m/>
    <m/>
    <m/>
    <m/>
    <m/>
    <m/>
    <n v="20"/>
    <n v="10"/>
    <n v="5"/>
    <n v="3"/>
    <m/>
    <m/>
    <m/>
    <n v="38"/>
    <n v="605340"/>
    <m/>
    <m/>
    <m/>
    <m/>
    <m/>
    <m/>
    <m/>
    <m/>
    <m/>
    <m/>
    <m/>
    <m/>
    <m/>
    <n v="0"/>
    <n v="0"/>
    <m/>
    <m/>
    <m/>
    <m/>
    <m/>
    <m/>
    <m/>
    <m/>
    <m/>
    <m/>
    <m/>
    <m/>
    <m/>
    <n v="0"/>
    <n v="0"/>
    <m/>
    <m/>
    <m/>
    <m/>
    <m/>
    <m/>
    <m/>
    <m/>
    <m/>
    <m/>
    <m/>
    <m/>
    <m/>
    <n v="0"/>
    <n v="0"/>
    <n v="0"/>
    <n v="38"/>
    <n v="605340"/>
  </r>
  <r>
    <m/>
    <m/>
    <m/>
    <m/>
    <x v="2"/>
    <m/>
    <s v="Консультант"/>
    <s v="К5"/>
    <s v="TBD Базис"/>
    <s v="ДИТ"/>
    <n v="15930"/>
    <m/>
    <m/>
    <n v="0"/>
    <m/>
    <m/>
    <m/>
    <m/>
    <m/>
    <m/>
    <m/>
    <m/>
    <m/>
    <m/>
    <m/>
    <m/>
    <m/>
    <n v="0"/>
    <n v="0"/>
    <m/>
    <m/>
    <m/>
    <m/>
    <m/>
    <m/>
    <n v="3"/>
    <n v="1"/>
    <n v="1"/>
    <n v="2"/>
    <m/>
    <m/>
    <m/>
    <n v="7"/>
    <n v="111510"/>
    <m/>
    <m/>
    <m/>
    <m/>
    <m/>
    <m/>
    <m/>
    <m/>
    <m/>
    <m/>
    <m/>
    <m/>
    <m/>
    <n v="0"/>
    <n v="0"/>
    <m/>
    <m/>
    <m/>
    <m/>
    <m/>
    <m/>
    <m/>
    <m/>
    <m/>
    <m/>
    <m/>
    <m/>
    <m/>
    <n v="0"/>
    <n v="0"/>
    <m/>
    <m/>
    <m/>
    <m/>
    <m/>
    <m/>
    <m/>
    <m/>
    <m/>
    <m/>
    <m/>
    <m/>
    <m/>
    <n v="0"/>
    <n v="0"/>
    <n v="0"/>
    <n v="7"/>
    <n v="111510"/>
  </r>
  <r>
    <m/>
    <m/>
    <m/>
    <m/>
    <x v="2"/>
    <m/>
    <s v="Разработчик"/>
    <s v="К6"/>
    <s v="TBD СЛ SAP"/>
    <s v="ДИТ"/>
    <n v="21520"/>
    <m/>
    <m/>
    <n v="0"/>
    <m/>
    <m/>
    <m/>
    <m/>
    <m/>
    <m/>
    <m/>
    <m/>
    <m/>
    <m/>
    <m/>
    <m/>
    <m/>
    <n v="0"/>
    <n v="0"/>
    <m/>
    <m/>
    <m/>
    <m/>
    <m/>
    <m/>
    <n v="5"/>
    <n v="5"/>
    <n v="5"/>
    <n v="2"/>
    <m/>
    <m/>
    <m/>
    <n v="17"/>
    <n v="365840"/>
    <m/>
    <m/>
    <m/>
    <m/>
    <m/>
    <m/>
    <m/>
    <m/>
    <m/>
    <m/>
    <m/>
    <m/>
    <m/>
    <n v="0"/>
    <n v="0"/>
    <m/>
    <m/>
    <m/>
    <m/>
    <m/>
    <m/>
    <m/>
    <m/>
    <m/>
    <m/>
    <m/>
    <m/>
    <m/>
    <n v="0"/>
    <n v="0"/>
    <m/>
    <m/>
    <m/>
    <m/>
    <m/>
    <m/>
    <m/>
    <m/>
    <m/>
    <m/>
    <m/>
    <m/>
    <m/>
    <n v="0"/>
    <n v="0"/>
    <n v="0"/>
    <n v="17"/>
    <n v="365840"/>
  </r>
  <r>
    <s v="13.5.09"/>
    <s v="Тестирование системы, проведение ОЭ"/>
    <s v="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
    <m/>
    <x v="2"/>
    <m/>
    <s v="Аналитик"/>
    <s v="К6"/>
    <s v="Вакансия 3"/>
    <s v="ДИТ"/>
    <n v="21520"/>
    <m/>
    <m/>
    <n v="0"/>
    <m/>
    <m/>
    <m/>
    <m/>
    <m/>
    <m/>
    <m/>
    <m/>
    <m/>
    <m/>
    <m/>
    <m/>
    <m/>
    <n v="0"/>
    <n v="0"/>
    <m/>
    <m/>
    <m/>
    <m/>
    <m/>
    <m/>
    <m/>
    <m/>
    <m/>
    <m/>
    <m/>
    <m/>
    <m/>
    <n v="0"/>
    <n v="0"/>
    <m/>
    <m/>
    <m/>
    <m/>
    <m/>
    <m/>
    <m/>
    <m/>
    <m/>
    <m/>
    <m/>
    <m/>
    <m/>
    <n v="0"/>
    <n v="0"/>
    <m/>
    <m/>
    <m/>
    <m/>
    <m/>
    <m/>
    <m/>
    <m/>
    <m/>
    <m/>
    <m/>
    <m/>
    <m/>
    <n v="0"/>
    <n v="0"/>
    <m/>
    <m/>
    <m/>
    <m/>
    <m/>
    <m/>
    <m/>
    <m/>
    <m/>
    <m/>
    <m/>
    <m/>
    <m/>
    <n v="0"/>
    <n v="0"/>
    <n v="0"/>
    <n v="0"/>
    <n v="0"/>
  </r>
  <r>
    <m/>
    <m/>
    <m/>
    <m/>
    <x v="2"/>
    <m/>
    <s v="Консультант"/>
    <s v="К6"/>
    <s v="TBD СЛ SAP"/>
    <s v="ДИТ"/>
    <n v="21520"/>
    <m/>
    <m/>
    <n v="0"/>
    <m/>
    <m/>
    <m/>
    <m/>
    <m/>
    <m/>
    <m/>
    <m/>
    <m/>
    <m/>
    <m/>
    <m/>
    <m/>
    <n v="0"/>
    <n v="0"/>
    <m/>
    <m/>
    <m/>
    <m/>
    <m/>
    <m/>
    <m/>
    <m/>
    <n v="2"/>
    <n v="3"/>
    <n v="2"/>
    <m/>
    <m/>
    <n v="7"/>
    <n v="150640"/>
    <m/>
    <m/>
    <m/>
    <m/>
    <m/>
    <m/>
    <m/>
    <m/>
    <m/>
    <m/>
    <m/>
    <m/>
    <m/>
    <n v="0"/>
    <n v="0"/>
    <m/>
    <m/>
    <m/>
    <m/>
    <m/>
    <m/>
    <m/>
    <m/>
    <m/>
    <m/>
    <m/>
    <m/>
    <m/>
    <n v="0"/>
    <n v="0"/>
    <m/>
    <m/>
    <m/>
    <m/>
    <m/>
    <m/>
    <m/>
    <m/>
    <m/>
    <m/>
    <m/>
    <m/>
    <m/>
    <n v="0"/>
    <n v="0"/>
    <n v="0"/>
    <n v="7"/>
    <n v="150640"/>
  </r>
  <r>
    <m/>
    <m/>
    <m/>
    <m/>
    <x v="2"/>
    <m/>
    <s v="Консультант"/>
    <s v="К5"/>
    <s v="Вакансия 5"/>
    <s v="ДИТ"/>
    <n v="15930"/>
    <m/>
    <m/>
    <n v="0"/>
    <m/>
    <m/>
    <m/>
    <m/>
    <m/>
    <m/>
    <m/>
    <m/>
    <m/>
    <m/>
    <m/>
    <m/>
    <m/>
    <n v="0"/>
    <n v="0"/>
    <m/>
    <m/>
    <m/>
    <m/>
    <m/>
    <m/>
    <m/>
    <m/>
    <m/>
    <n v="10"/>
    <n v="10"/>
    <n v="10"/>
    <m/>
    <n v="30"/>
    <n v="477900"/>
    <m/>
    <m/>
    <m/>
    <m/>
    <m/>
    <m/>
    <m/>
    <m/>
    <m/>
    <m/>
    <m/>
    <m/>
    <m/>
    <n v="0"/>
    <n v="0"/>
    <m/>
    <m/>
    <m/>
    <m/>
    <m/>
    <m/>
    <m/>
    <m/>
    <m/>
    <m/>
    <m/>
    <m/>
    <m/>
    <n v="0"/>
    <n v="0"/>
    <m/>
    <m/>
    <m/>
    <m/>
    <m/>
    <m/>
    <m/>
    <m/>
    <m/>
    <m/>
    <m/>
    <m/>
    <m/>
    <n v="0"/>
    <n v="0"/>
    <n v="0"/>
    <n v="30"/>
    <n v="477900"/>
  </r>
  <r>
    <m/>
    <m/>
    <m/>
    <m/>
    <x v="2"/>
    <m/>
    <s v="Консультант"/>
    <s v="К5"/>
    <s v="Вакансия 4"/>
    <s v="ДИТ"/>
    <n v="15930"/>
    <m/>
    <m/>
    <n v="0"/>
    <m/>
    <m/>
    <m/>
    <m/>
    <m/>
    <m/>
    <m/>
    <m/>
    <m/>
    <m/>
    <m/>
    <m/>
    <m/>
    <n v="0"/>
    <n v="0"/>
    <m/>
    <m/>
    <m/>
    <m/>
    <m/>
    <m/>
    <m/>
    <m/>
    <m/>
    <n v="10"/>
    <n v="10"/>
    <n v="10"/>
    <m/>
    <n v="30"/>
    <n v="477900"/>
    <m/>
    <m/>
    <m/>
    <m/>
    <m/>
    <m/>
    <m/>
    <m/>
    <m/>
    <m/>
    <m/>
    <m/>
    <m/>
    <n v="0"/>
    <n v="0"/>
    <m/>
    <m/>
    <m/>
    <m/>
    <m/>
    <m/>
    <m/>
    <m/>
    <m/>
    <m/>
    <m/>
    <m/>
    <m/>
    <n v="0"/>
    <n v="0"/>
    <m/>
    <m/>
    <m/>
    <m/>
    <m/>
    <m/>
    <m/>
    <m/>
    <m/>
    <m/>
    <m/>
    <m/>
    <m/>
    <n v="0"/>
    <n v="0"/>
    <n v="0"/>
    <n v="30"/>
    <n v="477900"/>
  </r>
  <r>
    <s v="13.5.10"/>
    <s v="Проведение испытаний системы по ГОСТ 34"/>
    <s v="Проведение испытаний системы в соответствии с требованиями ГОСТ 34, оформление Протоколов/Актов испытаний и реестров замечаний"/>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11"/>
    <s v="Доработка и донастройка системы"/>
    <s v="Доработка и донастройка системы по результатам проведенных тестирований/испытаний и ОПЭ (отработка выявленных замечаний)"/>
    <m/>
    <x v="2"/>
    <m/>
    <s v="Консультант"/>
    <s v="К5"/>
    <s v="Вакансия 4"/>
    <s v="ДИТ"/>
    <n v="15930"/>
    <m/>
    <m/>
    <n v="0"/>
    <m/>
    <m/>
    <m/>
    <m/>
    <m/>
    <m/>
    <m/>
    <m/>
    <m/>
    <m/>
    <m/>
    <m/>
    <m/>
    <n v="0"/>
    <n v="0"/>
    <m/>
    <m/>
    <m/>
    <m/>
    <m/>
    <m/>
    <m/>
    <m/>
    <m/>
    <m/>
    <m/>
    <m/>
    <m/>
    <n v="0"/>
    <n v="0"/>
    <n v="5"/>
    <n v="3"/>
    <m/>
    <m/>
    <m/>
    <m/>
    <m/>
    <m/>
    <m/>
    <m/>
    <m/>
    <m/>
    <m/>
    <n v="8"/>
    <n v="127440"/>
    <m/>
    <m/>
    <m/>
    <m/>
    <m/>
    <m/>
    <m/>
    <m/>
    <m/>
    <m/>
    <m/>
    <m/>
    <m/>
    <n v="0"/>
    <n v="0"/>
    <m/>
    <m/>
    <m/>
    <m/>
    <m/>
    <m/>
    <m/>
    <m/>
    <m/>
    <m/>
    <m/>
    <m/>
    <m/>
    <n v="0"/>
    <n v="0"/>
    <n v="0"/>
    <n v="8"/>
    <n v="127440"/>
  </r>
  <r>
    <m/>
    <m/>
    <m/>
    <m/>
    <x v="2"/>
    <m/>
    <s v="Консультант"/>
    <s v="К5"/>
    <s v="Вакансия 5"/>
    <s v="ДИТ"/>
    <n v="15930"/>
    <m/>
    <m/>
    <n v="0"/>
    <m/>
    <m/>
    <m/>
    <m/>
    <m/>
    <m/>
    <m/>
    <m/>
    <m/>
    <m/>
    <m/>
    <m/>
    <m/>
    <n v="0"/>
    <n v="0"/>
    <m/>
    <m/>
    <m/>
    <m/>
    <m/>
    <m/>
    <m/>
    <m/>
    <m/>
    <m/>
    <m/>
    <m/>
    <m/>
    <n v="0"/>
    <n v="0"/>
    <n v="5"/>
    <n v="3"/>
    <m/>
    <m/>
    <m/>
    <m/>
    <m/>
    <m/>
    <m/>
    <m/>
    <m/>
    <m/>
    <m/>
    <n v="8"/>
    <n v="127440"/>
    <m/>
    <m/>
    <m/>
    <m/>
    <m/>
    <m/>
    <m/>
    <m/>
    <m/>
    <m/>
    <m/>
    <m/>
    <m/>
    <n v="0"/>
    <n v="0"/>
    <m/>
    <m/>
    <m/>
    <m/>
    <m/>
    <m/>
    <m/>
    <m/>
    <m/>
    <m/>
    <m/>
    <m/>
    <m/>
    <n v="0"/>
    <n v="0"/>
    <n v="0"/>
    <n v="8"/>
    <n v="127440"/>
  </r>
  <r>
    <m/>
    <m/>
    <m/>
    <m/>
    <x v="2"/>
    <m/>
    <s v="Разработчик"/>
    <s v="К6"/>
    <s v="TBD СЛ SAP"/>
    <s v="ДИТ"/>
    <n v="21520"/>
    <m/>
    <m/>
    <n v="0"/>
    <m/>
    <m/>
    <m/>
    <m/>
    <m/>
    <m/>
    <m/>
    <m/>
    <m/>
    <m/>
    <m/>
    <m/>
    <m/>
    <n v="0"/>
    <n v="0"/>
    <m/>
    <m/>
    <m/>
    <m/>
    <m/>
    <m/>
    <m/>
    <m/>
    <m/>
    <n v="3"/>
    <m/>
    <n v="5"/>
    <m/>
    <n v="8"/>
    <n v="172160"/>
    <m/>
    <n v="5"/>
    <m/>
    <m/>
    <m/>
    <m/>
    <m/>
    <m/>
    <m/>
    <m/>
    <m/>
    <m/>
    <m/>
    <n v="5"/>
    <n v="107600"/>
    <m/>
    <m/>
    <m/>
    <m/>
    <m/>
    <m/>
    <m/>
    <m/>
    <m/>
    <m/>
    <m/>
    <m/>
    <m/>
    <n v="0"/>
    <n v="0"/>
    <m/>
    <m/>
    <m/>
    <m/>
    <m/>
    <m/>
    <m/>
    <m/>
    <m/>
    <m/>
    <m/>
    <m/>
    <m/>
    <n v="0"/>
    <n v="0"/>
    <n v="0"/>
    <n v="13"/>
    <n v="279760"/>
  </r>
  <r>
    <m/>
    <m/>
    <m/>
    <m/>
    <x v="2"/>
    <m/>
    <s v="Аналитик"/>
    <s v="К6"/>
    <s v="Вакансия 3"/>
    <s v="ДИТ"/>
    <n v="21520"/>
    <m/>
    <m/>
    <n v="0"/>
    <m/>
    <m/>
    <m/>
    <m/>
    <m/>
    <m/>
    <m/>
    <m/>
    <m/>
    <m/>
    <m/>
    <m/>
    <m/>
    <n v="0"/>
    <n v="0"/>
    <m/>
    <m/>
    <m/>
    <m/>
    <m/>
    <m/>
    <m/>
    <m/>
    <m/>
    <m/>
    <m/>
    <m/>
    <m/>
    <n v="0"/>
    <n v="0"/>
    <m/>
    <m/>
    <m/>
    <m/>
    <m/>
    <m/>
    <m/>
    <m/>
    <m/>
    <m/>
    <m/>
    <m/>
    <m/>
    <n v="0"/>
    <n v="0"/>
    <m/>
    <m/>
    <m/>
    <m/>
    <m/>
    <m/>
    <m/>
    <m/>
    <m/>
    <m/>
    <m/>
    <m/>
    <m/>
    <n v="0"/>
    <n v="0"/>
    <m/>
    <m/>
    <m/>
    <m/>
    <m/>
    <m/>
    <m/>
    <m/>
    <m/>
    <m/>
    <m/>
    <m/>
    <m/>
    <n v="0"/>
    <n v="0"/>
    <n v="0"/>
    <n v="0"/>
    <n v="0"/>
  </r>
  <r>
    <s v="13.5.12"/>
    <s v="Подготовка к ОПЭ (настройка системы на продуктивной среде)"/>
    <s v="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
    <m/>
    <x v="2"/>
    <m/>
    <s v="Консультант"/>
    <s v="К5"/>
    <s v="Вакансия 4"/>
    <s v="ДИТ"/>
    <n v="15930"/>
    <m/>
    <m/>
    <n v="0"/>
    <m/>
    <m/>
    <m/>
    <m/>
    <m/>
    <m/>
    <m/>
    <m/>
    <m/>
    <m/>
    <m/>
    <m/>
    <m/>
    <n v="0"/>
    <n v="0"/>
    <m/>
    <m/>
    <m/>
    <m/>
    <m/>
    <m/>
    <m/>
    <m/>
    <m/>
    <m/>
    <m/>
    <m/>
    <m/>
    <n v="0"/>
    <n v="0"/>
    <m/>
    <n v="4"/>
    <m/>
    <m/>
    <m/>
    <m/>
    <m/>
    <m/>
    <m/>
    <m/>
    <m/>
    <m/>
    <m/>
    <n v="4"/>
    <n v="63720"/>
    <m/>
    <m/>
    <m/>
    <m/>
    <m/>
    <m/>
    <m/>
    <m/>
    <m/>
    <m/>
    <m/>
    <m/>
    <m/>
    <n v="0"/>
    <n v="0"/>
    <m/>
    <m/>
    <m/>
    <m/>
    <m/>
    <m/>
    <m/>
    <m/>
    <m/>
    <m/>
    <m/>
    <m/>
    <m/>
    <n v="0"/>
    <n v="0"/>
    <n v="0"/>
    <n v="4"/>
    <n v="63720"/>
  </r>
  <r>
    <m/>
    <m/>
    <m/>
    <m/>
    <x v="2"/>
    <m/>
    <s v="Консультант"/>
    <s v="К5"/>
    <s v="Вакансия 5"/>
    <s v="ДИТ"/>
    <n v="15930"/>
    <m/>
    <m/>
    <n v="0"/>
    <m/>
    <m/>
    <m/>
    <m/>
    <m/>
    <m/>
    <m/>
    <m/>
    <m/>
    <m/>
    <m/>
    <m/>
    <m/>
    <n v="0"/>
    <n v="0"/>
    <m/>
    <m/>
    <m/>
    <m/>
    <m/>
    <m/>
    <m/>
    <m/>
    <m/>
    <m/>
    <m/>
    <m/>
    <m/>
    <n v="0"/>
    <n v="0"/>
    <m/>
    <n v="4"/>
    <m/>
    <m/>
    <m/>
    <m/>
    <m/>
    <m/>
    <m/>
    <m/>
    <m/>
    <m/>
    <m/>
    <n v="4"/>
    <n v="63720"/>
    <m/>
    <m/>
    <m/>
    <m/>
    <m/>
    <m/>
    <m/>
    <m/>
    <m/>
    <m/>
    <m/>
    <m/>
    <m/>
    <n v="0"/>
    <n v="0"/>
    <m/>
    <m/>
    <m/>
    <m/>
    <m/>
    <m/>
    <m/>
    <m/>
    <m/>
    <m/>
    <m/>
    <m/>
    <m/>
    <n v="0"/>
    <n v="0"/>
    <n v="0"/>
    <n v="4"/>
    <n v="63720"/>
  </r>
  <r>
    <m/>
    <m/>
    <m/>
    <m/>
    <x v="2"/>
    <m/>
    <s v="Консультант"/>
    <s v="К6"/>
    <s v="TBD СЛ SAP"/>
    <s v="ДИТ"/>
    <n v="21520"/>
    <m/>
    <m/>
    <n v="0"/>
    <m/>
    <m/>
    <m/>
    <m/>
    <m/>
    <m/>
    <m/>
    <m/>
    <m/>
    <m/>
    <m/>
    <m/>
    <m/>
    <n v="0"/>
    <n v="0"/>
    <m/>
    <m/>
    <m/>
    <m/>
    <m/>
    <m/>
    <m/>
    <m/>
    <m/>
    <m/>
    <m/>
    <m/>
    <m/>
    <n v="0"/>
    <n v="0"/>
    <m/>
    <n v="5"/>
    <m/>
    <m/>
    <m/>
    <m/>
    <m/>
    <m/>
    <m/>
    <m/>
    <m/>
    <m/>
    <m/>
    <n v="5"/>
    <n v="107600"/>
    <m/>
    <m/>
    <m/>
    <m/>
    <m/>
    <m/>
    <m/>
    <m/>
    <m/>
    <m/>
    <m/>
    <m/>
    <m/>
    <n v="0"/>
    <n v="0"/>
    <m/>
    <m/>
    <m/>
    <m/>
    <m/>
    <m/>
    <m/>
    <m/>
    <m/>
    <m/>
    <m/>
    <m/>
    <m/>
    <n v="0"/>
    <n v="0"/>
    <n v="0"/>
    <n v="5"/>
    <n v="107600"/>
  </r>
  <r>
    <m/>
    <m/>
    <m/>
    <m/>
    <x v="2"/>
    <m/>
    <s v="Консультант"/>
    <s v="К5"/>
    <s v="TBD Базис"/>
    <s v="ДИТ"/>
    <n v="15930"/>
    <m/>
    <m/>
    <n v="0"/>
    <m/>
    <m/>
    <m/>
    <m/>
    <m/>
    <m/>
    <m/>
    <m/>
    <m/>
    <m/>
    <m/>
    <m/>
    <m/>
    <n v="0"/>
    <n v="0"/>
    <m/>
    <m/>
    <m/>
    <m/>
    <m/>
    <m/>
    <m/>
    <m/>
    <m/>
    <m/>
    <m/>
    <m/>
    <m/>
    <n v="0"/>
    <n v="0"/>
    <m/>
    <n v="5"/>
    <m/>
    <m/>
    <m/>
    <m/>
    <m/>
    <m/>
    <m/>
    <m/>
    <m/>
    <m/>
    <m/>
    <n v="5"/>
    <n v="79650"/>
    <m/>
    <m/>
    <m/>
    <m/>
    <m/>
    <m/>
    <m/>
    <m/>
    <m/>
    <m/>
    <m/>
    <m/>
    <m/>
    <n v="0"/>
    <n v="0"/>
    <m/>
    <m/>
    <m/>
    <m/>
    <m/>
    <m/>
    <m/>
    <m/>
    <m/>
    <m/>
    <m/>
    <m/>
    <m/>
    <n v="0"/>
    <n v="0"/>
    <n v="0"/>
    <n v="5"/>
    <n v="79650"/>
  </r>
  <r>
    <m/>
    <m/>
    <m/>
    <m/>
    <x v="2"/>
    <m/>
    <s v="Аналитик"/>
    <s v="К6"/>
    <s v="Вакансия 3"/>
    <s v="ДИТ"/>
    <n v="21520"/>
    <m/>
    <m/>
    <n v="0"/>
    <m/>
    <m/>
    <m/>
    <m/>
    <m/>
    <m/>
    <m/>
    <m/>
    <m/>
    <m/>
    <m/>
    <m/>
    <m/>
    <n v="0"/>
    <n v="0"/>
    <m/>
    <m/>
    <m/>
    <m/>
    <m/>
    <m/>
    <m/>
    <m/>
    <m/>
    <m/>
    <m/>
    <m/>
    <m/>
    <n v="0"/>
    <n v="0"/>
    <m/>
    <m/>
    <m/>
    <m/>
    <m/>
    <m/>
    <m/>
    <m/>
    <m/>
    <m/>
    <m/>
    <m/>
    <m/>
    <n v="0"/>
    <n v="0"/>
    <m/>
    <m/>
    <m/>
    <m/>
    <m/>
    <m/>
    <m/>
    <m/>
    <m/>
    <m/>
    <m/>
    <m/>
    <m/>
    <n v="0"/>
    <n v="0"/>
    <m/>
    <m/>
    <m/>
    <m/>
    <m/>
    <m/>
    <m/>
    <m/>
    <m/>
    <m/>
    <m/>
    <m/>
    <m/>
    <n v="0"/>
    <n v="0"/>
    <n v="0"/>
    <n v="0"/>
    <n v="0"/>
  </r>
  <r>
    <s v="13.5.13"/>
    <s v="Подготовка и загрузка первичных данных"/>
    <s v="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
    <m/>
    <x v="2"/>
    <m/>
    <s v="Специалист по сопровождению"/>
    <s v="К2"/>
    <s v="Вакансия 6"/>
    <s v="ДИТ"/>
    <n v="6980"/>
    <m/>
    <m/>
    <n v="0"/>
    <m/>
    <m/>
    <m/>
    <m/>
    <m/>
    <m/>
    <m/>
    <m/>
    <m/>
    <m/>
    <m/>
    <m/>
    <m/>
    <n v="0"/>
    <n v="0"/>
    <m/>
    <m/>
    <m/>
    <m/>
    <m/>
    <m/>
    <m/>
    <m/>
    <n v="20"/>
    <n v="20"/>
    <m/>
    <m/>
    <m/>
    <n v="40"/>
    <n v="279200"/>
    <m/>
    <m/>
    <m/>
    <m/>
    <m/>
    <m/>
    <m/>
    <m/>
    <m/>
    <m/>
    <m/>
    <m/>
    <m/>
    <n v="0"/>
    <n v="0"/>
    <m/>
    <m/>
    <m/>
    <m/>
    <m/>
    <m/>
    <m/>
    <m/>
    <m/>
    <m/>
    <m/>
    <m/>
    <m/>
    <n v="0"/>
    <n v="0"/>
    <m/>
    <m/>
    <m/>
    <m/>
    <m/>
    <m/>
    <m/>
    <m/>
    <m/>
    <m/>
    <m/>
    <m/>
    <m/>
    <n v="0"/>
    <n v="0"/>
    <n v="0"/>
    <n v="40"/>
    <n v="279200"/>
  </r>
  <r>
    <m/>
    <m/>
    <m/>
    <m/>
    <x v="2"/>
    <m/>
    <s v="Специалист по сопровождению"/>
    <s v="К2"/>
    <s v="Вакансия 7"/>
    <s v="ДИТ"/>
    <n v="6980"/>
    <m/>
    <m/>
    <n v="0"/>
    <m/>
    <m/>
    <m/>
    <m/>
    <m/>
    <m/>
    <m/>
    <m/>
    <m/>
    <m/>
    <m/>
    <m/>
    <m/>
    <n v="0"/>
    <n v="0"/>
    <m/>
    <m/>
    <m/>
    <m/>
    <m/>
    <m/>
    <m/>
    <m/>
    <n v="20"/>
    <n v="20"/>
    <m/>
    <m/>
    <m/>
    <n v="40"/>
    <n v="279200"/>
    <m/>
    <m/>
    <m/>
    <m/>
    <m/>
    <m/>
    <m/>
    <m/>
    <m/>
    <m/>
    <m/>
    <m/>
    <m/>
    <n v="0"/>
    <n v="0"/>
    <m/>
    <m/>
    <m/>
    <m/>
    <m/>
    <m/>
    <m/>
    <m/>
    <m/>
    <m/>
    <m/>
    <m/>
    <m/>
    <n v="0"/>
    <n v="0"/>
    <m/>
    <m/>
    <m/>
    <m/>
    <m/>
    <m/>
    <m/>
    <m/>
    <m/>
    <m/>
    <m/>
    <m/>
    <m/>
    <n v="0"/>
    <n v="0"/>
    <n v="0"/>
    <n v="40"/>
    <n v="279200"/>
  </r>
  <r>
    <s v="13.5.14"/>
    <s v="Подключение пользователей к системе"/>
    <s v="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
    <s v="Выполняются работы по получению ЭЦП, подключению аккаунтов на стороне оператора ЭДО, регистрация пользователей в ФНС"/>
    <x v="2"/>
    <m/>
    <s v="Специалист по сопровождению"/>
    <s v="К2"/>
    <s v="Вакансия 6"/>
    <s v="ДИТ"/>
    <n v="6980"/>
    <m/>
    <m/>
    <n v="0"/>
    <m/>
    <m/>
    <m/>
    <m/>
    <m/>
    <m/>
    <m/>
    <m/>
    <m/>
    <m/>
    <m/>
    <m/>
    <m/>
    <n v="0"/>
    <n v="0"/>
    <m/>
    <m/>
    <m/>
    <m/>
    <m/>
    <m/>
    <m/>
    <m/>
    <m/>
    <n v="3"/>
    <m/>
    <m/>
    <m/>
    <n v="3"/>
    <n v="20940"/>
    <m/>
    <n v="4"/>
    <m/>
    <m/>
    <m/>
    <m/>
    <m/>
    <m/>
    <m/>
    <m/>
    <m/>
    <m/>
    <m/>
    <n v="4"/>
    <n v="27920"/>
    <m/>
    <m/>
    <m/>
    <m/>
    <m/>
    <m/>
    <m/>
    <m/>
    <m/>
    <m/>
    <m/>
    <m/>
    <m/>
    <n v="0"/>
    <n v="0"/>
    <m/>
    <m/>
    <m/>
    <m/>
    <m/>
    <m/>
    <m/>
    <m/>
    <m/>
    <m/>
    <m/>
    <m/>
    <m/>
    <n v="0"/>
    <n v="0"/>
    <n v="0"/>
    <n v="7"/>
    <n v="48860"/>
  </r>
  <r>
    <m/>
    <m/>
    <m/>
    <m/>
    <x v="2"/>
    <m/>
    <s v="Консультант"/>
    <s v="К5"/>
    <s v="TBD Базис"/>
    <s v="ДИТ"/>
    <n v="15930"/>
    <m/>
    <m/>
    <n v="0"/>
    <m/>
    <m/>
    <m/>
    <m/>
    <m/>
    <m/>
    <m/>
    <m/>
    <m/>
    <m/>
    <m/>
    <m/>
    <m/>
    <n v="0"/>
    <n v="0"/>
    <m/>
    <m/>
    <m/>
    <m/>
    <m/>
    <m/>
    <m/>
    <m/>
    <m/>
    <n v="2"/>
    <m/>
    <m/>
    <m/>
    <n v="2"/>
    <n v="31860"/>
    <m/>
    <n v="3"/>
    <m/>
    <m/>
    <m/>
    <n v="2"/>
    <n v="2"/>
    <n v="2"/>
    <n v="2"/>
    <m/>
    <m/>
    <m/>
    <m/>
    <n v="11"/>
    <n v="175230"/>
    <m/>
    <m/>
    <m/>
    <m/>
    <m/>
    <m/>
    <m/>
    <m/>
    <m/>
    <m/>
    <m/>
    <m/>
    <m/>
    <n v="0"/>
    <n v="0"/>
    <n v="2"/>
    <m/>
    <m/>
    <m/>
    <m/>
    <m/>
    <m/>
    <m/>
    <m/>
    <m/>
    <m/>
    <m/>
    <m/>
    <n v="2"/>
    <n v="31860"/>
    <n v="0"/>
    <n v="15"/>
    <n v="238950"/>
  </r>
  <r>
    <m/>
    <m/>
    <m/>
    <s v="Выполняются работы по получению ЭЦП, подключению аккаунтов на стороне оператора ЭДО, регистрация пользователей в ФНС"/>
    <x v="2"/>
    <m/>
    <s v="Специалист по сопровождению"/>
    <s v="К2"/>
    <s v="Вакансия 7"/>
    <s v="ДИТ"/>
    <n v="6980"/>
    <m/>
    <m/>
    <n v="0"/>
    <m/>
    <m/>
    <m/>
    <m/>
    <m/>
    <m/>
    <m/>
    <m/>
    <m/>
    <m/>
    <m/>
    <m/>
    <m/>
    <n v="0"/>
    <n v="0"/>
    <m/>
    <m/>
    <m/>
    <m/>
    <m/>
    <m/>
    <m/>
    <m/>
    <m/>
    <n v="3"/>
    <m/>
    <m/>
    <m/>
    <n v="3"/>
    <n v="20940"/>
    <m/>
    <n v="4"/>
    <m/>
    <m/>
    <m/>
    <m/>
    <m/>
    <m/>
    <m/>
    <m/>
    <m/>
    <m/>
    <m/>
    <n v="4"/>
    <n v="27920"/>
    <m/>
    <m/>
    <m/>
    <m/>
    <m/>
    <m/>
    <m/>
    <m/>
    <m/>
    <m/>
    <m/>
    <m/>
    <m/>
    <n v="0"/>
    <n v="0"/>
    <m/>
    <m/>
    <m/>
    <m/>
    <m/>
    <m/>
    <m/>
    <m/>
    <m/>
    <m/>
    <m/>
    <m/>
    <m/>
    <n v="0"/>
    <n v="0"/>
    <n v="0"/>
    <n v="7"/>
    <n v="48860"/>
  </r>
  <r>
    <s v="13.5.15"/>
    <s v="Проведение ОПЭ/Приемочных испытаний"/>
    <s v="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
    <m/>
    <x v="2"/>
    <m/>
    <s v="Консультант"/>
    <s v="К5"/>
    <s v="Вакансия 4"/>
    <s v="ДИТ"/>
    <n v="15930"/>
    <m/>
    <m/>
    <n v="0"/>
    <m/>
    <m/>
    <m/>
    <m/>
    <m/>
    <m/>
    <m/>
    <m/>
    <m/>
    <m/>
    <m/>
    <m/>
    <m/>
    <n v="0"/>
    <n v="0"/>
    <m/>
    <m/>
    <m/>
    <m/>
    <m/>
    <m/>
    <m/>
    <m/>
    <m/>
    <m/>
    <m/>
    <m/>
    <m/>
    <n v="0"/>
    <n v="0"/>
    <m/>
    <m/>
    <n v="10"/>
    <n v="7"/>
    <n v="16"/>
    <n v="14"/>
    <n v="13"/>
    <n v="22"/>
    <n v="11"/>
    <n v="13"/>
    <m/>
    <m/>
    <m/>
    <n v="106"/>
    <n v="1688580"/>
    <m/>
    <m/>
    <m/>
    <m/>
    <m/>
    <m/>
    <m/>
    <m/>
    <m/>
    <m/>
    <m/>
    <m/>
    <m/>
    <n v="0"/>
    <n v="0"/>
    <m/>
    <m/>
    <m/>
    <m/>
    <m/>
    <m/>
    <m/>
    <m/>
    <m/>
    <m/>
    <m/>
    <m/>
    <m/>
    <n v="0"/>
    <n v="0"/>
    <n v="0"/>
    <n v="106"/>
    <n v="1688580"/>
  </r>
  <r>
    <m/>
    <m/>
    <m/>
    <m/>
    <x v="2"/>
    <m/>
    <s v="Консультант"/>
    <s v="К5"/>
    <s v="Вакансия 5"/>
    <s v="ДИТ"/>
    <n v="15930"/>
    <m/>
    <m/>
    <n v="0"/>
    <m/>
    <m/>
    <m/>
    <m/>
    <m/>
    <m/>
    <m/>
    <m/>
    <m/>
    <m/>
    <m/>
    <m/>
    <m/>
    <n v="0"/>
    <n v="0"/>
    <m/>
    <m/>
    <m/>
    <m/>
    <m/>
    <m/>
    <m/>
    <m/>
    <m/>
    <m/>
    <m/>
    <m/>
    <m/>
    <n v="0"/>
    <n v="0"/>
    <m/>
    <m/>
    <n v="10"/>
    <n v="7"/>
    <n v="16"/>
    <n v="14"/>
    <n v="13"/>
    <n v="22"/>
    <n v="11"/>
    <n v="13"/>
    <m/>
    <m/>
    <m/>
    <n v="106"/>
    <n v="1688580"/>
    <m/>
    <m/>
    <m/>
    <m/>
    <m/>
    <m/>
    <m/>
    <m/>
    <m/>
    <m/>
    <m/>
    <m/>
    <m/>
    <n v="0"/>
    <n v="0"/>
    <m/>
    <m/>
    <m/>
    <m/>
    <m/>
    <m/>
    <m/>
    <m/>
    <m/>
    <m/>
    <m/>
    <m/>
    <m/>
    <n v="0"/>
    <n v="0"/>
    <n v="0"/>
    <n v="106"/>
    <n v="1688580"/>
  </r>
  <r>
    <m/>
    <m/>
    <m/>
    <m/>
    <x v="2"/>
    <m/>
    <s v="Консультант"/>
    <s v="К6"/>
    <s v="TBD СЛ SAP"/>
    <s v="ДИТ"/>
    <n v="21520"/>
    <m/>
    <m/>
    <n v="0"/>
    <m/>
    <m/>
    <m/>
    <m/>
    <m/>
    <m/>
    <m/>
    <m/>
    <m/>
    <m/>
    <m/>
    <m/>
    <m/>
    <n v="0"/>
    <n v="0"/>
    <m/>
    <m/>
    <m/>
    <m/>
    <m/>
    <m/>
    <m/>
    <m/>
    <m/>
    <m/>
    <m/>
    <m/>
    <m/>
    <n v="0"/>
    <n v="0"/>
    <m/>
    <m/>
    <n v="5"/>
    <m/>
    <m/>
    <m/>
    <n v="5"/>
    <m/>
    <m/>
    <m/>
    <m/>
    <m/>
    <m/>
    <n v="10"/>
    <n v="215200"/>
    <m/>
    <m/>
    <m/>
    <m/>
    <m/>
    <m/>
    <m/>
    <m/>
    <m/>
    <m/>
    <m/>
    <m/>
    <m/>
    <n v="0"/>
    <n v="0"/>
    <m/>
    <m/>
    <m/>
    <m/>
    <m/>
    <m/>
    <m/>
    <m/>
    <m/>
    <m/>
    <m/>
    <m/>
    <m/>
    <n v="0"/>
    <n v="0"/>
    <n v="0"/>
    <n v="10"/>
    <n v="215200"/>
  </r>
  <r>
    <m/>
    <m/>
    <m/>
    <s v="Проведение технического тестирования"/>
    <x v="2"/>
    <m/>
    <s v="Специалист по сопровождению"/>
    <s v="К2"/>
    <s v="Вакансия 6"/>
    <s v="ДИТ"/>
    <n v="6980"/>
    <m/>
    <m/>
    <n v="0"/>
    <m/>
    <m/>
    <m/>
    <m/>
    <m/>
    <m/>
    <m/>
    <m/>
    <m/>
    <m/>
    <m/>
    <m/>
    <m/>
    <n v="0"/>
    <n v="0"/>
    <m/>
    <m/>
    <m/>
    <m/>
    <m/>
    <m/>
    <m/>
    <m/>
    <m/>
    <m/>
    <n v="10"/>
    <n v="5"/>
    <m/>
    <n v="15"/>
    <n v="104700"/>
    <n v="12"/>
    <n v="10"/>
    <m/>
    <m/>
    <m/>
    <m/>
    <m/>
    <m/>
    <m/>
    <m/>
    <m/>
    <m/>
    <m/>
    <n v="22"/>
    <n v="153560"/>
    <m/>
    <m/>
    <m/>
    <m/>
    <m/>
    <m/>
    <m/>
    <m/>
    <m/>
    <m/>
    <m/>
    <m/>
    <m/>
    <n v="0"/>
    <n v="0"/>
    <m/>
    <m/>
    <m/>
    <m/>
    <m/>
    <m/>
    <m/>
    <m/>
    <m/>
    <m/>
    <m/>
    <m/>
    <m/>
    <n v="0"/>
    <n v="0"/>
    <n v="0"/>
    <n v="37"/>
    <n v="258260"/>
  </r>
  <r>
    <m/>
    <m/>
    <m/>
    <s v="Проведение технического тестирования"/>
    <x v="2"/>
    <m/>
    <s v="Специалист по сопровождению"/>
    <s v="К2"/>
    <s v="Вакансия 7"/>
    <s v="ДИТ"/>
    <n v="6980"/>
    <m/>
    <m/>
    <n v="0"/>
    <m/>
    <m/>
    <m/>
    <m/>
    <m/>
    <m/>
    <m/>
    <m/>
    <m/>
    <m/>
    <m/>
    <m/>
    <m/>
    <n v="0"/>
    <n v="0"/>
    <m/>
    <m/>
    <m/>
    <m/>
    <m/>
    <m/>
    <m/>
    <m/>
    <m/>
    <m/>
    <n v="10"/>
    <n v="5"/>
    <m/>
    <n v="15"/>
    <n v="104700"/>
    <n v="12"/>
    <n v="10"/>
    <m/>
    <m/>
    <m/>
    <m/>
    <m/>
    <m/>
    <m/>
    <m/>
    <m/>
    <m/>
    <m/>
    <n v="22"/>
    <n v="153560"/>
    <m/>
    <m/>
    <m/>
    <m/>
    <m/>
    <m/>
    <m/>
    <m/>
    <m/>
    <m/>
    <m/>
    <m/>
    <m/>
    <n v="0"/>
    <n v="0"/>
    <m/>
    <m/>
    <m/>
    <m/>
    <m/>
    <m/>
    <m/>
    <m/>
    <m/>
    <m/>
    <m/>
    <m/>
    <m/>
    <n v="0"/>
    <n v="0"/>
    <n v="0"/>
    <n v="37"/>
    <n v="258260"/>
  </r>
  <r>
    <s v="13.5.16"/>
    <s v="Подготовка к проведению миграции данных"/>
    <s v="Подготовка к проведению миграции данных (разработка скриптов для выполнения процедуры миграции данных; подготовка массива данных для миграции)"/>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17"/>
    <s v="Выполнение процедуры миграции данных"/>
    <s v="Выполнение процедуры миграции данных (запуск процедуры миграции; проверка результатов миграции; оформление протокола миграции)"/>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18"/>
    <s v="Документирование выполненных разработок и настроек системы"/>
    <s v="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
    <m/>
    <x v="2"/>
    <m/>
    <s v="Консультант"/>
    <s v="К5"/>
    <s v="Вакансия 4"/>
    <s v="ДИТ"/>
    <n v="15930"/>
    <m/>
    <m/>
    <n v="0"/>
    <m/>
    <m/>
    <m/>
    <m/>
    <m/>
    <m/>
    <m/>
    <m/>
    <m/>
    <m/>
    <m/>
    <m/>
    <m/>
    <n v="0"/>
    <n v="0"/>
    <m/>
    <m/>
    <m/>
    <m/>
    <m/>
    <m/>
    <m/>
    <m/>
    <m/>
    <m/>
    <m/>
    <m/>
    <m/>
    <n v="0"/>
    <n v="0"/>
    <n v="5"/>
    <n v="3"/>
    <m/>
    <m/>
    <m/>
    <m/>
    <m/>
    <m/>
    <m/>
    <m/>
    <m/>
    <m/>
    <m/>
    <n v="8"/>
    <n v="127440"/>
    <m/>
    <m/>
    <m/>
    <m/>
    <m/>
    <m/>
    <m/>
    <m/>
    <m/>
    <m/>
    <m/>
    <m/>
    <m/>
    <n v="0"/>
    <n v="0"/>
    <m/>
    <m/>
    <m/>
    <m/>
    <m/>
    <m/>
    <m/>
    <m/>
    <m/>
    <m/>
    <m/>
    <m/>
    <m/>
    <n v="0"/>
    <n v="0"/>
    <n v="0"/>
    <n v="8"/>
    <n v="127440"/>
  </r>
  <r>
    <m/>
    <m/>
    <m/>
    <m/>
    <x v="2"/>
    <m/>
    <s v="Консультант"/>
    <s v="К5"/>
    <s v="Вакансия 5"/>
    <s v="ДИТ"/>
    <n v="15930"/>
    <m/>
    <m/>
    <n v="0"/>
    <m/>
    <m/>
    <m/>
    <m/>
    <m/>
    <m/>
    <m/>
    <m/>
    <m/>
    <m/>
    <m/>
    <m/>
    <m/>
    <n v="0"/>
    <n v="0"/>
    <m/>
    <m/>
    <m/>
    <m/>
    <m/>
    <m/>
    <m/>
    <m/>
    <m/>
    <m/>
    <m/>
    <m/>
    <m/>
    <n v="0"/>
    <n v="0"/>
    <n v="7"/>
    <n v="3"/>
    <m/>
    <m/>
    <m/>
    <m/>
    <m/>
    <m/>
    <m/>
    <m/>
    <m/>
    <m/>
    <m/>
    <n v="10"/>
    <n v="159300"/>
    <m/>
    <m/>
    <m/>
    <m/>
    <m/>
    <m/>
    <m/>
    <m/>
    <m/>
    <m/>
    <m/>
    <m/>
    <m/>
    <n v="0"/>
    <n v="0"/>
    <m/>
    <m/>
    <m/>
    <m/>
    <m/>
    <m/>
    <m/>
    <m/>
    <m/>
    <m/>
    <m/>
    <m/>
    <m/>
    <n v="0"/>
    <n v="0"/>
    <n v="0"/>
    <n v="10"/>
    <n v="159300"/>
  </r>
  <r>
    <s v="13.5.19"/>
    <s v="Разработка и согласование эксплуатационной и рабочей документации на систему "/>
    <s v="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
    <s v="Посмотреть АКТ-ы"/>
    <x v="2"/>
    <m/>
    <s v="Консультант"/>
    <s v="К5"/>
    <s v="Вакансия 4"/>
    <s v="ДИТ"/>
    <n v="15930"/>
    <m/>
    <m/>
    <n v="0"/>
    <m/>
    <m/>
    <m/>
    <m/>
    <m/>
    <m/>
    <m/>
    <m/>
    <m/>
    <m/>
    <m/>
    <m/>
    <m/>
    <n v="0"/>
    <n v="0"/>
    <m/>
    <m/>
    <m/>
    <m/>
    <m/>
    <m/>
    <m/>
    <m/>
    <m/>
    <m/>
    <n v="8"/>
    <n v="11"/>
    <m/>
    <n v="19"/>
    <n v="302670"/>
    <n v="5"/>
    <n v="4"/>
    <m/>
    <m/>
    <m/>
    <m/>
    <m/>
    <m/>
    <m/>
    <m/>
    <m/>
    <m/>
    <m/>
    <n v="9"/>
    <n v="143370"/>
    <m/>
    <m/>
    <m/>
    <m/>
    <m/>
    <m/>
    <m/>
    <m/>
    <m/>
    <m/>
    <m/>
    <m/>
    <m/>
    <n v="0"/>
    <n v="0"/>
    <m/>
    <m/>
    <m/>
    <m/>
    <m/>
    <m/>
    <m/>
    <m/>
    <m/>
    <m/>
    <m/>
    <m/>
    <m/>
    <n v="0"/>
    <n v="0"/>
    <n v="0"/>
    <n v="28"/>
    <n v="446040"/>
  </r>
  <r>
    <m/>
    <m/>
    <m/>
    <m/>
    <x v="2"/>
    <m/>
    <s v="Консультант"/>
    <s v="К5"/>
    <s v="Вакансия 5"/>
    <s v="ДИТ"/>
    <n v="15930"/>
    <m/>
    <m/>
    <n v="0"/>
    <m/>
    <m/>
    <m/>
    <m/>
    <m/>
    <m/>
    <m/>
    <m/>
    <m/>
    <m/>
    <m/>
    <m/>
    <m/>
    <n v="0"/>
    <n v="0"/>
    <m/>
    <m/>
    <m/>
    <m/>
    <m/>
    <m/>
    <m/>
    <m/>
    <m/>
    <m/>
    <n v="8"/>
    <n v="11"/>
    <m/>
    <n v="19"/>
    <n v="302670"/>
    <n v="5"/>
    <n v="3"/>
    <m/>
    <m/>
    <m/>
    <m/>
    <m/>
    <m/>
    <m/>
    <m/>
    <m/>
    <m/>
    <m/>
    <n v="8"/>
    <n v="127440"/>
    <m/>
    <m/>
    <m/>
    <m/>
    <m/>
    <m/>
    <m/>
    <m/>
    <m/>
    <m/>
    <m/>
    <m/>
    <m/>
    <n v="0"/>
    <n v="0"/>
    <m/>
    <m/>
    <m/>
    <m/>
    <m/>
    <m/>
    <m/>
    <m/>
    <m/>
    <m/>
    <m/>
    <m/>
    <m/>
    <n v="0"/>
    <n v="0"/>
    <n v="0"/>
    <n v="27"/>
    <n v="430110"/>
  </r>
  <r>
    <m/>
    <m/>
    <m/>
    <m/>
    <x v="2"/>
    <m/>
    <s v="Специалист по сопровождению"/>
    <s v="К2"/>
    <s v="Вакансия 6"/>
    <s v="ДИТ"/>
    <n v="6980"/>
    <m/>
    <m/>
    <n v="0"/>
    <m/>
    <m/>
    <m/>
    <m/>
    <m/>
    <m/>
    <m/>
    <m/>
    <m/>
    <m/>
    <m/>
    <m/>
    <m/>
    <n v="0"/>
    <n v="0"/>
    <m/>
    <m/>
    <m/>
    <m/>
    <m/>
    <m/>
    <m/>
    <m/>
    <m/>
    <m/>
    <n v="11"/>
    <n v="5"/>
    <m/>
    <n v="16"/>
    <n v="111680"/>
    <m/>
    <m/>
    <m/>
    <m/>
    <m/>
    <m/>
    <m/>
    <m/>
    <m/>
    <m/>
    <m/>
    <m/>
    <m/>
    <n v="0"/>
    <n v="0"/>
    <m/>
    <m/>
    <m/>
    <m/>
    <m/>
    <m/>
    <m/>
    <m/>
    <m/>
    <m/>
    <m/>
    <m/>
    <m/>
    <n v="0"/>
    <n v="0"/>
    <m/>
    <m/>
    <m/>
    <m/>
    <m/>
    <m/>
    <m/>
    <m/>
    <m/>
    <m/>
    <m/>
    <m/>
    <m/>
    <n v="0"/>
    <n v="0"/>
    <n v="0"/>
    <n v="16"/>
    <n v="111680"/>
  </r>
  <r>
    <m/>
    <m/>
    <m/>
    <m/>
    <x v="2"/>
    <m/>
    <s v="Специалист по сопровождению"/>
    <s v="К2"/>
    <s v="Вакансия 7"/>
    <s v="ДИТ"/>
    <n v="6980"/>
    <m/>
    <m/>
    <n v="0"/>
    <m/>
    <m/>
    <m/>
    <m/>
    <m/>
    <m/>
    <m/>
    <m/>
    <m/>
    <m/>
    <m/>
    <m/>
    <m/>
    <n v="0"/>
    <n v="0"/>
    <m/>
    <m/>
    <m/>
    <m/>
    <m/>
    <m/>
    <m/>
    <m/>
    <m/>
    <m/>
    <n v="11"/>
    <n v="5"/>
    <m/>
    <n v="16"/>
    <n v="111680"/>
    <m/>
    <m/>
    <m/>
    <m/>
    <m/>
    <m/>
    <m/>
    <m/>
    <m/>
    <m/>
    <m/>
    <m/>
    <m/>
    <n v="0"/>
    <n v="0"/>
    <m/>
    <m/>
    <m/>
    <m/>
    <m/>
    <m/>
    <m/>
    <m/>
    <m/>
    <m/>
    <m/>
    <m/>
    <m/>
    <n v="0"/>
    <n v="0"/>
    <m/>
    <m/>
    <m/>
    <m/>
    <m/>
    <m/>
    <m/>
    <m/>
    <m/>
    <m/>
    <m/>
    <m/>
    <m/>
    <n v="0"/>
    <n v="0"/>
    <n v="0"/>
    <n v="16"/>
    <n v="111680"/>
  </r>
  <r>
    <s v="13.5.20"/>
    <s v="Разработка и согласование комплекта рабочей и эксплуатационной по ГОСТ 34*"/>
    <s v="Разработка и согласование комплекта рабочей и эксплуатационной документации в соответствии с требованиями ГОСТ 34*"/>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21"/>
    <s v="Разработка методологических документации, для целей создания и внедрения системы"/>
    <s v="Разработка новой или адаптация существующей методологической докуменации, используемой исключительно для целей создания и внедрения системы "/>
    <s v="Регламент работы в разрабатываемой системе ЭДО _x000a_"/>
    <x v="2"/>
    <m/>
    <m/>
    <m/>
    <m/>
    <s v="ДИТ"/>
    <s v="нет данных"/>
    <m/>
    <m/>
    <n v="0"/>
    <m/>
    <m/>
    <m/>
    <m/>
    <m/>
    <m/>
    <m/>
    <m/>
    <m/>
    <m/>
    <m/>
    <m/>
    <m/>
    <n v="0"/>
    <n v="0"/>
    <m/>
    <m/>
    <m/>
    <m/>
    <m/>
    <m/>
    <m/>
    <m/>
    <m/>
    <m/>
    <m/>
    <m/>
    <m/>
    <n v="0"/>
    <n v="0"/>
    <m/>
    <m/>
    <m/>
    <m/>
    <m/>
    <m/>
    <m/>
    <m/>
    <m/>
    <m/>
    <m/>
    <m/>
    <m/>
    <n v="0"/>
    <n v="0"/>
    <m/>
    <m/>
    <m/>
    <m/>
    <m/>
    <m/>
    <m/>
    <m/>
    <m/>
    <m/>
    <m/>
    <m/>
    <m/>
    <n v="0"/>
    <n v="0"/>
    <m/>
    <m/>
    <m/>
    <m/>
    <m/>
    <m/>
    <m/>
    <m/>
    <m/>
    <m/>
    <m/>
    <m/>
    <m/>
    <n v="0"/>
    <n v="0"/>
    <n v="0"/>
    <n v="0"/>
    <n v="0"/>
  </r>
  <r>
    <m/>
    <m/>
    <m/>
    <s v="Регламент работы в разрабатываемой системе ЭДО _x000a_"/>
    <x v="2"/>
    <m/>
    <s v="Консультант"/>
    <s v="К5"/>
    <s v="Вакансия 5"/>
    <s v="ДИТ"/>
    <n v="15930"/>
    <m/>
    <m/>
    <n v="0"/>
    <m/>
    <m/>
    <m/>
    <m/>
    <m/>
    <m/>
    <m/>
    <m/>
    <m/>
    <m/>
    <m/>
    <m/>
    <m/>
    <n v="0"/>
    <n v="0"/>
    <m/>
    <m/>
    <m/>
    <m/>
    <m/>
    <m/>
    <m/>
    <n v="13"/>
    <n v="10"/>
    <m/>
    <m/>
    <m/>
    <m/>
    <n v="23"/>
    <n v="366390"/>
    <m/>
    <n v="4"/>
    <n v="5"/>
    <n v="5"/>
    <m/>
    <m/>
    <m/>
    <m/>
    <m/>
    <m/>
    <m/>
    <m/>
    <m/>
    <n v="14"/>
    <n v="223020"/>
    <m/>
    <m/>
    <m/>
    <m/>
    <m/>
    <m/>
    <m/>
    <m/>
    <m/>
    <m/>
    <m/>
    <m/>
    <m/>
    <n v="0"/>
    <n v="0"/>
    <m/>
    <m/>
    <m/>
    <m/>
    <m/>
    <m/>
    <m/>
    <m/>
    <m/>
    <m/>
    <m/>
    <m/>
    <m/>
    <n v="0"/>
    <n v="0"/>
    <n v="0"/>
    <n v="37"/>
    <n v="589410"/>
  </r>
  <r>
    <m/>
    <m/>
    <m/>
    <s v="Регламент работы в разрабатываемой системе ЭДО _x000a_"/>
    <x v="2"/>
    <m/>
    <s v="Консультант"/>
    <s v="К5"/>
    <s v="Вакансия 4"/>
    <s v="ДИТ"/>
    <n v="15930"/>
    <m/>
    <m/>
    <n v="0"/>
    <m/>
    <m/>
    <m/>
    <m/>
    <m/>
    <m/>
    <m/>
    <m/>
    <m/>
    <m/>
    <m/>
    <m/>
    <m/>
    <n v="0"/>
    <n v="0"/>
    <m/>
    <m/>
    <m/>
    <m/>
    <m/>
    <m/>
    <m/>
    <n v="13"/>
    <n v="10"/>
    <m/>
    <m/>
    <m/>
    <m/>
    <n v="23"/>
    <n v="366390"/>
    <m/>
    <n v="3"/>
    <n v="5"/>
    <n v="5"/>
    <m/>
    <m/>
    <m/>
    <m/>
    <m/>
    <m/>
    <m/>
    <m/>
    <m/>
    <n v="13"/>
    <n v="207090"/>
    <m/>
    <m/>
    <m/>
    <m/>
    <m/>
    <m/>
    <m/>
    <m/>
    <m/>
    <m/>
    <m/>
    <m/>
    <m/>
    <n v="0"/>
    <n v="0"/>
    <m/>
    <m/>
    <m/>
    <m/>
    <m/>
    <m/>
    <m/>
    <m/>
    <m/>
    <m/>
    <m/>
    <m/>
    <m/>
    <n v="0"/>
    <n v="0"/>
    <n v="0"/>
    <n v="36"/>
    <n v="573480"/>
  </r>
  <r>
    <s v="13.5.23"/>
    <s v="Разработка и согласование ПМИ / Концепций и Сценариев тестирования"/>
    <s v="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
    <m/>
    <x v="2"/>
    <m/>
    <s v="Аналитик"/>
    <s v="К6"/>
    <s v="Вакансия 3"/>
    <s v="ДИТ"/>
    <n v="21520"/>
    <m/>
    <m/>
    <n v="0"/>
    <m/>
    <m/>
    <m/>
    <m/>
    <m/>
    <m/>
    <m/>
    <m/>
    <m/>
    <m/>
    <m/>
    <m/>
    <m/>
    <n v="0"/>
    <n v="0"/>
    <m/>
    <m/>
    <m/>
    <m/>
    <m/>
    <m/>
    <m/>
    <m/>
    <n v="10"/>
    <n v="10"/>
    <m/>
    <m/>
    <m/>
    <n v="20"/>
    <n v="430400"/>
    <m/>
    <m/>
    <m/>
    <m/>
    <m/>
    <m/>
    <m/>
    <m/>
    <m/>
    <m/>
    <m/>
    <m/>
    <m/>
    <n v="0"/>
    <n v="0"/>
    <m/>
    <m/>
    <m/>
    <m/>
    <m/>
    <m/>
    <m/>
    <m/>
    <m/>
    <m/>
    <m/>
    <m/>
    <m/>
    <n v="0"/>
    <n v="0"/>
    <m/>
    <m/>
    <m/>
    <m/>
    <m/>
    <m/>
    <m/>
    <m/>
    <m/>
    <m/>
    <m/>
    <m/>
    <m/>
    <n v="0"/>
    <n v="0"/>
    <n v="0"/>
    <n v="20"/>
    <n v="430400"/>
  </r>
  <r>
    <m/>
    <m/>
    <m/>
    <m/>
    <x v="2"/>
    <m/>
    <s v="Консультант"/>
    <s v="К5"/>
    <s v="Вакансия 5"/>
    <s v="ДИТ"/>
    <n v="15930"/>
    <m/>
    <m/>
    <n v="0"/>
    <m/>
    <m/>
    <m/>
    <m/>
    <m/>
    <m/>
    <m/>
    <m/>
    <m/>
    <m/>
    <m/>
    <m/>
    <m/>
    <n v="0"/>
    <n v="0"/>
    <m/>
    <m/>
    <m/>
    <m/>
    <m/>
    <m/>
    <m/>
    <m/>
    <n v="5"/>
    <n v="10"/>
    <m/>
    <m/>
    <m/>
    <n v="15"/>
    <n v="238950"/>
    <m/>
    <m/>
    <m/>
    <m/>
    <m/>
    <m/>
    <m/>
    <m/>
    <m/>
    <m/>
    <m/>
    <m/>
    <m/>
    <n v="0"/>
    <n v="0"/>
    <m/>
    <m/>
    <m/>
    <m/>
    <m/>
    <m/>
    <m/>
    <m/>
    <m/>
    <m/>
    <m/>
    <m/>
    <m/>
    <n v="0"/>
    <n v="0"/>
    <m/>
    <m/>
    <m/>
    <m/>
    <m/>
    <m/>
    <m/>
    <m/>
    <m/>
    <m/>
    <m/>
    <m/>
    <m/>
    <n v="0"/>
    <n v="0"/>
    <n v="0"/>
    <n v="15"/>
    <n v="238950"/>
  </r>
  <r>
    <m/>
    <m/>
    <m/>
    <m/>
    <x v="2"/>
    <m/>
    <s v="Консультант"/>
    <s v="К5"/>
    <s v="Вакансия 4"/>
    <s v="ДИТ"/>
    <n v="15930"/>
    <m/>
    <m/>
    <n v="0"/>
    <m/>
    <m/>
    <m/>
    <m/>
    <m/>
    <m/>
    <m/>
    <m/>
    <m/>
    <m/>
    <m/>
    <m/>
    <m/>
    <n v="0"/>
    <n v="0"/>
    <m/>
    <m/>
    <m/>
    <m/>
    <m/>
    <m/>
    <m/>
    <m/>
    <n v="5"/>
    <n v="10"/>
    <m/>
    <m/>
    <m/>
    <n v="15"/>
    <n v="238950"/>
    <m/>
    <m/>
    <m/>
    <m/>
    <m/>
    <m/>
    <m/>
    <m/>
    <m/>
    <m/>
    <m/>
    <m/>
    <m/>
    <n v="0"/>
    <n v="0"/>
    <m/>
    <m/>
    <m/>
    <m/>
    <m/>
    <m/>
    <m/>
    <m/>
    <m/>
    <m/>
    <m/>
    <m/>
    <m/>
    <n v="0"/>
    <n v="0"/>
    <m/>
    <m/>
    <m/>
    <m/>
    <m/>
    <m/>
    <m/>
    <m/>
    <m/>
    <m/>
    <m/>
    <m/>
    <m/>
    <n v="0"/>
    <n v="0"/>
    <n v="0"/>
    <n v="15"/>
    <n v="238950"/>
  </r>
  <r>
    <s v="13.5.24"/>
    <s v="Разработка и согласование проектно-сметной докумтентации"/>
    <s v="Разработка и согласование проектно-сметной документации"/>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25"/>
    <s v="Приобретение программного обеспечения"/>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s v="Возможно опекс по системному ПО"/>
    <x v="2"/>
    <m/>
    <s v="Консультант"/>
    <s v="К5"/>
    <s v="Вакансия 4"/>
    <s v="ДИТ"/>
    <n v="15930"/>
    <m/>
    <m/>
    <n v="0"/>
    <m/>
    <m/>
    <m/>
    <m/>
    <m/>
    <m/>
    <m/>
    <m/>
    <m/>
    <m/>
    <m/>
    <m/>
    <m/>
    <n v="0"/>
    <n v="0"/>
    <m/>
    <m/>
    <m/>
    <n v="6"/>
    <m/>
    <m/>
    <m/>
    <m/>
    <m/>
    <m/>
    <n v="3"/>
    <m/>
    <m/>
    <n v="9"/>
    <n v="143370"/>
    <m/>
    <m/>
    <m/>
    <n v="5"/>
    <m/>
    <m/>
    <m/>
    <m/>
    <m/>
    <m/>
    <m/>
    <m/>
    <m/>
    <n v="5"/>
    <n v="79650"/>
    <m/>
    <m/>
    <m/>
    <m/>
    <m/>
    <m/>
    <m/>
    <m/>
    <m/>
    <m/>
    <m/>
    <m/>
    <m/>
    <n v="0"/>
    <n v="0"/>
    <m/>
    <m/>
    <m/>
    <m/>
    <m/>
    <m/>
    <m/>
    <m/>
    <m/>
    <m/>
    <m/>
    <m/>
    <m/>
    <n v="0"/>
    <n v="0"/>
    <n v="0"/>
    <n v="14"/>
    <n v="223020"/>
  </r>
  <r>
    <m/>
    <m/>
    <m/>
    <s v="Возможно опекс по системному ПО"/>
    <x v="2"/>
    <m/>
    <s v="Консультант"/>
    <s v="К5"/>
    <s v="Вакансия 5"/>
    <s v="ДИТ"/>
    <n v="15930"/>
    <m/>
    <m/>
    <n v="0"/>
    <m/>
    <m/>
    <m/>
    <m/>
    <m/>
    <m/>
    <m/>
    <m/>
    <m/>
    <m/>
    <m/>
    <m/>
    <m/>
    <n v="0"/>
    <n v="0"/>
    <m/>
    <m/>
    <m/>
    <n v="6"/>
    <m/>
    <m/>
    <m/>
    <m/>
    <m/>
    <m/>
    <n v="3"/>
    <m/>
    <m/>
    <n v="9"/>
    <n v="143370"/>
    <m/>
    <m/>
    <m/>
    <n v="5"/>
    <m/>
    <m/>
    <m/>
    <m/>
    <m/>
    <m/>
    <m/>
    <m/>
    <m/>
    <n v="5"/>
    <n v="79650"/>
    <m/>
    <m/>
    <m/>
    <m/>
    <m/>
    <m/>
    <m/>
    <m/>
    <m/>
    <m/>
    <m/>
    <m/>
    <m/>
    <n v="0"/>
    <n v="0"/>
    <m/>
    <m/>
    <m/>
    <m/>
    <m/>
    <m/>
    <m/>
    <m/>
    <m/>
    <m/>
    <m/>
    <m/>
    <m/>
    <n v="0"/>
    <n v="0"/>
    <n v="0"/>
    <n v="14"/>
    <n v="223020"/>
  </r>
  <r>
    <s v="13.5.26"/>
    <s v="Приобретение оборудования "/>
    <s v="Приобретение оборудования (в том числе, но неограничиваясь: ИТ-оборудования)"/>
    <m/>
    <x v="2"/>
    <m/>
    <s v="Консультант"/>
    <s v="К5"/>
    <s v="Вакансия 4"/>
    <s v="ДИТ"/>
    <n v="15930"/>
    <m/>
    <m/>
    <n v="0"/>
    <m/>
    <m/>
    <m/>
    <m/>
    <m/>
    <m/>
    <m/>
    <m/>
    <m/>
    <m/>
    <m/>
    <m/>
    <m/>
    <n v="0"/>
    <n v="0"/>
    <m/>
    <m/>
    <n v="10"/>
    <m/>
    <m/>
    <m/>
    <m/>
    <m/>
    <m/>
    <m/>
    <m/>
    <m/>
    <m/>
    <n v="10"/>
    <n v="159300"/>
    <m/>
    <m/>
    <m/>
    <m/>
    <m/>
    <m/>
    <m/>
    <m/>
    <m/>
    <m/>
    <m/>
    <m/>
    <m/>
    <n v="0"/>
    <n v="0"/>
    <m/>
    <m/>
    <m/>
    <m/>
    <m/>
    <m/>
    <m/>
    <m/>
    <m/>
    <m/>
    <m/>
    <m/>
    <m/>
    <n v="0"/>
    <n v="0"/>
    <m/>
    <m/>
    <m/>
    <m/>
    <m/>
    <m/>
    <m/>
    <m/>
    <m/>
    <m/>
    <m/>
    <m/>
    <m/>
    <n v="0"/>
    <n v="0"/>
    <n v="0"/>
    <n v="10"/>
    <n v="159300"/>
  </r>
  <r>
    <m/>
    <m/>
    <m/>
    <m/>
    <x v="2"/>
    <m/>
    <s v="Консультант"/>
    <s v="К5"/>
    <s v="Вакансия 5"/>
    <s v="ДИТ"/>
    <n v="15930"/>
    <m/>
    <m/>
    <n v="0"/>
    <m/>
    <m/>
    <m/>
    <m/>
    <m/>
    <m/>
    <m/>
    <m/>
    <m/>
    <m/>
    <m/>
    <m/>
    <m/>
    <n v="0"/>
    <n v="0"/>
    <m/>
    <m/>
    <n v="10"/>
    <m/>
    <m/>
    <m/>
    <m/>
    <m/>
    <m/>
    <m/>
    <m/>
    <m/>
    <m/>
    <n v="10"/>
    <n v="159300"/>
    <m/>
    <m/>
    <m/>
    <m/>
    <m/>
    <m/>
    <m/>
    <m/>
    <m/>
    <m/>
    <m/>
    <m/>
    <m/>
    <n v="0"/>
    <n v="0"/>
    <m/>
    <m/>
    <m/>
    <m/>
    <m/>
    <m/>
    <m/>
    <m/>
    <m/>
    <m/>
    <m/>
    <m/>
    <m/>
    <n v="0"/>
    <n v="0"/>
    <m/>
    <m/>
    <m/>
    <m/>
    <m/>
    <m/>
    <m/>
    <m/>
    <m/>
    <m/>
    <m/>
    <m/>
    <m/>
    <n v="0"/>
    <n v="0"/>
    <n v="0"/>
    <n v="10"/>
    <n v="159300"/>
  </r>
  <r>
    <m/>
    <m/>
    <m/>
    <m/>
    <x v="2"/>
    <m/>
    <s v="Специалист по инфраструктуре"/>
    <s v="К3"/>
    <s v="TBD Инфраструктура"/>
    <s v="ДИТ"/>
    <n v="9050"/>
    <m/>
    <m/>
    <n v="0"/>
    <m/>
    <m/>
    <m/>
    <m/>
    <m/>
    <m/>
    <m/>
    <m/>
    <m/>
    <m/>
    <m/>
    <m/>
    <m/>
    <n v="0"/>
    <n v="0"/>
    <m/>
    <n v="5"/>
    <n v="10"/>
    <m/>
    <m/>
    <m/>
    <m/>
    <m/>
    <m/>
    <m/>
    <m/>
    <m/>
    <m/>
    <n v="15"/>
    <n v="135750"/>
    <m/>
    <m/>
    <m/>
    <m/>
    <m/>
    <m/>
    <m/>
    <m/>
    <m/>
    <m/>
    <m/>
    <m/>
    <m/>
    <n v="0"/>
    <n v="0"/>
    <m/>
    <m/>
    <m/>
    <m/>
    <m/>
    <m/>
    <m/>
    <m/>
    <m/>
    <m/>
    <m/>
    <m/>
    <m/>
    <n v="0"/>
    <n v="0"/>
    <m/>
    <m/>
    <m/>
    <m/>
    <m/>
    <m/>
    <m/>
    <m/>
    <m/>
    <m/>
    <m/>
    <m/>
    <m/>
    <n v="0"/>
    <n v="0"/>
    <n v="0"/>
    <n v="15"/>
    <n v="135750"/>
  </r>
  <r>
    <s v="13.5.27"/>
    <s v="Приобретение материалов для выполнения работ по монтажу и установке (в т.ч. ИТ-инфраструктуры)"/>
    <s v="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
    <m/>
    <x v="2"/>
    <m/>
    <m/>
    <m/>
    <m/>
    <s v="ДИТ"/>
    <s v="нет данных"/>
    <m/>
    <m/>
    <n v="0"/>
    <m/>
    <m/>
    <m/>
    <m/>
    <m/>
    <m/>
    <m/>
    <m/>
    <m/>
    <m/>
    <m/>
    <m/>
    <m/>
    <n v="0"/>
    <n v="0"/>
    <m/>
    <m/>
    <m/>
    <m/>
    <m/>
    <m/>
    <m/>
    <m/>
    <m/>
    <m/>
    <m/>
    <m/>
    <m/>
    <n v="0"/>
    <n v="0"/>
    <m/>
    <m/>
    <m/>
    <m/>
    <m/>
    <m/>
    <m/>
    <m/>
    <m/>
    <m/>
    <m/>
    <m/>
    <m/>
    <n v="0"/>
    <n v="0"/>
    <m/>
    <m/>
    <m/>
    <m/>
    <m/>
    <m/>
    <m/>
    <m/>
    <m/>
    <m/>
    <m/>
    <m/>
    <m/>
    <n v="0"/>
    <n v="0"/>
    <m/>
    <m/>
    <m/>
    <m/>
    <m/>
    <m/>
    <m/>
    <m/>
    <m/>
    <m/>
    <m/>
    <m/>
    <m/>
    <n v="0"/>
    <n v="0"/>
    <n v="0"/>
    <n v="0"/>
    <n v="0"/>
  </r>
  <r>
    <m/>
    <m/>
    <m/>
    <m/>
    <x v="2"/>
    <m/>
    <s v="Консультант"/>
    <s v="К5"/>
    <s v="Вакансия 5"/>
    <s v="ДИТ"/>
    <n v="15930"/>
    <m/>
    <m/>
    <n v="0"/>
    <m/>
    <m/>
    <m/>
    <m/>
    <m/>
    <m/>
    <m/>
    <m/>
    <m/>
    <m/>
    <m/>
    <m/>
    <m/>
    <n v="0"/>
    <n v="0"/>
    <m/>
    <m/>
    <n v="10"/>
    <n v="15"/>
    <m/>
    <m/>
    <m/>
    <m/>
    <m/>
    <m/>
    <m/>
    <m/>
    <m/>
    <n v="25"/>
    <n v="398250"/>
    <m/>
    <m/>
    <m/>
    <m/>
    <m/>
    <m/>
    <m/>
    <m/>
    <m/>
    <m/>
    <m/>
    <m/>
    <m/>
    <n v="0"/>
    <n v="0"/>
    <m/>
    <m/>
    <m/>
    <m/>
    <m/>
    <m/>
    <m/>
    <m/>
    <m/>
    <m/>
    <m/>
    <m/>
    <m/>
    <n v="0"/>
    <n v="0"/>
    <m/>
    <m/>
    <m/>
    <m/>
    <m/>
    <m/>
    <m/>
    <m/>
    <m/>
    <m/>
    <m/>
    <m/>
    <m/>
    <n v="0"/>
    <n v="0"/>
    <n v="0"/>
    <n v="25"/>
    <n v="398250"/>
  </r>
  <r>
    <m/>
    <m/>
    <m/>
    <m/>
    <x v="2"/>
    <m/>
    <s v="Консультант"/>
    <s v="К5"/>
    <s v="Вакансия 4"/>
    <s v="ДИТ"/>
    <n v="15930"/>
    <m/>
    <m/>
    <n v="0"/>
    <m/>
    <m/>
    <m/>
    <m/>
    <m/>
    <m/>
    <m/>
    <m/>
    <m/>
    <m/>
    <m/>
    <m/>
    <m/>
    <n v="0"/>
    <n v="0"/>
    <m/>
    <m/>
    <n v="10"/>
    <n v="15"/>
    <m/>
    <m/>
    <m/>
    <m/>
    <m/>
    <m/>
    <m/>
    <m/>
    <m/>
    <n v="25"/>
    <n v="398250"/>
    <m/>
    <m/>
    <m/>
    <m/>
    <m/>
    <m/>
    <m/>
    <m/>
    <m/>
    <m/>
    <m/>
    <m/>
    <m/>
    <n v="0"/>
    <n v="0"/>
    <m/>
    <m/>
    <m/>
    <m/>
    <m/>
    <m/>
    <m/>
    <m/>
    <m/>
    <m/>
    <m/>
    <m/>
    <m/>
    <n v="0"/>
    <n v="0"/>
    <m/>
    <m/>
    <m/>
    <m/>
    <m/>
    <m/>
    <m/>
    <m/>
    <m/>
    <m/>
    <m/>
    <m/>
    <m/>
    <n v="0"/>
    <n v="0"/>
    <n v="0"/>
    <n v="25"/>
    <n v="398250"/>
  </r>
  <r>
    <s v="13.5.28"/>
    <s v="Монтаж и установка (в т.ч. ИТ-инфраструктуры)"/>
    <s v="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
    <m/>
    <x v="2"/>
    <m/>
    <s v="Специалист по инфраструктуре"/>
    <s v="К3"/>
    <s v="TBD Инфраструктура"/>
    <s v="ДИТ"/>
    <n v="9050"/>
    <m/>
    <m/>
    <n v="0"/>
    <m/>
    <m/>
    <m/>
    <m/>
    <m/>
    <m/>
    <m/>
    <m/>
    <m/>
    <m/>
    <m/>
    <m/>
    <m/>
    <n v="0"/>
    <n v="0"/>
    <m/>
    <m/>
    <m/>
    <n v="14"/>
    <m/>
    <m/>
    <m/>
    <m/>
    <m/>
    <m/>
    <m/>
    <m/>
    <m/>
    <n v="14"/>
    <n v="126700"/>
    <m/>
    <m/>
    <m/>
    <m/>
    <m/>
    <m/>
    <m/>
    <m/>
    <m/>
    <m/>
    <m/>
    <m/>
    <m/>
    <n v="0"/>
    <n v="0"/>
    <m/>
    <m/>
    <m/>
    <m/>
    <m/>
    <m/>
    <m/>
    <m/>
    <m/>
    <m/>
    <m/>
    <m/>
    <m/>
    <n v="0"/>
    <n v="0"/>
    <m/>
    <m/>
    <m/>
    <m/>
    <m/>
    <m/>
    <m/>
    <m/>
    <m/>
    <m/>
    <m/>
    <m/>
    <m/>
    <n v="0"/>
    <n v="0"/>
    <n v="0"/>
    <n v="14"/>
    <n v="126700"/>
  </r>
  <r>
    <m/>
    <m/>
    <m/>
    <m/>
    <x v="2"/>
    <m/>
    <s v="Консультант"/>
    <s v="К5"/>
    <s v="TBD Базис"/>
    <s v="ДИТ"/>
    <n v="15930"/>
    <m/>
    <m/>
    <n v="0"/>
    <m/>
    <m/>
    <m/>
    <m/>
    <m/>
    <m/>
    <m/>
    <m/>
    <m/>
    <m/>
    <m/>
    <m/>
    <m/>
    <n v="0"/>
    <n v="0"/>
    <m/>
    <m/>
    <m/>
    <m/>
    <n v="3"/>
    <m/>
    <m/>
    <m/>
    <m/>
    <m/>
    <m/>
    <m/>
    <m/>
    <n v="3"/>
    <n v="47790"/>
    <m/>
    <m/>
    <m/>
    <m/>
    <m/>
    <m/>
    <m/>
    <m/>
    <m/>
    <m/>
    <m/>
    <m/>
    <m/>
    <n v="0"/>
    <n v="0"/>
    <m/>
    <m/>
    <m/>
    <m/>
    <m/>
    <m/>
    <m/>
    <m/>
    <m/>
    <m/>
    <m/>
    <m/>
    <m/>
    <n v="0"/>
    <n v="0"/>
    <m/>
    <m/>
    <m/>
    <m/>
    <m/>
    <m/>
    <m/>
    <m/>
    <m/>
    <m/>
    <m/>
    <m/>
    <m/>
    <n v="0"/>
    <n v="0"/>
    <n v="0"/>
    <n v="3"/>
    <n v="47790"/>
  </r>
  <r>
    <m/>
    <m/>
    <m/>
    <m/>
    <x v="2"/>
    <m/>
    <m/>
    <m/>
    <m/>
    <s v="ДИТ"/>
    <s v="нет данных"/>
    <m/>
    <m/>
    <n v="0"/>
    <m/>
    <m/>
    <m/>
    <m/>
    <m/>
    <m/>
    <m/>
    <m/>
    <m/>
    <m/>
    <m/>
    <m/>
    <m/>
    <n v="0"/>
    <n v="0"/>
    <m/>
    <m/>
    <m/>
    <m/>
    <m/>
    <m/>
    <m/>
    <m/>
    <m/>
    <m/>
    <m/>
    <m/>
    <m/>
    <n v="0"/>
    <n v="0"/>
    <m/>
    <m/>
    <m/>
    <m/>
    <m/>
    <m/>
    <m/>
    <m/>
    <m/>
    <m/>
    <m/>
    <m/>
    <m/>
    <n v="0"/>
    <n v="0"/>
    <m/>
    <m/>
    <m/>
    <m/>
    <m/>
    <m/>
    <m/>
    <m/>
    <m/>
    <m/>
    <m/>
    <m/>
    <m/>
    <n v="0"/>
    <n v="0"/>
    <m/>
    <m/>
    <m/>
    <m/>
    <m/>
    <m/>
    <m/>
    <m/>
    <m/>
    <m/>
    <m/>
    <m/>
    <m/>
    <n v="0"/>
    <n v="0"/>
    <n v="0"/>
    <n v="0"/>
    <n v="0"/>
  </r>
  <r>
    <s v="13.5.29"/>
    <s v="Пуско-наладочные работы (в т.ч. ИТ-инфраструктуры) "/>
    <s v="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
    <m/>
    <x v="2"/>
    <m/>
    <s v="Специалист по инфраструктуре"/>
    <s v="К3"/>
    <s v="TBD Инфраструктура"/>
    <s v="ДИТ"/>
    <n v="9050"/>
    <m/>
    <m/>
    <n v="0"/>
    <m/>
    <m/>
    <m/>
    <m/>
    <m/>
    <m/>
    <m/>
    <m/>
    <m/>
    <m/>
    <m/>
    <m/>
    <m/>
    <n v="0"/>
    <n v="0"/>
    <m/>
    <m/>
    <m/>
    <m/>
    <n v="5"/>
    <m/>
    <m/>
    <m/>
    <m/>
    <m/>
    <m/>
    <m/>
    <m/>
    <n v="5"/>
    <n v="45250"/>
    <m/>
    <m/>
    <m/>
    <m/>
    <m/>
    <m/>
    <m/>
    <m/>
    <m/>
    <m/>
    <m/>
    <m/>
    <m/>
    <n v="0"/>
    <n v="0"/>
    <m/>
    <m/>
    <m/>
    <m/>
    <m/>
    <m/>
    <m/>
    <m/>
    <m/>
    <m/>
    <m/>
    <m/>
    <m/>
    <n v="0"/>
    <n v="0"/>
    <m/>
    <m/>
    <m/>
    <m/>
    <m/>
    <m/>
    <m/>
    <m/>
    <m/>
    <m/>
    <m/>
    <m/>
    <m/>
    <n v="0"/>
    <n v="0"/>
    <n v="0"/>
    <n v="5"/>
    <n v="45250"/>
  </r>
  <r>
    <m/>
    <m/>
    <m/>
    <m/>
    <x v="2"/>
    <m/>
    <s v="Консультант"/>
    <s v="К5"/>
    <s v="TBD Базис"/>
    <s v="ДИТ"/>
    <n v="15930"/>
    <m/>
    <m/>
    <n v="0"/>
    <m/>
    <m/>
    <m/>
    <m/>
    <m/>
    <m/>
    <m/>
    <m/>
    <m/>
    <m/>
    <m/>
    <m/>
    <m/>
    <n v="0"/>
    <n v="0"/>
    <m/>
    <m/>
    <m/>
    <m/>
    <n v="3"/>
    <m/>
    <m/>
    <m/>
    <m/>
    <m/>
    <m/>
    <m/>
    <m/>
    <n v="3"/>
    <n v="47790"/>
    <m/>
    <m/>
    <m/>
    <m/>
    <m/>
    <m/>
    <m/>
    <m/>
    <m/>
    <m/>
    <m/>
    <m/>
    <m/>
    <n v="0"/>
    <n v="0"/>
    <m/>
    <m/>
    <m/>
    <m/>
    <m/>
    <m/>
    <m/>
    <m/>
    <m/>
    <m/>
    <m/>
    <m/>
    <m/>
    <n v="0"/>
    <n v="0"/>
    <m/>
    <m/>
    <m/>
    <m/>
    <m/>
    <m/>
    <m/>
    <m/>
    <m/>
    <m/>
    <m/>
    <m/>
    <m/>
    <n v="0"/>
    <n v="0"/>
    <n v="0"/>
    <n v="3"/>
    <n v="47790"/>
  </r>
  <r>
    <m/>
    <m/>
    <m/>
    <m/>
    <x v="2"/>
    <m/>
    <s v="Консультант"/>
    <s v="К5"/>
    <s v="Вакансия 5"/>
    <s v="ДИТ"/>
    <n v="15930"/>
    <m/>
    <m/>
    <n v="0"/>
    <m/>
    <m/>
    <m/>
    <m/>
    <m/>
    <m/>
    <m/>
    <m/>
    <m/>
    <m/>
    <m/>
    <m/>
    <m/>
    <n v="0"/>
    <n v="0"/>
    <m/>
    <m/>
    <m/>
    <m/>
    <n v="20"/>
    <n v="10"/>
    <m/>
    <m/>
    <m/>
    <m/>
    <m/>
    <m/>
    <m/>
    <n v="30"/>
    <n v="477900"/>
    <m/>
    <m/>
    <m/>
    <m/>
    <m/>
    <m/>
    <m/>
    <m/>
    <m/>
    <m/>
    <m/>
    <m/>
    <m/>
    <n v="0"/>
    <n v="0"/>
    <m/>
    <m/>
    <m/>
    <m/>
    <m/>
    <m/>
    <m/>
    <m/>
    <m/>
    <m/>
    <m/>
    <m/>
    <m/>
    <n v="0"/>
    <n v="0"/>
    <m/>
    <m/>
    <m/>
    <m/>
    <m/>
    <m/>
    <m/>
    <m/>
    <m/>
    <m/>
    <m/>
    <m/>
    <m/>
    <n v="0"/>
    <n v="0"/>
    <n v="0"/>
    <n v="30"/>
    <n v="477900"/>
  </r>
  <r>
    <m/>
    <m/>
    <m/>
    <m/>
    <x v="2"/>
    <m/>
    <s v="Консультант"/>
    <s v="К5"/>
    <s v="Вакансия 4"/>
    <s v="ДИТ"/>
    <n v="15930"/>
    <m/>
    <m/>
    <n v="0"/>
    <m/>
    <m/>
    <m/>
    <m/>
    <m/>
    <m/>
    <m/>
    <m/>
    <m/>
    <m/>
    <m/>
    <m/>
    <m/>
    <n v="0"/>
    <n v="0"/>
    <m/>
    <m/>
    <m/>
    <m/>
    <n v="20"/>
    <n v="10"/>
    <m/>
    <m/>
    <m/>
    <m/>
    <m/>
    <m/>
    <m/>
    <n v="30"/>
    <n v="477900"/>
    <m/>
    <m/>
    <m/>
    <m/>
    <m/>
    <m/>
    <m/>
    <m/>
    <m/>
    <m/>
    <m/>
    <m/>
    <m/>
    <n v="0"/>
    <n v="0"/>
    <m/>
    <m/>
    <m/>
    <m/>
    <m/>
    <m/>
    <m/>
    <m/>
    <m/>
    <m/>
    <m/>
    <m/>
    <m/>
    <n v="0"/>
    <n v="0"/>
    <m/>
    <m/>
    <m/>
    <m/>
    <m/>
    <m/>
    <m/>
    <m/>
    <m/>
    <m/>
    <m/>
    <m/>
    <m/>
    <n v="0"/>
    <n v="0"/>
    <n v="0"/>
    <n v="30"/>
    <n v="477900"/>
  </r>
  <r>
    <s v="13.5.30"/>
    <s v="Тестирование инфраструктуры  и ввод в эксплуатацию (в т.ч. ИТ-инфраструктуры)"/>
    <s v="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
    <s v="Проведение работ по тестированию тестового окружения, включая  проверку Кабинетов оргазиаций (тестовых) у оператора ЭДО, затем тоже самое по продуктиву"/>
    <x v="2"/>
    <m/>
    <s v="Специалист по инфраструктуре"/>
    <s v="К3"/>
    <s v="TBD Инфраструктура"/>
    <s v="ДИТ"/>
    <n v="9050"/>
    <m/>
    <m/>
    <n v="0"/>
    <m/>
    <m/>
    <m/>
    <m/>
    <m/>
    <m/>
    <m/>
    <m/>
    <m/>
    <m/>
    <m/>
    <m/>
    <m/>
    <n v="0"/>
    <n v="0"/>
    <m/>
    <m/>
    <m/>
    <n v="5"/>
    <m/>
    <m/>
    <m/>
    <m/>
    <m/>
    <m/>
    <m/>
    <m/>
    <m/>
    <n v="5"/>
    <n v="45250"/>
    <m/>
    <n v="5"/>
    <m/>
    <m/>
    <m/>
    <m/>
    <m/>
    <m/>
    <m/>
    <m/>
    <m/>
    <m/>
    <m/>
    <n v="5"/>
    <n v="45250"/>
    <m/>
    <m/>
    <m/>
    <m/>
    <m/>
    <m/>
    <m/>
    <m/>
    <m/>
    <m/>
    <m/>
    <m/>
    <m/>
    <n v="0"/>
    <n v="0"/>
    <m/>
    <m/>
    <m/>
    <m/>
    <m/>
    <m/>
    <m/>
    <m/>
    <m/>
    <m/>
    <m/>
    <m/>
    <m/>
    <n v="0"/>
    <n v="0"/>
    <n v="0"/>
    <n v="10"/>
    <n v="90500"/>
  </r>
  <r>
    <m/>
    <m/>
    <m/>
    <s v="Проведение работ по тестированию тестового окружения, включая  проверку Кабинетов оргазиаций (тестовых) у оператора ЭДО, затем тоже самое по продуктиву"/>
    <x v="2"/>
    <m/>
    <s v="Консультант"/>
    <s v="К5"/>
    <s v="Вакансия 5"/>
    <s v="ДИТ"/>
    <n v="15930"/>
    <m/>
    <m/>
    <n v="0"/>
    <m/>
    <m/>
    <m/>
    <m/>
    <m/>
    <m/>
    <m/>
    <m/>
    <m/>
    <m/>
    <m/>
    <m/>
    <m/>
    <n v="0"/>
    <n v="0"/>
    <m/>
    <m/>
    <m/>
    <m/>
    <m/>
    <n v="10"/>
    <m/>
    <m/>
    <m/>
    <m/>
    <m/>
    <m/>
    <m/>
    <n v="10"/>
    <n v="159300"/>
    <n v="2"/>
    <n v="2"/>
    <m/>
    <m/>
    <m/>
    <m/>
    <m/>
    <m/>
    <m/>
    <m/>
    <m/>
    <m/>
    <m/>
    <n v="4"/>
    <n v="63720"/>
    <m/>
    <m/>
    <m/>
    <m/>
    <m/>
    <m/>
    <m/>
    <m/>
    <m/>
    <m/>
    <m/>
    <m/>
    <m/>
    <n v="0"/>
    <n v="0"/>
    <m/>
    <m/>
    <m/>
    <m/>
    <m/>
    <m/>
    <m/>
    <m/>
    <m/>
    <m/>
    <m/>
    <m/>
    <m/>
    <n v="0"/>
    <n v="0"/>
    <n v="0"/>
    <n v="14"/>
    <n v="223020"/>
  </r>
  <r>
    <m/>
    <m/>
    <m/>
    <s v="Проведение работ по тестированию тестового окружения, включая  проверку Кабинетов оргазиаций (тестовых) у оператора ЭДО, затем тоже самое по продуктиву"/>
    <x v="2"/>
    <m/>
    <s v="Консультант"/>
    <s v="К5"/>
    <s v="Вакансия 4"/>
    <s v="ДИТ"/>
    <n v="15930"/>
    <m/>
    <m/>
    <n v="0"/>
    <m/>
    <m/>
    <m/>
    <m/>
    <m/>
    <m/>
    <m/>
    <m/>
    <m/>
    <m/>
    <m/>
    <m/>
    <m/>
    <n v="0"/>
    <n v="0"/>
    <m/>
    <m/>
    <m/>
    <m/>
    <m/>
    <n v="10"/>
    <m/>
    <m/>
    <m/>
    <m/>
    <m/>
    <m/>
    <m/>
    <n v="10"/>
    <n v="159300"/>
    <n v="2"/>
    <n v="2"/>
    <m/>
    <m/>
    <m/>
    <m/>
    <m/>
    <m/>
    <m/>
    <m/>
    <m/>
    <m/>
    <m/>
    <n v="4"/>
    <n v="63720"/>
    <m/>
    <m/>
    <m/>
    <m/>
    <m/>
    <m/>
    <m/>
    <m/>
    <m/>
    <m/>
    <m/>
    <m/>
    <m/>
    <n v="0"/>
    <n v="0"/>
    <m/>
    <m/>
    <m/>
    <m/>
    <m/>
    <m/>
    <m/>
    <m/>
    <m/>
    <m/>
    <m/>
    <m/>
    <m/>
    <n v="0"/>
    <n v="0"/>
    <n v="0"/>
    <n v="14"/>
    <n v="223020"/>
  </r>
  <r>
    <s v="13.5.47"/>
    <s v="Разработка и согласование комплекта документов для ИК/ИПК (корректировка  параметров ИТ-проект)"/>
    <s v="Разработка и согласование комплекта документов для ИК/ИПК (Заявка о включении в повестку заседания, Презентация, ПУП, ФЭМ/Паспорт, Бюджет проекта)"/>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48"/>
    <s v="Защита корректировок параметров ИТ-проекта"/>
    <s v="Защита корректировок бюджета и параметров ИТ-проекта  (на фазы &quot;Реализация&quot;и &quot;Завершение&quot;)"/>
    <m/>
    <x v="2"/>
    <m/>
    <m/>
    <m/>
    <m/>
    <s v="ДИТ"/>
    <s v="нет данных"/>
    <m/>
    <m/>
    <n v="0"/>
    <m/>
    <m/>
    <m/>
    <m/>
    <m/>
    <m/>
    <m/>
    <m/>
    <m/>
    <m/>
    <m/>
    <m/>
    <m/>
    <n v="0"/>
    <n v="0"/>
    <m/>
    <m/>
    <m/>
    <m/>
    <m/>
    <m/>
    <m/>
    <m/>
    <m/>
    <m/>
    <m/>
    <m/>
    <m/>
    <n v="0"/>
    <n v="0"/>
    <m/>
    <m/>
    <m/>
    <m/>
    <m/>
    <m/>
    <m/>
    <m/>
    <m/>
    <m/>
    <m/>
    <m/>
    <m/>
    <n v="0"/>
    <n v="0"/>
    <m/>
    <m/>
    <m/>
    <m/>
    <m/>
    <m/>
    <m/>
    <m/>
    <m/>
    <m/>
    <m/>
    <m/>
    <m/>
    <n v="0"/>
    <n v="0"/>
    <m/>
    <m/>
    <m/>
    <m/>
    <m/>
    <m/>
    <m/>
    <m/>
    <m/>
    <m/>
    <m/>
    <m/>
    <m/>
    <n v="0"/>
    <n v="0"/>
    <n v="0"/>
    <n v="0"/>
    <n v="0"/>
  </r>
  <r>
    <m/>
    <m/>
    <m/>
    <m/>
    <x v="2"/>
    <m/>
    <m/>
    <m/>
    <m/>
    <s v="ДИТ"/>
    <s v="нет данных"/>
    <m/>
    <m/>
    <n v="0"/>
    <m/>
    <m/>
    <m/>
    <m/>
    <m/>
    <m/>
    <m/>
    <m/>
    <m/>
    <m/>
    <m/>
    <m/>
    <m/>
    <n v="0"/>
    <n v="0"/>
    <m/>
    <m/>
    <m/>
    <m/>
    <m/>
    <m/>
    <m/>
    <m/>
    <m/>
    <m/>
    <m/>
    <m/>
    <m/>
    <n v="0"/>
    <n v="0"/>
    <m/>
    <m/>
    <m/>
    <m/>
    <m/>
    <m/>
    <m/>
    <m/>
    <m/>
    <m/>
    <m/>
    <m/>
    <m/>
    <n v="0"/>
    <n v="0"/>
    <m/>
    <m/>
    <m/>
    <m/>
    <m/>
    <m/>
    <m/>
    <m/>
    <m/>
    <m/>
    <m/>
    <m/>
    <m/>
    <n v="0"/>
    <n v="0"/>
    <m/>
    <m/>
    <m/>
    <m/>
    <m/>
    <m/>
    <m/>
    <m/>
    <m/>
    <m/>
    <m/>
    <m/>
    <m/>
    <n v="0"/>
    <n v="0"/>
    <n v="0"/>
    <n v="0"/>
    <n v="0"/>
  </r>
  <r>
    <s v="13.5.34"/>
    <s v="Разработка методологических документов общего характера "/>
    <s v="Разработка методологических документов общего характера (в том числе, но не ограничиваясь: учетные политики, методики учета и пр.)"/>
    <m/>
    <x v="1"/>
    <m/>
    <s v="Аналитик"/>
    <s v="К6"/>
    <s v="Вакансия 3"/>
    <s v="ДИТ"/>
    <n v="21520"/>
    <m/>
    <m/>
    <n v="0"/>
    <m/>
    <m/>
    <m/>
    <m/>
    <m/>
    <m/>
    <m/>
    <m/>
    <m/>
    <m/>
    <m/>
    <m/>
    <m/>
    <n v="0"/>
    <n v="0"/>
    <m/>
    <m/>
    <m/>
    <m/>
    <m/>
    <n v="5"/>
    <n v="5"/>
    <m/>
    <m/>
    <m/>
    <m/>
    <m/>
    <m/>
    <n v="10"/>
    <n v="215200"/>
    <m/>
    <m/>
    <m/>
    <m/>
    <m/>
    <m/>
    <m/>
    <m/>
    <m/>
    <m/>
    <m/>
    <m/>
    <m/>
    <n v="0"/>
    <n v="0"/>
    <m/>
    <m/>
    <m/>
    <m/>
    <m/>
    <m/>
    <m/>
    <m/>
    <m/>
    <m/>
    <m/>
    <m/>
    <m/>
    <n v="0"/>
    <n v="0"/>
    <m/>
    <m/>
    <m/>
    <m/>
    <m/>
    <m/>
    <m/>
    <m/>
    <m/>
    <m/>
    <m/>
    <m/>
    <m/>
    <n v="0"/>
    <n v="0"/>
    <n v="0"/>
    <n v="10"/>
    <n v="215200"/>
  </r>
  <r>
    <m/>
    <m/>
    <m/>
    <m/>
    <x v="1"/>
    <m/>
    <m/>
    <m/>
    <m/>
    <s v="ДИТ"/>
    <s v="нет данных"/>
    <m/>
    <m/>
    <n v="0"/>
    <m/>
    <m/>
    <m/>
    <m/>
    <m/>
    <m/>
    <m/>
    <m/>
    <m/>
    <m/>
    <m/>
    <m/>
    <m/>
    <n v="0"/>
    <n v="0"/>
    <m/>
    <m/>
    <m/>
    <m/>
    <m/>
    <m/>
    <m/>
    <m/>
    <m/>
    <m/>
    <m/>
    <m/>
    <m/>
    <n v="0"/>
    <n v="0"/>
    <m/>
    <m/>
    <m/>
    <m/>
    <m/>
    <m/>
    <m/>
    <m/>
    <m/>
    <m/>
    <m/>
    <m/>
    <m/>
    <n v="0"/>
    <n v="0"/>
    <m/>
    <m/>
    <m/>
    <m/>
    <m/>
    <m/>
    <m/>
    <m/>
    <m/>
    <m/>
    <m/>
    <m/>
    <m/>
    <n v="0"/>
    <n v="0"/>
    <m/>
    <m/>
    <m/>
    <m/>
    <m/>
    <m/>
    <m/>
    <m/>
    <m/>
    <m/>
    <m/>
    <m/>
    <m/>
    <n v="0"/>
    <n v="0"/>
    <n v="0"/>
    <n v="0"/>
    <n v="0"/>
  </r>
  <r>
    <s v="13.5.35"/>
    <s v="Адаптация существующих бизнес-процессов Компании к архитектуре и функционалу системы"/>
    <s v="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
    <s v="A. Положение об использовании Электронной подписи_x000a_B. Регламент получения электронной подписи (включая разработку приложений: «Типовая форма доверенности») _x000a_D. Будут проанализированы и при необходимости уточнены должностные инструкции работников складов (кладовщиков)"/>
    <x v="1"/>
    <m/>
    <s v="Аналитик"/>
    <s v="К6"/>
    <s v="Вакансия 3"/>
    <s v="ДИТ"/>
    <n v="21520"/>
    <m/>
    <m/>
    <n v="0"/>
    <m/>
    <m/>
    <m/>
    <m/>
    <m/>
    <m/>
    <m/>
    <m/>
    <m/>
    <m/>
    <m/>
    <m/>
    <m/>
    <n v="0"/>
    <n v="0"/>
    <m/>
    <m/>
    <m/>
    <m/>
    <m/>
    <m/>
    <n v="17"/>
    <n v="23"/>
    <n v="10"/>
    <n v="13"/>
    <n v="10"/>
    <m/>
    <m/>
    <n v="73"/>
    <n v="1570960"/>
    <m/>
    <m/>
    <m/>
    <m/>
    <m/>
    <m/>
    <m/>
    <m/>
    <m/>
    <m/>
    <m/>
    <m/>
    <m/>
    <n v="0"/>
    <n v="0"/>
    <m/>
    <m/>
    <m/>
    <m/>
    <m/>
    <m/>
    <m/>
    <m/>
    <m/>
    <m/>
    <m/>
    <m/>
    <m/>
    <n v="0"/>
    <n v="0"/>
    <m/>
    <m/>
    <m/>
    <m/>
    <m/>
    <m/>
    <m/>
    <m/>
    <m/>
    <m/>
    <m/>
    <m/>
    <m/>
    <n v="0"/>
    <n v="0"/>
    <n v="0"/>
    <n v="73"/>
    <n v="1570960"/>
  </r>
  <r>
    <m/>
    <m/>
    <m/>
    <m/>
    <x v="1"/>
    <m/>
    <m/>
    <m/>
    <m/>
    <s v="ДИТ"/>
    <s v="нет данных"/>
    <m/>
    <m/>
    <n v="0"/>
    <m/>
    <m/>
    <m/>
    <m/>
    <m/>
    <m/>
    <m/>
    <m/>
    <m/>
    <m/>
    <m/>
    <m/>
    <m/>
    <n v="0"/>
    <n v="0"/>
    <m/>
    <m/>
    <m/>
    <m/>
    <m/>
    <m/>
    <m/>
    <m/>
    <m/>
    <m/>
    <m/>
    <m/>
    <m/>
    <n v="0"/>
    <n v="0"/>
    <m/>
    <m/>
    <m/>
    <m/>
    <m/>
    <m/>
    <m/>
    <m/>
    <m/>
    <m/>
    <m/>
    <m/>
    <m/>
    <n v="0"/>
    <n v="0"/>
    <m/>
    <m/>
    <m/>
    <m/>
    <m/>
    <m/>
    <m/>
    <m/>
    <m/>
    <m/>
    <m/>
    <m/>
    <m/>
    <n v="0"/>
    <n v="0"/>
    <m/>
    <m/>
    <m/>
    <m/>
    <m/>
    <m/>
    <m/>
    <m/>
    <m/>
    <m/>
    <m/>
    <m/>
    <m/>
    <n v="0"/>
    <n v="0"/>
    <n v="0"/>
    <n v="0"/>
    <n v="0"/>
  </r>
  <r>
    <s v="13.5.36"/>
    <s v="Проведение работ по осуществлению изменений бизнес-процессов Компании"/>
    <s v="Проведение работ по осуществлению изменений бизнес-процессов Компании, в том числе, реализация методологии"/>
    <m/>
    <x v="1"/>
    <m/>
    <s v="Аналитик"/>
    <s v="К6"/>
    <s v="Вакансия 3"/>
    <s v="ДИТ"/>
    <n v="21520"/>
    <m/>
    <m/>
    <n v="0"/>
    <m/>
    <m/>
    <m/>
    <m/>
    <m/>
    <m/>
    <m/>
    <m/>
    <m/>
    <m/>
    <m/>
    <m/>
    <m/>
    <n v="0"/>
    <n v="0"/>
    <m/>
    <m/>
    <m/>
    <m/>
    <m/>
    <m/>
    <m/>
    <m/>
    <m/>
    <m/>
    <n v="11"/>
    <n v="21"/>
    <m/>
    <n v="32"/>
    <n v="688640"/>
    <n v="17"/>
    <n v="5"/>
    <m/>
    <m/>
    <m/>
    <m/>
    <m/>
    <m/>
    <m/>
    <m/>
    <m/>
    <m/>
    <m/>
    <n v="22"/>
    <n v="473440"/>
    <m/>
    <m/>
    <m/>
    <m/>
    <m/>
    <m/>
    <m/>
    <m/>
    <m/>
    <m/>
    <m/>
    <m/>
    <m/>
    <n v="0"/>
    <n v="0"/>
    <m/>
    <m/>
    <m/>
    <m/>
    <m/>
    <m/>
    <m/>
    <m/>
    <m/>
    <m/>
    <m/>
    <m/>
    <m/>
    <n v="0"/>
    <n v="0"/>
    <n v="0"/>
    <n v="54"/>
    <n v="1162080"/>
  </r>
  <r>
    <m/>
    <m/>
    <m/>
    <m/>
    <x v="1"/>
    <m/>
    <m/>
    <m/>
    <m/>
    <s v="ДИТ"/>
    <s v="нет данных"/>
    <m/>
    <m/>
    <n v="0"/>
    <m/>
    <m/>
    <m/>
    <m/>
    <m/>
    <m/>
    <m/>
    <m/>
    <m/>
    <m/>
    <m/>
    <m/>
    <m/>
    <n v="0"/>
    <n v="0"/>
    <m/>
    <m/>
    <m/>
    <m/>
    <m/>
    <m/>
    <m/>
    <m/>
    <m/>
    <m/>
    <m/>
    <m/>
    <m/>
    <n v="0"/>
    <n v="0"/>
    <m/>
    <m/>
    <m/>
    <m/>
    <m/>
    <m/>
    <m/>
    <m/>
    <m/>
    <m/>
    <m/>
    <m/>
    <m/>
    <n v="0"/>
    <n v="0"/>
    <m/>
    <m/>
    <m/>
    <m/>
    <m/>
    <m/>
    <m/>
    <m/>
    <m/>
    <m/>
    <m/>
    <m/>
    <m/>
    <n v="0"/>
    <n v="0"/>
    <m/>
    <m/>
    <m/>
    <m/>
    <m/>
    <m/>
    <m/>
    <m/>
    <m/>
    <m/>
    <m/>
    <m/>
    <m/>
    <n v="0"/>
    <n v="0"/>
    <n v="0"/>
    <n v="0"/>
    <n v="0"/>
  </r>
  <r>
    <s v="13.5.22"/>
    <s v="Разработка обучающих материалов"/>
    <s v="Разработка методологической документации для целей обучения пользователей к работе с системой (Обучающие материалы и инструкции, Программа обучения)"/>
    <m/>
    <x v="1"/>
    <m/>
    <s v="Специалист по сопровождению"/>
    <s v="К2"/>
    <s v="Вакансия 6"/>
    <s v="ДИТ"/>
    <n v="6980"/>
    <m/>
    <m/>
    <n v="0"/>
    <m/>
    <m/>
    <m/>
    <m/>
    <m/>
    <m/>
    <m/>
    <m/>
    <m/>
    <m/>
    <m/>
    <m/>
    <m/>
    <n v="0"/>
    <n v="0"/>
    <m/>
    <m/>
    <m/>
    <m/>
    <m/>
    <m/>
    <m/>
    <m/>
    <m/>
    <m/>
    <m/>
    <n v="11"/>
    <m/>
    <n v="11"/>
    <n v="76780"/>
    <m/>
    <m/>
    <m/>
    <m/>
    <m/>
    <m/>
    <m/>
    <m/>
    <m/>
    <m/>
    <m/>
    <m/>
    <m/>
    <n v="0"/>
    <n v="0"/>
    <m/>
    <m/>
    <m/>
    <m/>
    <m/>
    <m/>
    <m/>
    <m/>
    <m/>
    <m/>
    <m/>
    <m/>
    <m/>
    <n v="0"/>
    <n v="0"/>
    <m/>
    <m/>
    <m/>
    <m/>
    <m/>
    <m/>
    <m/>
    <m/>
    <m/>
    <m/>
    <m/>
    <m/>
    <m/>
    <n v="0"/>
    <n v="0"/>
    <n v="0"/>
    <n v="11"/>
    <n v="76780"/>
  </r>
  <r>
    <m/>
    <m/>
    <m/>
    <m/>
    <x v="1"/>
    <m/>
    <s v="Специалист по сопровождению"/>
    <s v="К2"/>
    <s v="Вакансия 7"/>
    <s v="ДИТ"/>
    <n v="6980"/>
    <m/>
    <m/>
    <n v="0"/>
    <m/>
    <m/>
    <m/>
    <m/>
    <m/>
    <m/>
    <m/>
    <m/>
    <m/>
    <m/>
    <m/>
    <m/>
    <m/>
    <n v="0"/>
    <n v="0"/>
    <m/>
    <m/>
    <m/>
    <m/>
    <m/>
    <m/>
    <m/>
    <m/>
    <m/>
    <m/>
    <m/>
    <n v="11"/>
    <m/>
    <n v="11"/>
    <n v="76780"/>
    <m/>
    <m/>
    <m/>
    <m/>
    <m/>
    <m/>
    <m/>
    <m/>
    <m/>
    <m/>
    <m/>
    <m/>
    <m/>
    <n v="0"/>
    <n v="0"/>
    <m/>
    <m/>
    <m/>
    <m/>
    <m/>
    <m/>
    <m/>
    <m/>
    <m/>
    <m/>
    <m/>
    <m/>
    <m/>
    <n v="0"/>
    <n v="0"/>
    <m/>
    <m/>
    <m/>
    <m/>
    <m/>
    <m/>
    <m/>
    <m/>
    <m/>
    <m/>
    <m/>
    <m/>
    <m/>
    <n v="0"/>
    <n v="0"/>
    <n v="0"/>
    <n v="11"/>
    <n v="76780"/>
  </r>
  <r>
    <s v="13.5.37"/>
    <s v="Обучение пользователей"/>
    <s v="Обучение пользователей (оформление Протокола обучения)"/>
    <m/>
    <x v="1"/>
    <m/>
    <s v="Специалист по сопровождению"/>
    <s v="К2"/>
    <s v="Вакансия 6"/>
    <s v="ДИТ"/>
    <n v="6980"/>
    <m/>
    <m/>
    <n v="0"/>
    <m/>
    <m/>
    <m/>
    <m/>
    <m/>
    <m/>
    <m/>
    <m/>
    <m/>
    <m/>
    <m/>
    <m/>
    <m/>
    <n v="0"/>
    <n v="0"/>
    <m/>
    <m/>
    <m/>
    <m/>
    <m/>
    <m/>
    <m/>
    <m/>
    <m/>
    <m/>
    <m/>
    <m/>
    <m/>
    <n v="0"/>
    <n v="0"/>
    <n v="5"/>
    <n v="5"/>
    <m/>
    <m/>
    <m/>
    <m/>
    <m/>
    <m/>
    <m/>
    <m/>
    <m/>
    <m/>
    <m/>
    <n v="10"/>
    <n v="69800"/>
    <m/>
    <m/>
    <m/>
    <m/>
    <m/>
    <m/>
    <m/>
    <m/>
    <m/>
    <m/>
    <m/>
    <m/>
    <m/>
    <n v="0"/>
    <n v="0"/>
    <m/>
    <m/>
    <m/>
    <m/>
    <m/>
    <m/>
    <m/>
    <m/>
    <m/>
    <m/>
    <m/>
    <m/>
    <m/>
    <n v="0"/>
    <n v="0"/>
    <n v="0"/>
    <n v="10"/>
    <n v="69800"/>
  </r>
  <r>
    <m/>
    <m/>
    <m/>
    <m/>
    <x v="1"/>
    <m/>
    <s v="Специалист по сопровождению"/>
    <s v="К2"/>
    <s v="Вакансия 7"/>
    <s v="ДИТ"/>
    <n v="6980"/>
    <m/>
    <m/>
    <n v="0"/>
    <m/>
    <m/>
    <m/>
    <m/>
    <m/>
    <m/>
    <m/>
    <m/>
    <m/>
    <m/>
    <m/>
    <m/>
    <m/>
    <n v="0"/>
    <n v="0"/>
    <m/>
    <m/>
    <m/>
    <m/>
    <m/>
    <m/>
    <m/>
    <m/>
    <m/>
    <m/>
    <m/>
    <m/>
    <m/>
    <n v="0"/>
    <n v="0"/>
    <n v="5"/>
    <n v="5"/>
    <m/>
    <m/>
    <m/>
    <m/>
    <m/>
    <m/>
    <m/>
    <m/>
    <m/>
    <m/>
    <m/>
    <n v="10"/>
    <n v="69800"/>
    <m/>
    <m/>
    <m/>
    <m/>
    <m/>
    <m/>
    <m/>
    <m/>
    <m/>
    <m/>
    <m/>
    <m/>
    <m/>
    <n v="0"/>
    <n v="0"/>
    <m/>
    <m/>
    <m/>
    <m/>
    <m/>
    <m/>
    <m/>
    <m/>
    <m/>
    <m/>
    <m/>
    <m/>
    <m/>
    <n v="0"/>
    <n v="0"/>
    <n v="0"/>
    <n v="10"/>
    <n v="69800"/>
  </r>
  <r>
    <s v="13.5.38"/>
    <s v="Консультационная поддержка пользователей"/>
    <s v="Консультационная поддержка пользователей в ходе ОПЭ (оформление Журнала ОПЭ)"/>
    <m/>
    <x v="1"/>
    <m/>
    <s v="Аналитик"/>
    <s v="К6"/>
    <s v="Вакансия 3"/>
    <s v="ДИТ"/>
    <n v="21520"/>
    <m/>
    <m/>
    <n v="0"/>
    <m/>
    <m/>
    <m/>
    <m/>
    <m/>
    <m/>
    <m/>
    <m/>
    <m/>
    <m/>
    <m/>
    <m/>
    <m/>
    <n v="0"/>
    <n v="0"/>
    <m/>
    <m/>
    <m/>
    <m/>
    <m/>
    <m/>
    <m/>
    <m/>
    <m/>
    <m/>
    <m/>
    <m/>
    <m/>
    <n v="0"/>
    <n v="0"/>
    <m/>
    <m/>
    <n v="20"/>
    <n v="22"/>
    <n v="21"/>
    <n v="10"/>
    <n v="23"/>
    <n v="22"/>
    <n v="21"/>
    <n v="10"/>
    <m/>
    <m/>
    <m/>
    <n v="149"/>
    <n v="3206480"/>
    <m/>
    <m/>
    <m/>
    <m/>
    <m/>
    <m/>
    <m/>
    <m/>
    <m/>
    <m/>
    <m/>
    <m/>
    <m/>
    <n v="0"/>
    <n v="0"/>
    <m/>
    <m/>
    <m/>
    <m/>
    <m/>
    <m/>
    <m/>
    <m/>
    <m/>
    <m/>
    <m/>
    <m/>
    <m/>
    <n v="0"/>
    <n v="0"/>
    <n v="0"/>
    <n v="149"/>
    <n v="3206480"/>
  </r>
  <r>
    <m/>
    <m/>
    <m/>
    <m/>
    <x v="1"/>
    <m/>
    <s v="Специалист по сопровождению"/>
    <s v="К2"/>
    <s v="Вакансия 6"/>
    <s v="ДИТ"/>
    <n v="6980"/>
    <m/>
    <m/>
    <n v="0"/>
    <m/>
    <m/>
    <m/>
    <m/>
    <m/>
    <m/>
    <m/>
    <m/>
    <m/>
    <m/>
    <m/>
    <m/>
    <m/>
    <n v="0"/>
    <n v="0"/>
    <m/>
    <m/>
    <m/>
    <m/>
    <m/>
    <m/>
    <m/>
    <m/>
    <m/>
    <m/>
    <m/>
    <m/>
    <m/>
    <n v="0"/>
    <n v="0"/>
    <m/>
    <m/>
    <n v="15"/>
    <n v="17"/>
    <n v="16"/>
    <n v="14"/>
    <n v="23"/>
    <n v="22"/>
    <n v="21"/>
    <n v="23"/>
    <n v="20"/>
    <m/>
    <m/>
    <n v="171"/>
    <n v="1193580"/>
    <m/>
    <m/>
    <m/>
    <m/>
    <m/>
    <m/>
    <m/>
    <m/>
    <m/>
    <m/>
    <m/>
    <m/>
    <m/>
    <n v="0"/>
    <n v="0"/>
    <m/>
    <m/>
    <m/>
    <m/>
    <m/>
    <m/>
    <m/>
    <m/>
    <m/>
    <m/>
    <m/>
    <m/>
    <m/>
    <n v="0"/>
    <n v="0"/>
    <n v="0"/>
    <n v="171"/>
    <n v="1193580"/>
  </r>
  <r>
    <m/>
    <m/>
    <m/>
    <m/>
    <x v="1"/>
    <m/>
    <s v="Консультант"/>
    <s v="К5"/>
    <s v="Вакансия 4"/>
    <s v="ДИТ"/>
    <n v="15930"/>
    <m/>
    <m/>
    <n v="0"/>
    <m/>
    <m/>
    <m/>
    <m/>
    <m/>
    <m/>
    <m/>
    <m/>
    <m/>
    <m/>
    <m/>
    <m/>
    <m/>
    <n v="0"/>
    <n v="0"/>
    <m/>
    <m/>
    <m/>
    <m/>
    <m/>
    <m/>
    <m/>
    <m/>
    <m/>
    <m/>
    <m/>
    <m/>
    <m/>
    <n v="0"/>
    <n v="0"/>
    <m/>
    <m/>
    <n v="3"/>
    <n v="3"/>
    <n v="3"/>
    <n v="3"/>
    <m/>
    <m/>
    <m/>
    <m/>
    <m/>
    <m/>
    <m/>
    <n v="12"/>
    <n v="191160"/>
    <m/>
    <m/>
    <m/>
    <m/>
    <m/>
    <m/>
    <m/>
    <m/>
    <m/>
    <m/>
    <m/>
    <m/>
    <m/>
    <n v="0"/>
    <n v="0"/>
    <m/>
    <m/>
    <m/>
    <m/>
    <m/>
    <m/>
    <m/>
    <m/>
    <m/>
    <m/>
    <m/>
    <m/>
    <m/>
    <n v="0"/>
    <n v="0"/>
    <n v="0"/>
    <n v="12"/>
    <n v="191160"/>
  </r>
  <r>
    <m/>
    <m/>
    <m/>
    <m/>
    <x v="1"/>
    <m/>
    <s v="Консультант"/>
    <s v="К5"/>
    <s v="Вакансия 5"/>
    <s v="ДИТ"/>
    <n v="15930"/>
    <m/>
    <m/>
    <n v="0"/>
    <m/>
    <m/>
    <m/>
    <m/>
    <m/>
    <m/>
    <m/>
    <m/>
    <m/>
    <m/>
    <m/>
    <m/>
    <m/>
    <n v="0"/>
    <n v="0"/>
    <m/>
    <m/>
    <m/>
    <m/>
    <m/>
    <m/>
    <m/>
    <m/>
    <m/>
    <m/>
    <m/>
    <m/>
    <m/>
    <n v="0"/>
    <n v="0"/>
    <m/>
    <m/>
    <n v="3"/>
    <n v="3"/>
    <n v="3"/>
    <n v="3"/>
    <m/>
    <m/>
    <m/>
    <m/>
    <m/>
    <m/>
    <m/>
    <n v="12"/>
    <n v="191160"/>
    <m/>
    <m/>
    <m/>
    <m/>
    <m/>
    <m/>
    <m/>
    <m/>
    <m/>
    <m/>
    <m/>
    <m/>
    <m/>
    <n v="0"/>
    <n v="0"/>
    <m/>
    <m/>
    <m/>
    <m/>
    <m/>
    <m/>
    <m/>
    <m/>
    <m/>
    <m/>
    <m/>
    <m/>
    <m/>
    <n v="0"/>
    <n v="0"/>
    <n v="0"/>
    <n v="12"/>
    <n v="191160"/>
  </r>
  <r>
    <m/>
    <m/>
    <m/>
    <m/>
    <x v="1"/>
    <m/>
    <s v="Специалист по сопровождению"/>
    <s v="К2"/>
    <s v="Вакансия 7"/>
    <s v="ДИТ"/>
    <n v="6980"/>
    <m/>
    <m/>
    <n v="0"/>
    <m/>
    <m/>
    <m/>
    <m/>
    <m/>
    <m/>
    <m/>
    <m/>
    <m/>
    <m/>
    <m/>
    <m/>
    <m/>
    <n v="0"/>
    <n v="0"/>
    <m/>
    <m/>
    <m/>
    <m/>
    <m/>
    <m/>
    <m/>
    <m/>
    <m/>
    <m/>
    <m/>
    <m/>
    <m/>
    <n v="0"/>
    <n v="0"/>
    <m/>
    <m/>
    <n v="15"/>
    <n v="17"/>
    <n v="16"/>
    <n v="14"/>
    <n v="23"/>
    <n v="22"/>
    <n v="21"/>
    <n v="23"/>
    <n v="20"/>
    <m/>
    <m/>
    <n v="171"/>
    <n v="1193580"/>
    <m/>
    <m/>
    <m/>
    <m/>
    <m/>
    <m/>
    <m/>
    <m/>
    <m/>
    <m/>
    <m/>
    <m/>
    <m/>
    <n v="0"/>
    <n v="0"/>
    <m/>
    <m/>
    <m/>
    <m/>
    <m/>
    <m/>
    <m/>
    <m/>
    <m/>
    <m/>
    <m/>
    <m/>
    <m/>
    <n v="0"/>
    <n v="0"/>
    <n v="0"/>
    <n v="171"/>
    <n v="1193580"/>
  </r>
  <r>
    <s v="13.5.39"/>
    <s v="Обучение группы сопровождения и поддержки"/>
    <s v="Обучение группы сопровождения и поддержки  (оформление Протокола обучения)"/>
    <m/>
    <x v="1"/>
    <m/>
    <s v="Консультант"/>
    <s v="К5"/>
    <s v="Вакансия 4"/>
    <s v="ДИТ"/>
    <n v="15930"/>
    <m/>
    <m/>
    <n v="0"/>
    <m/>
    <m/>
    <m/>
    <m/>
    <m/>
    <m/>
    <m/>
    <m/>
    <m/>
    <m/>
    <m/>
    <m/>
    <m/>
    <n v="0"/>
    <n v="0"/>
    <m/>
    <m/>
    <m/>
    <m/>
    <m/>
    <m/>
    <m/>
    <m/>
    <m/>
    <m/>
    <m/>
    <m/>
    <m/>
    <n v="0"/>
    <n v="0"/>
    <m/>
    <m/>
    <m/>
    <m/>
    <m/>
    <m/>
    <n v="10"/>
    <m/>
    <m/>
    <n v="5"/>
    <m/>
    <m/>
    <m/>
    <n v="15"/>
    <n v="238950"/>
    <m/>
    <m/>
    <m/>
    <m/>
    <m/>
    <m/>
    <m/>
    <m/>
    <m/>
    <m/>
    <m/>
    <m/>
    <m/>
    <n v="0"/>
    <n v="0"/>
    <m/>
    <m/>
    <m/>
    <m/>
    <m/>
    <m/>
    <m/>
    <m/>
    <m/>
    <m/>
    <m/>
    <m/>
    <m/>
    <n v="0"/>
    <n v="0"/>
    <n v="0"/>
    <n v="15"/>
    <n v="238950"/>
  </r>
  <r>
    <m/>
    <m/>
    <m/>
    <m/>
    <x v="1"/>
    <m/>
    <s v="Консультант"/>
    <s v="К5"/>
    <s v="Вакансия 5"/>
    <s v="ДИТ"/>
    <n v="15930"/>
    <m/>
    <m/>
    <n v="0"/>
    <m/>
    <m/>
    <m/>
    <m/>
    <m/>
    <m/>
    <m/>
    <m/>
    <m/>
    <m/>
    <m/>
    <m/>
    <m/>
    <n v="0"/>
    <n v="0"/>
    <m/>
    <m/>
    <m/>
    <m/>
    <m/>
    <m/>
    <m/>
    <m/>
    <m/>
    <m/>
    <m/>
    <m/>
    <m/>
    <n v="0"/>
    <n v="0"/>
    <m/>
    <m/>
    <m/>
    <m/>
    <m/>
    <m/>
    <n v="10"/>
    <m/>
    <m/>
    <n v="5"/>
    <m/>
    <m/>
    <m/>
    <n v="15"/>
    <n v="238950"/>
    <m/>
    <m/>
    <m/>
    <m/>
    <m/>
    <m/>
    <m/>
    <m/>
    <m/>
    <m/>
    <m/>
    <m/>
    <m/>
    <n v="0"/>
    <n v="0"/>
    <m/>
    <m/>
    <m/>
    <m/>
    <m/>
    <m/>
    <m/>
    <m/>
    <m/>
    <m/>
    <m/>
    <m/>
    <m/>
    <n v="0"/>
    <n v="0"/>
    <n v="0"/>
    <n v="15"/>
    <n v="238950"/>
  </r>
  <r>
    <m/>
    <m/>
    <m/>
    <m/>
    <x v="1"/>
    <m/>
    <s v="Аналитик"/>
    <s v="К6"/>
    <s v="Вакансия 3"/>
    <s v="ДИТ"/>
    <n v="21520"/>
    <m/>
    <m/>
    <n v="0"/>
    <m/>
    <m/>
    <m/>
    <m/>
    <m/>
    <m/>
    <m/>
    <m/>
    <m/>
    <m/>
    <m/>
    <m/>
    <m/>
    <n v="0"/>
    <n v="0"/>
    <m/>
    <m/>
    <m/>
    <m/>
    <m/>
    <m/>
    <m/>
    <m/>
    <m/>
    <m/>
    <m/>
    <m/>
    <m/>
    <n v="0"/>
    <n v="0"/>
    <m/>
    <n v="9"/>
    <m/>
    <m/>
    <m/>
    <n v="9"/>
    <m/>
    <m/>
    <m/>
    <n v="3"/>
    <m/>
    <m/>
    <m/>
    <n v="21"/>
    <n v="451920"/>
    <m/>
    <m/>
    <m/>
    <m/>
    <m/>
    <m/>
    <m/>
    <m/>
    <m/>
    <m/>
    <m/>
    <m/>
    <m/>
    <n v="0"/>
    <n v="0"/>
    <m/>
    <m/>
    <m/>
    <m/>
    <m/>
    <m/>
    <m/>
    <m/>
    <m/>
    <m/>
    <m/>
    <m/>
    <m/>
    <n v="0"/>
    <n v="0"/>
    <n v="0"/>
    <n v="21"/>
    <n v="451920"/>
  </r>
  <r>
    <s v="13.5.40"/>
    <s v="Оформление Запроса на поддержку"/>
    <s v="Оформление Запроса на поддержку"/>
    <m/>
    <x v="2"/>
    <m/>
    <s v="Администратор"/>
    <s v="К4"/>
    <s v="Вакансия 2"/>
    <s v="ДИТ"/>
    <n v="11900"/>
    <m/>
    <m/>
    <n v="0"/>
    <m/>
    <m/>
    <m/>
    <m/>
    <m/>
    <m/>
    <m/>
    <m/>
    <m/>
    <m/>
    <m/>
    <m/>
    <m/>
    <n v="0"/>
    <n v="0"/>
    <m/>
    <m/>
    <m/>
    <m/>
    <m/>
    <m/>
    <m/>
    <m/>
    <m/>
    <m/>
    <m/>
    <m/>
    <m/>
    <n v="0"/>
    <n v="0"/>
    <m/>
    <m/>
    <m/>
    <m/>
    <m/>
    <m/>
    <m/>
    <n v="5"/>
    <n v="4"/>
    <n v="2"/>
    <m/>
    <m/>
    <m/>
    <n v="11"/>
    <n v="130900"/>
    <m/>
    <m/>
    <m/>
    <m/>
    <m/>
    <m/>
    <m/>
    <m/>
    <m/>
    <m/>
    <m/>
    <m/>
    <m/>
    <n v="0"/>
    <n v="0"/>
    <m/>
    <m/>
    <m/>
    <m/>
    <m/>
    <m/>
    <m/>
    <m/>
    <m/>
    <m/>
    <m/>
    <m/>
    <m/>
    <n v="0"/>
    <n v="0"/>
    <n v="0"/>
    <n v="11"/>
    <n v="130900"/>
  </r>
  <r>
    <m/>
    <m/>
    <m/>
    <m/>
    <x v="2"/>
    <m/>
    <m/>
    <m/>
    <m/>
    <s v="ДИТ"/>
    <s v="нет данных"/>
    <m/>
    <m/>
    <n v="0"/>
    <m/>
    <m/>
    <m/>
    <m/>
    <m/>
    <m/>
    <m/>
    <m/>
    <m/>
    <m/>
    <m/>
    <m/>
    <m/>
    <n v="0"/>
    <n v="0"/>
    <m/>
    <m/>
    <m/>
    <m/>
    <m/>
    <m/>
    <m/>
    <m/>
    <m/>
    <m/>
    <m/>
    <m/>
    <m/>
    <n v="0"/>
    <n v="0"/>
    <m/>
    <m/>
    <m/>
    <m/>
    <m/>
    <m/>
    <m/>
    <m/>
    <m/>
    <m/>
    <m/>
    <m/>
    <m/>
    <n v="0"/>
    <n v="0"/>
    <m/>
    <m/>
    <m/>
    <m/>
    <m/>
    <m/>
    <m/>
    <m/>
    <m/>
    <m/>
    <m/>
    <m/>
    <m/>
    <n v="0"/>
    <n v="0"/>
    <m/>
    <m/>
    <m/>
    <m/>
    <m/>
    <m/>
    <m/>
    <m/>
    <m/>
    <m/>
    <m/>
    <m/>
    <m/>
    <n v="0"/>
    <n v="0"/>
    <n v="0"/>
    <n v="0"/>
    <n v="0"/>
  </r>
  <r>
    <s v="13.5.41"/>
    <s v="Разработка и согласование SLA / Регламента технической поддержки системы"/>
    <s v="Разработка и согласование SLA / Регламента технической поддержки системы"/>
    <m/>
    <x v="2"/>
    <m/>
    <s v="Администратор"/>
    <s v="К4"/>
    <s v="Вакансия 2"/>
    <s v="ДИТ"/>
    <n v="11900"/>
    <m/>
    <m/>
    <n v="0"/>
    <m/>
    <m/>
    <m/>
    <m/>
    <m/>
    <m/>
    <m/>
    <m/>
    <m/>
    <m/>
    <m/>
    <m/>
    <m/>
    <n v="0"/>
    <n v="0"/>
    <m/>
    <m/>
    <m/>
    <m/>
    <m/>
    <m/>
    <m/>
    <m/>
    <m/>
    <m/>
    <m/>
    <m/>
    <m/>
    <n v="0"/>
    <n v="0"/>
    <m/>
    <m/>
    <m/>
    <m/>
    <m/>
    <m/>
    <m/>
    <n v="5"/>
    <n v="4"/>
    <n v="2"/>
    <m/>
    <m/>
    <m/>
    <n v="11"/>
    <n v="130900"/>
    <m/>
    <m/>
    <m/>
    <m/>
    <m/>
    <m/>
    <m/>
    <m/>
    <m/>
    <m/>
    <m/>
    <m/>
    <m/>
    <n v="0"/>
    <n v="0"/>
    <m/>
    <m/>
    <m/>
    <m/>
    <m/>
    <m/>
    <m/>
    <m/>
    <m/>
    <m/>
    <m/>
    <m/>
    <m/>
    <n v="0"/>
    <n v="0"/>
    <n v="0"/>
    <n v="11"/>
    <n v="130900"/>
  </r>
  <r>
    <m/>
    <m/>
    <m/>
    <m/>
    <x v="2"/>
    <m/>
    <m/>
    <m/>
    <m/>
    <s v="ДИТ"/>
    <s v="нет данных"/>
    <m/>
    <m/>
    <n v="0"/>
    <m/>
    <m/>
    <m/>
    <m/>
    <m/>
    <m/>
    <m/>
    <m/>
    <m/>
    <m/>
    <m/>
    <m/>
    <m/>
    <n v="0"/>
    <n v="0"/>
    <m/>
    <m/>
    <m/>
    <m/>
    <m/>
    <m/>
    <m/>
    <m/>
    <m/>
    <m/>
    <m/>
    <m/>
    <m/>
    <n v="0"/>
    <n v="0"/>
    <m/>
    <m/>
    <m/>
    <m/>
    <m/>
    <m/>
    <m/>
    <m/>
    <m/>
    <m/>
    <m/>
    <m/>
    <m/>
    <n v="0"/>
    <n v="0"/>
    <m/>
    <m/>
    <m/>
    <m/>
    <m/>
    <m/>
    <m/>
    <m/>
    <m/>
    <m/>
    <m/>
    <m/>
    <m/>
    <n v="0"/>
    <n v="0"/>
    <m/>
    <m/>
    <m/>
    <m/>
    <m/>
    <m/>
    <m/>
    <m/>
    <m/>
    <m/>
    <m/>
    <m/>
    <m/>
    <n v="0"/>
    <n v="0"/>
    <n v="0"/>
    <n v="0"/>
    <n v="0"/>
  </r>
  <r>
    <s v="13.5.42"/>
    <s v="Обеспечение поддержки работоспособности системы в режиме ОЭ/ОПЭ"/>
    <s v="Обеспечение поддержки работоспособности системы в режиме Опытной эксплуатации и Опытно-прмышленной эксплуатации  (оформление Журнала инцидентов)"/>
    <m/>
    <x v="2"/>
    <m/>
    <s v="Консультант"/>
    <s v="К5"/>
    <s v="Вакансия 4"/>
    <s v="ДИТ"/>
    <n v="15930"/>
    <m/>
    <m/>
    <n v="0"/>
    <m/>
    <m/>
    <m/>
    <m/>
    <m/>
    <m/>
    <m/>
    <m/>
    <m/>
    <m/>
    <m/>
    <m/>
    <m/>
    <n v="0"/>
    <n v="0"/>
    <m/>
    <m/>
    <m/>
    <m/>
    <m/>
    <m/>
    <m/>
    <m/>
    <m/>
    <m/>
    <m/>
    <m/>
    <m/>
    <n v="0"/>
    <n v="0"/>
    <m/>
    <m/>
    <n v="2"/>
    <n v="2"/>
    <n v="2"/>
    <n v="2"/>
    <m/>
    <m/>
    <m/>
    <m/>
    <m/>
    <m/>
    <m/>
    <n v="8"/>
    <n v="127440"/>
    <m/>
    <m/>
    <m/>
    <m/>
    <m/>
    <m/>
    <m/>
    <m/>
    <m/>
    <m/>
    <m/>
    <m/>
    <m/>
    <n v="0"/>
    <n v="0"/>
    <m/>
    <m/>
    <m/>
    <m/>
    <m/>
    <m/>
    <m/>
    <m/>
    <m/>
    <m/>
    <m/>
    <m/>
    <m/>
    <n v="0"/>
    <n v="0"/>
    <n v="0"/>
    <n v="8"/>
    <n v="127440"/>
  </r>
  <r>
    <m/>
    <m/>
    <m/>
    <m/>
    <x v="2"/>
    <m/>
    <s v="Консультант"/>
    <s v="К5"/>
    <s v="Вакансия 5"/>
    <s v="ДИТ"/>
    <n v="15930"/>
    <m/>
    <m/>
    <n v="0"/>
    <m/>
    <m/>
    <m/>
    <m/>
    <m/>
    <m/>
    <m/>
    <m/>
    <m/>
    <m/>
    <m/>
    <m/>
    <m/>
    <n v="0"/>
    <n v="0"/>
    <m/>
    <m/>
    <m/>
    <m/>
    <m/>
    <m/>
    <m/>
    <m/>
    <m/>
    <m/>
    <m/>
    <m/>
    <m/>
    <n v="0"/>
    <n v="0"/>
    <m/>
    <m/>
    <n v="2"/>
    <n v="2"/>
    <n v="2"/>
    <n v="2"/>
    <m/>
    <m/>
    <m/>
    <m/>
    <m/>
    <m/>
    <m/>
    <n v="8"/>
    <n v="127440"/>
    <m/>
    <m/>
    <m/>
    <m/>
    <m/>
    <m/>
    <m/>
    <m/>
    <m/>
    <m/>
    <m/>
    <m/>
    <m/>
    <n v="0"/>
    <n v="0"/>
    <m/>
    <m/>
    <m/>
    <m/>
    <m/>
    <m/>
    <m/>
    <m/>
    <m/>
    <m/>
    <m/>
    <m/>
    <m/>
    <n v="0"/>
    <n v="0"/>
    <n v="0"/>
    <n v="8"/>
    <n v="127440"/>
  </r>
  <r>
    <m/>
    <m/>
    <m/>
    <m/>
    <x v="2"/>
    <m/>
    <s v="Консультант"/>
    <s v="К6"/>
    <s v="TBD СЛ SAP"/>
    <s v="ДИТ"/>
    <n v="21520"/>
    <m/>
    <m/>
    <n v="0"/>
    <m/>
    <m/>
    <m/>
    <m/>
    <m/>
    <m/>
    <m/>
    <m/>
    <m/>
    <m/>
    <m/>
    <m/>
    <m/>
    <n v="0"/>
    <n v="0"/>
    <m/>
    <m/>
    <m/>
    <m/>
    <m/>
    <m/>
    <m/>
    <m/>
    <m/>
    <m/>
    <m/>
    <m/>
    <m/>
    <n v="0"/>
    <n v="0"/>
    <m/>
    <m/>
    <n v="5"/>
    <n v="5"/>
    <m/>
    <m/>
    <n v="5"/>
    <n v="5"/>
    <m/>
    <m/>
    <m/>
    <m/>
    <m/>
    <n v="20"/>
    <n v="430400"/>
    <m/>
    <m/>
    <m/>
    <m/>
    <m/>
    <m/>
    <m/>
    <m/>
    <m/>
    <m/>
    <m/>
    <m/>
    <m/>
    <n v="0"/>
    <n v="0"/>
    <m/>
    <m/>
    <m/>
    <m/>
    <m/>
    <m/>
    <m/>
    <m/>
    <m/>
    <m/>
    <m/>
    <m/>
    <m/>
    <n v="0"/>
    <n v="0"/>
    <n v="0"/>
    <n v="20"/>
    <n v="430400"/>
  </r>
  <r>
    <m/>
    <m/>
    <m/>
    <m/>
    <x v="2"/>
    <m/>
    <s v="Специалист по сопровождению"/>
    <s v="К2"/>
    <s v="Вакансия 6"/>
    <s v="ДИТ"/>
    <n v="6980"/>
    <m/>
    <m/>
    <n v="0"/>
    <m/>
    <m/>
    <m/>
    <m/>
    <m/>
    <m/>
    <m/>
    <m/>
    <m/>
    <m/>
    <m/>
    <m/>
    <m/>
    <n v="0"/>
    <n v="0"/>
    <m/>
    <m/>
    <m/>
    <m/>
    <m/>
    <m/>
    <m/>
    <m/>
    <m/>
    <m/>
    <m/>
    <m/>
    <m/>
    <n v="0"/>
    <n v="0"/>
    <m/>
    <m/>
    <n v="5"/>
    <n v="5"/>
    <n v="5"/>
    <n v="5"/>
    <m/>
    <m/>
    <m/>
    <m/>
    <m/>
    <m/>
    <m/>
    <n v="20"/>
    <n v="139600"/>
    <m/>
    <m/>
    <m/>
    <m/>
    <m/>
    <m/>
    <m/>
    <m/>
    <m/>
    <m/>
    <m/>
    <m/>
    <m/>
    <n v="0"/>
    <n v="0"/>
    <m/>
    <m/>
    <m/>
    <m/>
    <m/>
    <m/>
    <m/>
    <m/>
    <m/>
    <m/>
    <m/>
    <m/>
    <m/>
    <n v="0"/>
    <n v="0"/>
    <n v="0"/>
    <n v="20"/>
    <n v="139600"/>
  </r>
  <r>
    <m/>
    <m/>
    <m/>
    <m/>
    <x v="2"/>
    <m/>
    <s v="Специалист по сопровождению"/>
    <s v="К2"/>
    <s v="Вакансия 7"/>
    <s v="ДИТ"/>
    <n v="6980"/>
    <m/>
    <m/>
    <n v="0"/>
    <m/>
    <m/>
    <m/>
    <m/>
    <m/>
    <m/>
    <m/>
    <m/>
    <m/>
    <m/>
    <m/>
    <m/>
    <m/>
    <n v="0"/>
    <n v="0"/>
    <m/>
    <m/>
    <m/>
    <m/>
    <m/>
    <m/>
    <m/>
    <m/>
    <m/>
    <m/>
    <m/>
    <m/>
    <m/>
    <n v="0"/>
    <n v="0"/>
    <m/>
    <m/>
    <n v="5"/>
    <n v="5"/>
    <n v="5"/>
    <n v="5"/>
    <m/>
    <m/>
    <m/>
    <m/>
    <m/>
    <m/>
    <m/>
    <n v="20"/>
    <n v="139600"/>
    <m/>
    <m/>
    <m/>
    <m/>
    <m/>
    <m/>
    <m/>
    <m/>
    <m/>
    <m/>
    <m/>
    <m/>
    <m/>
    <n v="0"/>
    <n v="0"/>
    <m/>
    <m/>
    <m/>
    <m/>
    <m/>
    <m/>
    <m/>
    <m/>
    <m/>
    <m/>
    <m/>
    <m/>
    <m/>
    <n v="0"/>
    <n v="0"/>
    <n v="0"/>
    <n v="20"/>
    <n v="139600"/>
  </r>
  <r>
    <m/>
    <m/>
    <m/>
    <m/>
    <x v="2"/>
    <m/>
    <s v="Разработчик"/>
    <s v="К6"/>
    <s v="TBD СЛ SAP"/>
    <s v="ДИТ"/>
    <n v="21520"/>
    <m/>
    <m/>
    <n v="0"/>
    <m/>
    <m/>
    <m/>
    <m/>
    <m/>
    <m/>
    <m/>
    <m/>
    <m/>
    <m/>
    <m/>
    <m/>
    <m/>
    <n v="0"/>
    <n v="0"/>
    <m/>
    <m/>
    <m/>
    <m/>
    <m/>
    <m/>
    <m/>
    <m/>
    <m/>
    <m/>
    <m/>
    <m/>
    <m/>
    <n v="0"/>
    <n v="0"/>
    <m/>
    <m/>
    <n v="5"/>
    <n v="5"/>
    <m/>
    <m/>
    <n v="5"/>
    <m/>
    <m/>
    <n v="5"/>
    <m/>
    <m/>
    <m/>
    <n v="20"/>
    <n v="430400"/>
    <m/>
    <m/>
    <m/>
    <m/>
    <m/>
    <m/>
    <m/>
    <m/>
    <m/>
    <m/>
    <m/>
    <m/>
    <m/>
    <n v="0"/>
    <n v="0"/>
    <m/>
    <m/>
    <m/>
    <m/>
    <m/>
    <m/>
    <m/>
    <m/>
    <m/>
    <m/>
    <m/>
    <m/>
    <m/>
    <n v="0"/>
    <n v="0"/>
    <n v="0"/>
    <n v="20"/>
    <n v="430400"/>
  </r>
  <r>
    <s v="13.5.43"/>
    <s v="Обеспечение поддержки работоспособности системы в ходе ОЭ / Приемочных испытаний "/>
    <s v="Обеспечение поддержки работоспособности системы в ходе Приемочных испытаний (оформление Протокола испытаний)"/>
    <m/>
    <x v="2"/>
    <m/>
    <s v="Консультант"/>
    <s v="К5"/>
    <s v="Вакансия 4"/>
    <s v="ДИТ"/>
    <n v="15930"/>
    <m/>
    <m/>
    <n v="0"/>
    <m/>
    <m/>
    <m/>
    <m/>
    <m/>
    <m/>
    <m/>
    <m/>
    <m/>
    <m/>
    <m/>
    <m/>
    <m/>
    <n v="0"/>
    <n v="0"/>
    <m/>
    <m/>
    <m/>
    <m/>
    <m/>
    <m/>
    <m/>
    <m/>
    <m/>
    <m/>
    <m/>
    <m/>
    <m/>
    <n v="0"/>
    <n v="0"/>
    <m/>
    <m/>
    <m/>
    <m/>
    <m/>
    <m/>
    <m/>
    <m/>
    <n v="10"/>
    <n v="5"/>
    <m/>
    <m/>
    <m/>
    <n v="15"/>
    <n v="238950"/>
    <m/>
    <m/>
    <m/>
    <m/>
    <m/>
    <m/>
    <m/>
    <m/>
    <m/>
    <m/>
    <m/>
    <m/>
    <m/>
    <n v="0"/>
    <n v="0"/>
    <m/>
    <m/>
    <m/>
    <m/>
    <m/>
    <m/>
    <m/>
    <m/>
    <m/>
    <m/>
    <m/>
    <m/>
    <m/>
    <n v="0"/>
    <n v="0"/>
    <n v="0"/>
    <n v="15"/>
    <n v="238950"/>
  </r>
  <r>
    <m/>
    <m/>
    <m/>
    <m/>
    <x v="2"/>
    <m/>
    <s v="Консультант"/>
    <s v="К5"/>
    <s v="Вакансия 5"/>
    <s v="ДИТ"/>
    <n v="15930"/>
    <m/>
    <m/>
    <n v="0"/>
    <m/>
    <m/>
    <m/>
    <m/>
    <m/>
    <m/>
    <m/>
    <m/>
    <m/>
    <m/>
    <m/>
    <m/>
    <m/>
    <n v="0"/>
    <n v="0"/>
    <m/>
    <m/>
    <m/>
    <m/>
    <m/>
    <m/>
    <m/>
    <m/>
    <m/>
    <m/>
    <m/>
    <m/>
    <m/>
    <n v="0"/>
    <n v="0"/>
    <m/>
    <m/>
    <m/>
    <m/>
    <m/>
    <m/>
    <m/>
    <m/>
    <n v="10"/>
    <n v="5"/>
    <m/>
    <m/>
    <m/>
    <n v="15"/>
    <n v="238950"/>
    <m/>
    <m/>
    <m/>
    <m/>
    <m/>
    <m/>
    <m/>
    <m/>
    <m/>
    <m/>
    <m/>
    <m/>
    <m/>
    <n v="0"/>
    <n v="0"/>
    <m/>
    <m/>
    <m/>
    <m/>
    <m/>
    <m/>
    <m/>
    <m/>
    <m/>
    <m/>
    <m/>
    <m/>
    <m/>
    <n v="0"/>
    <n v="0"/>
    <n v="0"/>
    <n v="15"/>
    <n v="238950"/>
  </r>
  <r>
    <m/>
    <m/>
    <m/>
    <m/>
    <x v="2"/>
    <m/>
    <s v="Разработчик"/>
    <s v="К6"/>
    <s v="TBD СЛ SAP"/>
    <s v="ДИТ"/>
    <n v="21520"/>
    <m/>
    <m/>
    <n v="0"/>
    <m/>
    <m/>
    <m/>
    <m/>
    <m/>
    <m/>
    <m/>
    <m/>
    <m/>
    <m/>
    <m/>
    <m/>
    <m/>
    <n v="0"/>
    <n v="0"/>
    <m/>
    <m/>
    <m/>
    <m/>
    <m/>
    <m/>
    <m/>
    <m/>
    <m/>
    <m/>
    <m/>
    <m/>
    <m/>
    <n v="0"/>
    <n v="0"/>
    <m/>
    <n v="10"/>
    <m/>
    <m/>
    <m/>
    <m/>
    <m/>
    <m/>
    <m/>
    <n v="10"/>
    <m/>
    <m/>
    <m/>
    <n v="20"/>
    <n v="430400"/>
    <m/>
    <m/>
    <m/>
    <m/>
    <m/>
    <m/>
    <m/>
    <m/>
    <m/>
    <m/>
    <m/>
    <m/>
    <m/>
    <n v="0"/>
    <n v="0"/>
    <m/>
    <m/>
    <m/>
    <m/>
    <m/>
    <m/>
    <m/>
    <m/>
    <m/>
    <m/>
    <m/>
    <m/>
    <m/>
    <n v="0"/>
    <n v="0"/>
    <n v="0"/>
    <n v="20"/>
    <n v="430400"/>
  </r>
  <r>
    <m/>
    <m/>
    <m/>
    <m/>
    <x v="2"/>
    <m/>
    <s v="Аналитик"/>
    <s v="К6"/>
    <s v="Вакансия 3"/>
    <s v="ДИТ"/>
    <n v="21520"/>
    <m/>
    <m/>
    <n v="0"/>
    <m/>
    <m/>
    <m/>
    <m/>
    <m/>
    <m/>
    <m/>
    <m/>
    <m/>
    <m/>
    <m/>
    <m/>
    <m/>
    <n v="0"/>
    <n v="0"/>
    <m/>
    <m/>
    <m/>
    <m/>
    <m/>
    <m/>
    <m/>
    <m/>
    <m/>
    <m/>
    <m/>
    <m/>
    <m/>
    <n v="0"/>
    <n v="0"/>
    <m/>
    <n v="5"/>
    <m/>
    <m/>
    <m/>
    <m/>
    <m/>
    <m/>
    <m/>
    <n v="10"/>
    <m/>
    <m/>
    <m/>
    <n v="15"/>
    <n v="322800"/>
    <m/>
    <m/>
    <m/>
    <m/>
    <m/>
    <m/>
    <m/>
    <m/>
    <m/>
    <m/>
    <m/>
    <m/>
    <m/>
    <n v="0"/>
    <n v="0"/>
    <m/>
    <m/>
    <m/>
    <m/>
    <m/>
    <m/>
    <m/>
    <m/>
    <m/>
    <m/>
    <m/>
    <m/>
    <m/>
    <n v="0"/>
    <n v="0"/>
    <n v="0"/>
    <n v="15"/>
    <n v="322800"/>
  </r>
  <r>
    <s v="13.5.44"/>
    <s v="Оформление и подписание  Акта приема-передачи на поддержку"/>
    <s v="Оформление и подписание  Акта приема-передачи на поддержку"/>
    <m/>
    <x v="1"/>
    <m/>
    <s v="Администратор"/>
    <s v="К4"/>
    <s v="Вакансия 2"/>
    <s v="ДИТ"/>
    <n v="11900"/>
    <m/>
    <m/>
    <n v="0"/>
    <m/>
    <m/>
    <m/>
    <m/>
    <m/>
    <m/>
    <m/>
    <m/>
    <m/>
    <m/>
    <m/>
    <m/>
    <m/>
    <n v="0"/>
    <n v="0"/>
    <m/>
    <m/>
    <m/>
    <m/>
    <m/>
    <m/>
    <m/>
    <m/>
    <m/>
    <m/>
    <m/>
    <m/>
    <m/>
    <n v="0"/>
    <n v="0"/>
    <m/>
    <m/>
    <m/>
    <m/>
    <m/>
    <m/>
    <m/>
    <m/>
    <n v="10"/>
    <n v="3"/>
    <m/>
    <m/>
    <m/>
    <n v="13"/>
    <n v="154700"/>
    <m/>
    <m/>
    <m/>
    <m/>
    <m/>
    <m/>
    <m/>
    <m/>
    <m/>
    <m/>
    <m/>
    <m/>
    <m/>
    <n v="0"/>
    <n v="0"/>
    <m/>
    <m/>
    <m/>
    <m/>
    <m/>
    <m/>
    <m/>
    <m/>
    <m/>
    <m/>
    <m/>
    <m/>
    <m/>
    <n v="0"/>
    <n v="0"/>
    <n v="0"/>
    <n v="13"/>
    <n v="154700"/>
  </r>
  <r>
    <m/>
    <m/>
    <m/>
    <m/>
    <x v="1"/>
    <m/>
    <m/>
    <m/>
    <m/>
    <s v="ДИТ"/>
    <s v="нет данных"/>
    <m/>
    <m/>
    <n v="0"/>
    <m/>
    <m/>
    <m/>
    <m/>
    <m/>
    <m/>
    <m/>
    <m/>
    <m/>
    <m/>
    <m/>
    <m/>
    <m/>
    <n v="0"/>
    <n v="0"/>
    <m/>
    <m/>
    <m/>
    <m/>
    <m/>
    <m/>
    <m/>
    <m/>
    <m/>
    <m/>
    <m/>
    <m/>
    <m/>
    <n v="0"/>
    <n v="0"/>
    <m/>
    <m/>
    <m/>
    <m/>
    <m/>
    <m/>
    <m/>
    <m/>
    <m/>
    <m/>
    <m/>
    <m/>
    <m/>
    <n v="0"/>
    <n v="0"/>
    <m/>
    <m/>
    <m/>
    <m/>
    <m/>
    <m/>
    <m/>
    <m/>
    <m/>
    <m/>
    <m/>
    <m/>
    <m/>
    <n v="0"/>
    <n v="0"/>
    <m/>
    <m/>
    <m/>
    <m/>
    <m/>
    <m/>
    <m/>
    <m/>
    <m/>
    <m/>
    <m/>
    <m/>
    <m/>
    <n v="0"/>
    <n v="0"/>
    <n v="0"/>
    <n v="0"/>
    <n v="0"/>
  </r>
  <r>
    <s v="13.5.49"/>
    <s v="Подготовка финального УК по завершению проекта"/>
    <s v="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
    <m/>
    <x v="1"/>
    <m/>
    <s v="Администратор"/>
    <s v="К4"/>
    <s v="Вакансия 2"/>
    <s v="ДИТ"/>
    <n v="11900"/>
    <m/>
    <m/>
    <n v="0"/>
    <m/>
    <m/>
    <m/>
    <m/>
    <m/>
    <m/>
    <m/>
    <m/>
    <m/>
    <m/>
    <m/>
    <m/>
    <m/>
    <n v="0"/>
    <n v="0"/>
    <m/>
    <m/>
    <m/>
    <m/>
    <m/>
    <m/>
    <m/>
    <m/>
    <m/>
    <m/>
    <m/>
    <m/>
    <m/>
    <n v="0"/>
    <n v="0"/>
    <m/>
    <m/>
    <m/>
    <m/>
    <m/>
    <m/>
    <m/>
    <m/>
    <m/>
    <n v="16"/>
    <n v="10"/>
    <m/>
    <m/>
    <n v="26"/>
    <n v="309400"/>
    <m/>
    <m/>
    <m/>
    <m/>
    <m/>
    <m/>
    <m/>
    <m/>
    <m/>
    <m/>
    <m/>
    <m/>
    <m/>
    <n v="0"/>
    <n v="0"/>
    <m/>
    <m/>
    <m/>
    <m/>
    <m/>
    <m/>
    <m/>
    <m/>
    <m/>
    <m/>
    <m/>
    <m/>
    <m/>
    <n v="0"/>
    <n v="0"/>
    <n v="0"/>
    <n v="26"/>
    <n v="309400"/>
  </r>
  <r>
    <m/>
    <m/>
    <m/>
    <m/>
    <x v="1"/>
    <m/>
    <s v="Консультант"/>
    <s v="К5"/>
    <s v="Вакансия 5"/>
    <s v="ДИТ"/>
    <n v="15930"/>
    <m/>
    <m/>
    <n v="0"/>
    <m/>
    <m/>
    <m/>
    <m/>
    <m/>
    <m/>
    <m/>
    <m/>
    <m/>
    <m/>
    <m/>
    <m/>
    <m/>
    <n v="0"/>
    <n v="0"/>
    <m/>
    <m/>
    <m/>
    <m/>
    <m/>
    <m/>
    <m/>
    <m/>
    <m/>
    <m/>
    <m/>
    <m/>
    <m/>
    <n v="0"/>
    <n v="0"/>
    <m/>
    <m/>
    <m/>
    <m/>
    <m/>
    <m/>
    <m/>
    <m/>
    <m/>
    <m/>
    <n v="20"/>
    <m/>
    <m/>
    <n v="20"/>
    <n v="318600"/>
    <m/>
    <m/>
    <m/>
    <m/>
    <m/>
    <m/>
    <m/>
    <m/>
    <m/>
    <m/>
    <m/>
    <m/>
    <m/>
    <n v="0"/>
    <n v="0"/>
    <m/>
    <m/>
    <m/>
    <m/>
    <m/>
    <m/>
    <m/>
    <m/>
    <m/>
    <m/>
    <m/>
    <m/>
    <m/>
    <n v="0"/>
    <n v="0"/>
    <n v="0"/>
    <n v="20"/>
    <n v="318600"/>
  </r>
  <r>
    <m/>
    <m/>
    <m/>
    <m/>
    <x v="1"/>
    <m/>
    <s v="Руководитель проекта"/>
    <s v="К5"/>
    <s v="Вакансия 1"/>
    <s v="ДИТ"/>
    <n v="15930"/>
    <m/>
    <m/>
    <n v="0"/>
    <m/>
    <m/>
    <m/>
    <m/>
    <m/>
    <m/>
    <m/>
    <m/>
    <m/>
    <m/>
    <m/>
    <m/>
    <m/>
    <n v="0"/>
    <n v="0"/>
    <m/>
    <m/>
    <m/>
    <m/>
    <m/>
    <m/>
    <m/>
    <m/>
    <m/>
    <m/>
    <m/>
    <m/>
    <m/>
    <n v="0"/>
    <n v="0"/>
    <m/>
    <m/>
    <m/>
    <m/>
    <m/>
    <m/>
    <m/>
    <m/>
    <m/>
    <n v="3"/>
    <m/>
    <m/>
    <m/>
    <n v="3"/>
    <n v="47790"/>
    <m/>
    <m/>
    <m/>
    <m/>
    <m/>
    <m/>
    <m/>
    <m/>
    <m/>
    <m/>
    <m/>
    <m/>
    <m/>
    <n v="0"/>
    <n v="0"/>
    <m/>
    <m/>
    <m/>
    <m/>
    <m/>
    <m/>
    <m/>
    <m/>
    <m/>
    <m/>
    <m/>
    <m/>
    <m/>
    <n v="0"/>
    <n v="0"/>
    <n v="0"/>
    <n v="3"/>
    <n v="47790"/>
  </r>
  <r>
    <m/>
    <m/>
    <m/>
    <m/>
    <x v="1"/>
    <m/>
    <s v="Консультант"/>
    <s v="К5"/>
    <s v="Вакансия 4"/>
    <s v="ДИТ"/>
    <n v="15930"/>
    <m/>
    <m/>
    <n v="0"/>
    <m/>
    <m/>
    <m/>
    <m/>
    <m/>
    <m/>
    <m/>
    <m/>
    <m/>
    <m/>
    <m/>
    <m/>
    <m/>
    <n v="0"/>
    <n v="0"/>
    <m/>
    <m/>
    <m/>
    <m/>
    <m/>
    <m/>
    <m/>
    <m/>
    <m/>
    <m/>
    <m/>
    <m/>
    <m/>
    <n v="0"/>
    <n v="0"/>
    <m/>
    <m/>
    <m/>
    <m/>
    <m/>
    <m/>
    <m/>
    <m/>
    <m/>
    <m/>
    <n v="20"/>
    <m/>
    <m/>
    <n v="20"/>
    <n v="318600"/>
    <m/>
    <m/>
    <m/>
    <m/>
    <m/>
    <m/>
    <m/>
    <m/>
    <m/>
    <m/>
    <m/>
    <m/>
    <m/>
    <n v="0"/>
    <n v="0"/>
    <m/>
    <m/>
    <m/>
    <m/>
    <m/>
    <m/>
    <m/>
    <m/>
    <m/>
    <m/>
    <m/>
    <m/>
    <m/>
    <n v="0"/>
    <n v="0"/>
    <n v="0"/>
    <n v="20"/>
    <n v="318600"/>
  </r>
  <r>
    <s v="13.5.50"/>
    <s v="Принятие решение по заверешнию проекта на УК "/>
    <s v="Проведение приемки результатов работ по проекту в рамках УК (решение о заверешнии проекта и подписание актов сдачи-приемки работ; согласование Итогового отчета; согласование комплектов документов для финального ИК/ИПК)"/>
    <m/>
    <x v="1"/>
    <m/>
    <s v="Администратор"/>
    <s v="К4"/>
    <s v="Вакансия 2"/>
    <s v="ДИТ"/>
    <n v="11900"/>
    <m/>
    <m/>
    <n v="0"/>
    <m/>
    <m/>
    <m/>
    <m/>
    <m/>
    <m/>
    <m/>
    <m/>
    <m/>
    <m/>
    <m/>
    <m/>
    <m/>
    <n v="0"/>
    <n v="0"/>
    <m/>
    <m/>
    <m/>
    <m/>
    <m/>
    <m/>
    <m/>
    <m/>
    <m/>
    <m/>
    <m/>
    <m/>
    <m/>
    <n v="0"/>
    <n v="0"/>
    <m/>
    <m/>
    <m/>
    <m/>
    <m/>
    <m/>
    <m/>
    <m/>
    <m/>
    <m/>
    <n v="2"/>
    <m/>
    <m/>
    <n v="2"/>
    <n v="23800"/>
    <m/>
    <m/>
    <m/>
    <m/>
    <m/>
    <m/>
    <m/>
    <m/>
    <m/>
    <m/>
    <m/>
    <m/>
    <m/>
    <n v="0"/>
    <n v="0"/>
    <m/>
    <m/>
    <m/>
    <m/>
    <m/>
    <m/>
    <m/>
    <m/>
    <m/>
    <m/>
    <m/>
    <m/>
    <m/>
    <n v="0"/>
    <n v="0"/>
    <n v="0"/>
    <n v="2"/>
    <n v="23800"/>
  </r>
  <r>
    <m/>
    <m/>
    <m/>
    <m/>
    <x v="1"/>
    <m/>
    <m/>
    <m/>
    <m/>
    <s v="ДИТ"/>
    <s v="нет данных"/>
    <m/>
    <m/>
    <n v="0"/>
    <m/>
    <m/>
    <m/>
    <m/>
    <m/>
    <m/>
    <m/>
    <m/>
    <m/>
    <m/>
    <m/>
    <m/>
    <m/>
    <n v="0"/>
    <n v="0"/>
    <m/>
    <m/>
    <m/>
    <m/>
    <m/>
    <m/>
    <m/>
    <m/>
    <m/>
    <m/>
    <m/>
    <m/>
    <m/>
    <n v="0"/>
    <n v="0"/>
    <m/>
    <m/>
    <m/>
    <m/>
    <m/>
    <m/>
    <m/>
    <m/>
    <m/>
    <m/>
    <m/>
    <m/>
    <m/>
    <n v="0"/>
    <n v="0"/>
    <m/>
    <m/>
    <m/>
    <m/>
    <m/>
    <m/>
    <m/>
    <m/>
    <m/>
    <m/>
    <m/>
    <m/>
    <m/>
    <n v="0"/>
    <n v="0"/>
    <m/>
    <m/>
    <m/>
    <m/>
    <m/>
    <m/>
    <m/>
    <m/>
    <m/>
    <m/>
    <m/>
    <m/>
    <m/>
    <n v="0"/>
    <n v="0"/>
    <n v="0"/>
    <n v="0"/>
    <n v="0"/>
  </r>
  <r>
    <s v="13.5.45"/>
    <s v="Ввод системы в промышленную эксплуатацию"/>
    <s v="Подготовка и подписание документов  о вводе системы в эксплуатацию (Подписание актов сдачи-приемки работ, оформление Акта / Приказа  о вводе в эксплуатацию)"/>
    <m/>
    <x v="1"/>
    <m/>
    <s v="Администратор"/>
    <s v="К4"/>
    <s v="Вакансия 2"/>
    <s v="ДИТ"/>
    <n v="11900"/>
    <m/>
    <m/>
    <n v="0"/>
    <m/>
    <m/>
    <m/>
    <m/>
    <m/>
    <m/>
    <m/>
    <m/>
    <m/>
    <m/>
    <m/>
    <m/>
    <m/>
    <n v="0"/>
    <n v="0"/>
    <m/>
    <m/>
    <m/>
    <m/>
    <m/>
    <m/>
    <m/>
    <m/>
    <m/>
    <m/>
    <m/>
    <m/>
    <m/>
    <n v="0"/>
    <n v="0"/>
    <m/>
    <m/>
    <m/>
    <m/>
    <m/>
    <m/>
    <m/>
    <m/>
    <m/>
    <m/>
    <n v="8"/>
    <n v="8"/>
    <m/>
    <n v="16"/>
    <n v="190400"/>
    <m/>
    <m/>
    <m/>
    <m/>
    <m/>
    <m/>
    <m/>
    <m/>
    <m/>
    <m/>
    <m/>
    <m/>
    <m/>
    <n v="0"/>
    <n v="0"/>
    <m/>
    <m/>
    <m/>
    <m/>
    <m/>
    <m/>
    <m/>
    <m/>
    <m/>
    <m/>
    <m/>
    <m/>
    <m/>
    <n v="0"/>
    <n v="0"/>
    <n v="0"/>
    <n v="16"/>
    <n v="190400"/>
  </r>
  <r>
    <m/>
    <m/>
    <m/>
    <m/>
    <x v="1"/>
    <m/>
    <m/>
    <m/>
    <m/>
    <s v="ДИТ"/>
    <s v="нет данных"/>
    <m/>
    <m/>
    <n v="0"/>
    <m/>
    <m/>
    <m/>
    <m/>
    <m/>
    <m/>
    <m/>
    <m/>
    <m/>
    <m/>
    <m/>
    <m/>
    <m/>
    <n v="0"/>
    <n v="0"/>
    <m/>
    <m/>
    <m/>
    <m/>
    <m/>
    <m/>
    <m/>
    <m/>
    <m/>
    <m/>
    <m/>
    <m/>
    <m/>
    <n v="0"/>
    <n v="0"/>
    <m/>
    <m/>
    <m/>
    <m/>
    <m/>
    <m/>
    <m/>
    <m/>
    <m/>
    <m/>
    <m/>
    <m/>
    <m/>
    <n v="0"/>
    <n v="0"/>
    <m/>
    <m/>
    <m/>
    <m/>
    <m/>
    <m/>
    <m/>
    <m/>
    <m/>
    <m/>
    <m/>
    <m/>
    <m/>
    <n v="0"/>
    <n v="0"/>
    <m/>
    <m/>
    <m/>
    <m/>
    <m/>
    <m/>
    <m/>
    <m/>
    <m/>
    <m/>
    <m/>
    <m/>
    <m/>
    <n v="0"/>
    <n v="0"/>
    <n v="0"/>
    <n v="0"/>
    <n v="0"/>
  </r>
  <r>
    <s v="13.5.46"/>
    <s v="Постановка системы на бухгалтерский учет "/>
    <s v="Постановка системы на бухгалтерский учет, оформление Акта о начале использования НМА"/>
    <m/>
    <x v="1"/>
    <m/>
    <s v="Администратор"/>
    <s v="К4"/>
    <s v="Вакансия 2"/>
    <s v="ДИТ"/>
    <n v="11900"/>
    <m/>
    <m/>
    <n v="0"/>
    <m/>
    <m/>
    <m/>
    <m/>
    <m/>
    <m/>
    <m/>
    <m/>
    <m/>
    <m/>
    <m/>
    <m/>
    <m/>
    <n v="0"/>
    <n v="0"/>
    <m/>
    <m/>
    <m/>
    <m/>
    <m/>
    <m/>
    <m/>
    <m/>
    <m/>
    <m/>
    <m/>
    <m/>
    <m/>
    <n v="0"/>
    <n v="0"/>
    <m/>
    <m/>
    <m/>
    <m/>
    <m/>
    <m/>
    <m/>
    <m/>
    <m/>
    <m/>
    <m/>
    <n v="2"/>
    <m/>
    <n v="2"/>
    <n v="23800"/>
    <m/>
    <m/>
    <m/>
    <m/>
    <m/>
    <m/>
    <m/>
    <m/>
    <m/>
    <m/>
    <m/>
    <m/>
    <m/>
    <n v="0"/>
    <n v="0"/>
    <m/>
    <m/>
    <m/>
    <m/>
    <m/>
    <m/>
    <m/>
    <m/>
    <m/>
    <m/>
    <m/>
    <m/>
    <m/>
    <n v="0"/>
    <n v="0"/>
    <n v="0"/>
    <n v="2"/>
    <n v="2380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5:"/>
    <m/>
    <m/>
    <m/>
    <x v="0"/>
    <m/>
    <m/>
    <m/>
    <m/>
    <m/>
    <s v=""/>
    <n v="0"/>
    <n v="0"/>
    <n v="0"/>
    <n v="0"/>
    <n v="0"/>
    <n v="0"/>
    <n v="0"/>
    <n v="0"/>
    <n v="0"/>
    <n v="0"/>
    <n v="0"/>
    <n v="0"/>
    <n v="0"/>
    <n v="0"/>
    <n v="0"/>
    <n v="0"/>
    <n v="0"/>
    <n v="0"/>
    <n v="0"/>
    <n v="24"/>
    <n v="135"/>
    <n v="150"/>
    <n v="142"/>
    <n v="135"/>
    <n v="116"/>
    <n v="121"/>
    <n v="148"/>
    <n v="176"/>
    <n v="149"/>
    <n v="152"/>
    <n v="0"/>
    <n v="1448"/>
    <n v="22398330"/>
    <n v="121"/>
    <n v="166"/>
    <n v="160"/>
    <n v="164"/>
    <n v="147"/>
    <n v="135"/>
    <n v="178"/>
    <n v="161"/>
    <n v="149"/>
    <n v="176"/>
    <n v="103"/>
    <n v="10"/>
    <n v="0"/>
    <n v="1670"/>
    <n v="23182570"/>
    <m/>
    <m/>
    <m/>
    <m/>
    <m/>
    <m/>
    <m/>
    <m/>
    <m/>
    <m/>
    <m/>
    <m/>
    <n v="0"/>
    <n v="0"/>
    <n v="0"/>
    <m/>
    <m/>
    <m/>
    <m/>
    <m/>
    <m/>
    <m/>
    <m/>
    <m/>
    <m/>
    <m/>
    <m/>
    <n v="0"/>
    <n v="2"/>
    <n v="31860"/>
    <n v="0"/>
    <n v="3120"/>
    <n v="45612760"/>
  </r>
  <r>
    <s v="6."/>
    <s v="Фаза  4. Завершение. Этап № 6. Завершение "/>
    <m/>
    <m/>
    <x v="0"/>
    <m/>
    <m/>
    <m/>
    <m/>
    <m/>
    <s v=""/>
    <m/>
    <m/>
    <m/>
    <m/>
    <m/>
    <m/>
    <m/>
    <m/>
    <m/>
    <m/>
    <m/>
    <m/>
    <m/>
    <m/>
    <m/>
    <m/>
    <m/>
    <m/>
    <m/>
    <m/>
    <m/>
    <m/>
    <m/>
    <m/>
    <m/>
    <m/>
    <m/>
    <m/>
    <m/>
    <m/>
    <m/>
    <m/>
    <m/>
    <m/>
    <m/>
    <m/>
    <m/>
    <m/>
    <m/>
    <m/>
    <m/>
    <m/>
    <m/>
    <m/>
    <m/>
    <m/>
    <m/>
    <m/>
    <m/>
    <m/>
    <m/>
    <m/>
    <m/>
    <m/>
    <m/>
    <m/>
    <m/>
    <m/>
    <m/>
    <m/>
    <m/>
    <m/>
    <m/>
    <m/>
    <m/>
    <m/>
    <m/>
    <m/>
    <m/>
    <m/>
    <m/>
    <m/>
    <m/>
    <m/>
    <m/>
    <m/>
    <m/>
    <m/>
    <m/>
    <m/>
    <m/>
  </r>
  <r>
    <s v="13.6.01"/>
    <s v="Согласование комплекта документов для ИК/ИПК (закрытие ИТ- проекта)"/>
    <s v="Согласование комплекта документов для ИК/ИПК (Заявка о включении в повестку заседания, Презентация, ФЭМ/Паспорт, Отчет о результатах проекта; контроль оплат по закрытым этапам)"/>
    <m/>
    <x v="1"/>
    <m/>
    <s v="Администратор"/>
    <s v="К4"/>
    <s v="Вакансия 2"/>
    <s v="ДИТ"/>
    <n v="11900"/>
    <m/>
    <m/>
    <n v="0"/>
    <m/>
    <m/>
    <m/>
    <m/>
    <m/>
    <m/>
    <m/>
    <m/>
    <m/>
    <m/>
    <m/>
    <m/>
    <m/>
    <n v="0"/>
    <n v="0"/>
    <m/>
    <m/>
    <m/>
    <m/>
    <m/>
    <m/>
    <m/>
    <m/>
    <m/>
    <m/>
    <m/>
    <m/>
    <m/>
    <n v="0"/>
    <n v="0"/>
    <m/>
    <m/>
    <m/>
    <m/>
    <m/>
    <m/>
    <m/>
    <m/>
    <m/>
    <m/>
    <m/>
    <n v="10"/>
    <m/>
    <n v="10"/>
    <n v="119000"/>
    <m/>
    <m/>
    <m/>
    <m/>
    <m/>
    <m/>
    <m/>
    <m/>
    <m/>
    <m/>
    <m/>
    <m/>
    <m/>
    <n v="0"/>
    <n v="0"/>
    <m/>
    <m/>
    <m/>
    <m/>
    <m/>
    <m/>
    <m/>
    <m/>
    <m/>
    <m/>
    <m/>
    <m/>
    <m/>
    <n v="0"/>
    <n v="0"/>
    <n v="0"/>
    <n v="10"/>
    <n v="119000"/>
  </r>
  <r>
    <m/>
    <m/>
    <m/>
    <m/>
    <x v="1"/>
    <m/>
    <m/>
    <m/>
    <m/>
    <s v="ДИТ"/>
    <s v="нет данных"/>
    <m/>
    <m/>
    <n v="0"/>
    <m/>
    <m/>
    <m/>
    <m/>
    <m/>
    <m/>
    <m/>
    <m/>
    <m/>
    <m/>
    <m/>
    <m/>
    <m/>
    <n v="0"/>
    <n v="0"/>
    <m/>
    <m/>
    <m/>
    <m/>
    <m/>
    <m/>
    <m/>
    <m/>
    <m/>
    <m/>
    <m/>
    <m/>
    <m/>
    <n v="0"/>
    <n v="0"/>
    <m/>
    <m/>
    <m/>
    <m/>
    <m/>
    <m/>
    <m/>
    <m/>
    <m/>
    <m/>
    <m/>
    <m/>
    <m/>
    <n v="0"/>
    <n v="0"/>
    <m/>
    <m/>
    <m/>
    <m/>
    <m/>
    <m/>
    <m/>
    <m/>
    <m/>
    <m/>
    <m/>
    <m/>
    <m/>
    <n v="0"/>
    <n v="0"/>
    <m/>
    <m/>
    <m/>
    <m/>
    <m/>
    <m/>
    <m/>
    <m/>
    <m/>
    <m/>
    <m/>
    <m/>
    <m/>
    <n v="0"/>
    <n v="0"/>
    <n v="0"/>
    <n v="0"/>
    <n v="0"/>
  </r>
  <r>
    <s v="13.6.02"/>
    <s v="Проведение ИК/ИПК по закрытию проекта "/>
    <s v="Принятие решения о закрытии проекта"/>
    <m/>
    <x v="1"/>
    <m/>
    <s v="Руководитель проекта"/>
    <s v="К5"/>
    <s v="Вакансия 1"/>
    <s v="ДИТ"/>
    <n v="15930"/>
    <m/>
    <m/>
    <n v="0"/>
    <m/>
    <m/>
    <m/>
    <m/>
    <m/>
    <m/>
    <m/>
    <m/>
    <m/>
    <m/>
    <m/>
    <m/>
    <m/>
    <n v="0"/>
    <n v="0"/>
    <m/>
    <m/>
    <m/>
    <m/>
    <m/>
    <m/>
    <m/>
    <m/>
    <m/>
    <m/>
    <m/>
    <m/>
    <m/>
    <n v="0"/>
    <n v="0"/>
    <m/>
    <m/>
    <m/>
    <m/>
    <m/>
    <m/>
    <m/>
    <m/>
    <m/>
    <m/>
    <m/>
    <n v="3"/>
    <m/>
    <n v="3"/>
    <n v="47790"/>
    <m/>
    <m/>
    <m/>
    <m/>
    <m/>
    <m/>
    <m/>
    <m/>
    <m/>
    <m/>
    <m/>
    <m/>
    <m/>
    <n v="0"/>
    <n v="0"/>
    <m/>
    <m/>
    <m/>
    <m/>
    <m/>
    <m/>
    <m/>
    <m/>
    <m/>
    <m/>
    <m/>
    <m/>
    <m/>
    <n v="0"/>
    <n v="0"/>
    <n v="0"/>
    <n v="3"/>
    <n v="47790"/>
  </r>
  <r>
    <m/>
    <m/>
    <m/>
    <m/>
    <x v="1"/>
    <m/>
    <m/>
    <m/>
    <m/>
    <s v="ДИТ"/>
    <s v="нет данных"/>
    <m/>
    <m/>
    <n v="0"/>
    <m/>
    <m/>
    <m/>
    <m/>
    <m/>
    <m/>
    <m/>
    <m/>
    <m/>
    <m/>
    <m/>
    <m/>
    <m/>
    <n v="0"/>
    <n v="0"/>
    <m/>
    <m/>
    <m/>
    <m/>
    <m/>
    <m/>
    <m/>
    <m/>
    <m/>
    <m/>
    <m/>
    <m/>
    <m/>
    <n v="0"/>
    <n v="0"/>
    <m/>
    <m/>
    <m/>
    <m/>
    <m/>
    <m/>
    <m/>
    <m/>
    <m/>
    <m/>
    <m/>
    <m/>
    <m/>
    <n v="0"/>
    <n v="0"/>
    <m/>
    <m/>
    <m/>
    <m/>
    <m/>
    <m/>
    <m/>
    <m/>
    <m/>
    <m/>
    <m/>
    <m/>
    <m/>
    <n v="0"/>
    <n v="0"/>
    <m/>
    <m/>
    <m/>
    <m/>
    <m/>
    <m/>
    <m/>
    <m/>
    <m/>
    <m/>
    <m/>
    <m/>
    <m/>
    <n v="0"/>
    <n v="0"/>
    <n v="0"/>
    <n v="0"/>
    <n v="0"/>
  </r>
  <r>
    <s v="13.6.03"/>
    <s v="Передача проектных документов в архив "/>
    <s v="Передача проектных документов в архив "/>
    <m/>
    <x v="1"/>
    <m/>
    <s v="Администратор"/>
    <s v="К4"/>
    <s v="Вакансия 2"/>
    <s v="ДИТ"/>
    <n v="11900"/>
    <m/>
    <m/>
    <n v="0"/>
    <m/>
    <m/>
    <m/>
    <m/>
    <m/>
    <m/>
    <m/>
    <m/>
    <m/>
    <m/>
    <m/>
    <m/>
    <m/>
    <n v="0"/>
    <n v="0"/>
    <m/>
    <m/>
    <m/>
    <m/>
    <m/>
    <m/>
    <m/>
    <m/>
    <m/>
    <m/>
    <m/>
    <m/>
    <m/>
    <n v="0"/>
    <n v="0"/>
    <m/>
    <m/>
    <m/>
    <m/>
    <m/>
    <m/>
    <m/>
    <m/>
    <m/>
    <m/>
    <m/>
    <n v="2"/>
    <m/>
    <n v="2"/>
    <n v="23800"/>
    <m/>
    <m/>
    <m/>
    <m/>
    <m/>
    <m/>
    <m/>
    <m/>
    <m/>
    <m/>
    <m/>
    <m/>
    <m/>
    <n v="0"/>
    <n v="0"/>
    <m/>
    <m/>
    <m/>
    <m/>
    <m/>
    <m/>
    <m/>
    <m/>
    <m/>
    <m/>
    <m/>
    <m/>
    <m/>
    <n v="0"/>
    <n v="0"/>
    <n v="0"/>
    <n v="2"/>
    <n v="23800"/>
  </r>
  <r>
    <m/>
    <m/>
    <m/>
    <m/>
    <x v="1"/>
    <m/>
    <s v="Руководитель проекта"/>
    <s v="К5"/>
    <s v="Вакансия 1"/>
    <s v="ДИТ"/>
    <n v="15930"/>
    <m/>
    <m/>
    <n v="0"/>
    <m/>
    <m/>
    <m/>
    <m/>
    <m/>
    <m/>
    <m/>
    <m/>
    <m/>
    <m/>
    <m/>
    <m/>
    <m/>
    <n v="0"/>
    <n v="0"/>
    <m/>
    <m/>
    <m/>
    <m/>
    <m/>
    <m/>
    <m/>
    <m/>
    <m/>
    <m/>
    <m/>
    <m/>
    <m/>
    <n v="0"/>
    <n v="0"/>
    <m/>
    <m/>
    <m/>
    <m/>
    <m/>
    <m/>
    <m/>
    <m/>
    <m/>
    <m/>
    <n v="15"/>
    <n v="17"/>
    <m/>
    <n v="32"/>
    <n v="509760"/>
    <m/>
    <m/>
    <m/>
    <m/>
    <m/>
    <m/>
    <m/>
    <m/>
    <m/>
    <m/>
    <m/>
    <m/>
    <m/>
    <n v="0"/>
    <n v="0"/>
    <m/>
    <m/>
    <m/>
    <m/>
    <m/>
    <m/>
    <m/>
    <m/>
    <m/>
    <m/>
    <m/>
    <m/>
    <m/>
    <n v="0"/>
    <n v="0"/>
    <n v="0"/>
    <n v="32"/>
    <n v="509760"/>
  </r>
  <r>
    <s v="13.6.04"/>
    <s v="Подготовка и выпуск Приказа по НН-ОЦО о завершении проекта"/>
    <s v="Подготовка и выпуск Приказа по НН-ОЦО о завершении проекта и расформировании проектной команды"/>
    <m/>
    <x v="1"/>
    <m/>
    <s v="Руководитель проекта"/>
    <s v="К5"/>
    <s v="Вакансия 1"/>
    <s v="ДИТ"/>
    <n v="15930"/>
    <m/>
    <m/>
    <n v="0"/>
    <m/>
    <m/>
    <m/>
    <m/>
    <m/>
    <m/>
    <m/>
    <m/>
    <m/>
    <m/>
    <m/>
    <m/>
    <m/>
    <n v="0"/>
    <n v="0"/>
    <m/>
    <m/>
    <m/>
    <m/>
    <m/>
    <m/>
    <m/>
    <m/>
    <m/>
    <m/>
    <m/>
    <m/>
    <m/>
    <n v="0"/>
    <n v="0"/>
    <m/>
    <m/>
    <m/>
    <m/>
    <m/>
    <m/>
    <m/>
    <m/>
    <m/>
    <m/>
    <n v="2"/>
    <m/>
    <m/>
    <n v="2"/>
    <n v="31860"/>
    <m/>
    <m/>
    <m/>
    <m/>
    <m/>
    <m/>
    <m/>
    <m/>
    <m/>
    <m/>
    <m/>
    <m/>
    <m/>
    <n v="0"/>
    <n v="0"/>
    <m/>
    <m/>
    <m/>
    <m/>
    <m/>
    <m/>
    <m/>
    <m/>
    <m/>
    <m/>
    <m/>
    <m/>
    <m/>
    <n v="0"/>
    <n v="0"/>
    <n v="0"/>
    <n v="2"/>
    <n v="31860"/>
  </r>
  <r>
    <m/>
    <m/>
    <m/>
    <m/>
    <x v="1"/>
    <m/>
    <m/>
    <m/>
    <m/>
    <s v="ДИТ"/>
    <s v="нет данных"/>
    <m/>
    <m/>
    <n v="0"/>
    <m/>
    <m/>
    <m/>
    <m/>
    <m/>
    <m/>
    <m/>
    <m/>
    <m/>
    <m/>
    <m/>
    <m/>
    <m/>
    <n v="0"/>
    <n v="0"/>
    <m/>
    <m/>
    <m/>
    <m/>
    <m/>
    <m/>
    <m/>
    <m/>
    <m/>
    <m/>
    <m/>
    <m/>
    <m/>
    <n v="0"/>
    <n v="0"/>
    <m/>
    <m/>
    <m/>
    <m/>
    <m/>
    <m/>
    <m/>
    <m/>
    <m/>
    <m/>
    <m/>
    <m/>
    <m/>
    <n v="0"/>
    <n v="0"/>
    <m/>
    <m/>
    <m/>
    <m/>
    <m/>
    <m/>
    <m/>
    <m/>
    <m/>
    <m/>
    <m/>
    <m/>
    <m/>
    <n v="0"/>
    <n v="0"/>
    <m/>
    <m/>
    <m/>
    <m/>
    <m/>
    <m/>
    <m/>
    <m/>
    <m/>
    <m/>
    <m/>
    <m/>
    <m/>
    <n v="0"/>
    <n v="0"/>
    <n v="0"/>
    <n v="0"/>
    <n v="0"/>
  </r>
  <r>
    <s v="13.6.05"/>
    <s v="Закрытие заявок в системе учета трудозатрат"/>
    <s v="Закрытие заявок в системе учета трудозатрат"/>
    <m/>
    <x v="1"/>
    <m/>
    <s v="Руководитель проекта"/>
    <s v="К5"/>
    <s v="Вакансия 1"/>
    <s v="ДИТ"/>
    <n v="15930"/>
    <m/>
    <m/>
    <n v="0"/>
    <m/>
    <m/>
    <m/>
    <m/>
    <m/>
    <m/>
    <m/>
    <m/>
    <m/>
    <m/>
    <m/>
    <m/>
    <m/>
    <n v="0"/>
    <n v="0"/>
    <m/>
    <m/>
    <m/>
    <m/>
    <m/>
    <m/>
    <m/>
    <m/>
    <m/>
    <m/>
    <m/>
    <m/>
    <m/>
    <n v="0"/>
    <n v="0"/>
    <m/>
    <m/>
    <m/>
    <m/>
    <m/>
    <m/>
    <m/>
    <m/>
    <m/>
    <m/>
    <m/>
    <n v="2"/>
    <m/>
    <n v="2"/>
    <n v="31860"/>
    <m/>
    <m/>
    <m/>
    <m/>
    <m/>
    <m/>
    <m/>
    <m/>
    <m/>
    <m/>
    <m/>
    <m/>
    <m/>
    <n v="0"/>
    <n v="0"/>
    <m/>
    <m/>
    <m/>
    <m/>
    <m/>
    <m/>
    <m/>
    <m/>
    <m/>
    <m/>
    <m/>
    <m/>
    <m/>
    <n v="0"/>
    <n v="0"/>
    <n v="0"/>
    <n v="2"/>
    <n v="31860"/>
  </r>
  <r>
    <m/>
    <m/>
    <m/>
    <m/>
    <x v="1"/>
    <m/>
    <m/>
    <m/>
    <m/>
    <s v="ДИТ"/>
    <s v="нет данных"/>
    <m/>
    <m/>
    <n v="0"/>
    <m/>
    <m/>
    <m/>
    <m/>
    <m/>
    <m/>
    <m/>
    <m/>
    <m/>
    <m/>
    <m/>
    <m/>
    <m/>
    <n v="0"/>
    <n v="0"/>
    <m/>
    <m/>
    <m/>
    <m/>
    <m/>
    <m/>
    <m/>
    <m/>
    <m/>
    <m/>
    <m/>
    <m/>
    <m/>
    <n v="0"/>
    <n v="0"/>
    <m/>
    <m/>
    <m/>
    <m/>
    <m/>
    <m/>
    <m/>
    <m/>
    <m/>
    <m/>
    <m/>
    <m/>
    <m/>
    <n v="0"/>
    <n v="0"/>
    <m/>
    <m/>
    <m/>
    <m/>
    <m/>
    <m/>
    <m/>
    <m/>
    <m/>
    <m/>
    <m/>
    <m/>
    <m/>
    <n v="0"/>
    <n v="0"/>
    <m/>
    <m/>
    <m/>
    <m/>
    <m/>
    <m/>
    <m/>
    <m/>
    <m/>
    <m/>
    <m/>
    <m/>
    <m/>
    <n v="0"/>
    <n v="0"/>
    <n v="0"/>
    <n v="0"/>
    <n v="0"/>
  </r>
  <r>
    <s v="Итого по этапу №6:"/>
    <m/>
    <m/>
    <m/>
    <x v="0"/>
    <m/>
    <m/>
    <m/>
    <m/>
    <m/>
    <s v=""/>
    <n v="0"/>
    <n v="0"/>
    <n v="0"/>
    <n v="0"/>
    <n v="0"/>
    <n v="0"/>
    <n v="0"/>
    <n v="0"/>
    <n v="0"/>
    <n v="0"/>
    <n v="0"/>
    <n v="0"/>
    <n v="0"/>
    <n v="0"/>
    <n v="0"/>
    <n v="0"/>
    <n v="0"/>
    <n v="0"/>
    <n v="0"/>
    <n v="0"/>
    <n v="0"/>
    <n v="0"/>
    <n v="0"/>
    <n v="0"/>
    <n v="0"/>
    <n v="0"/>
    <n v="0"/>
    <n v="0"/>
    <n v="0"/>
    <n v="0"/>
    <n v="0"/>
    <n v="0"/>
    <n v="0"/>
    <n v="0"/>
    <n v="0"/>
    <n v="0"/>
    <n v="0"/>
    <n v="0"/>
    <n v="0"/>
    <n v="0"/>
    <n v="0"/>
    <n v="0"/>
    <n v="0"/>
    <n v="17"/>
    <n v="34"/>
    <n v="0"/>
    <n v="51"/>
    <n v="764070"/>
    <m/>
    <m/>
    <m/>
    <m/>
    <m/>
    <m/>
    <m/>
    <m/>
    <m/>
    <m/>
    <m/>
    <m/>
    <n v="0"/>
    <n v="0"/>
    <n v="0"/>
    <m/>
    <m/>
    <m/>
    <m/>
    <m/>
    <m/>
    <m/>
    <m/>
    <m/>
    <m/>
    <m/>
    <m/>
    <n v="0"/>
    <n v="0"/>
    <n v="0"/>
    <n v="0"/>
    <n v="51"/>
    <n v="764070"/>
  </r>
</pivotCacheRecords>
</file>

<file path=xl/pivotCache/pivotCacheRecords4.xml><?xml version="1.0" encoding="utf-8"?>
<pivotCacheRecords xmlns="http://schemas.openxmlformats.org/spreadsheetml/2006/main" xmlns:r="http://schemas.openxmlformats.org/officeDocument/2006/relationships" count="83">
  <r>
    <s v="Фвза 1. Инициирование. Этап № 1. Оценка"/>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s v="Итого по этапу №1:"/>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1. Инициирование. Этап № 2. Выбор "/>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s v="Итого по этапу №2:"/>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2. Планирование. Этап № 3.Изучение и детализация "/>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s v="Итого по этапу №3:"/>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2. Планирование. Этап № 4. Подготовка к реализации "/>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s v="Итого по этапу №4:"/>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3. Реализация.  Этап № 5. Реализация  "/>
    <m/>
    <x v="0"/>
    <m/>
    <m/>
    <m/>
    <m/>
    <m/>
    <m/>
    <m/>
    <m/>
    <m/>
    <m/>
    <m/>
    <m/>
    <m/>
    <m/>
    <m/>
    <m/>
    <m/>
    <m/>
    <m/>
    <m/>
    <m/>
    <m/>
    <m/>
    <m/>
    <m/>
    <m/>
    <m/>
    <m/>
    <m/>
    <m/>
    <m/>
    <m/>
    <m/>
    <m/>
    <m/>
    <m/>
    <m/>
    <m/>
    <m/>
    <m/>
    <m/>
    <m/>
    <m/>
    <m/>
    <m/>
    <m/>
    <m/>
    <m/>
    <m/>
    <m/>
    <m/>
    <m/>
    <m/>
    <m/>
    <m/>
    <m/>
    <m/>
    <m/>
    <m/>
    <m/>
    <m/>
    <m/>
    <m/>
    <m/>
    <m/>
    <m/>
    <m/>
    <m/>
    <m/>
    <m/>
  </r>
  <r>
    <s v="13.5.03"/>
    <s v="Capex"/>
    <x v="2"/>
    <m/>
    <s v="Проезд"/>
    <s v="ДИТ"/>
    <m/>
    <m/>
    <m/>
    <m/>
    <m/>
    <m/>
    <m/>
    <m/>
    <m/>
    <m/>
    <m/>
    <m/>
    <m/>
    <n v="0"/>
    <m/>
    <m/>
    <m/>
    <m/>
    <m/>
    <m/>
    <m/>
    <m/>
    <m/>
    <m/>
    <m/>
    <m/>
    <n v="0"/>
    <m/>
    <m/>
    <m/>
    <m/>
    <m/>
    <m/>
    <m/>
    <m/>
    <m/>
    <m/>
    <m/>
    <m/>
    <n v="0"/>
    <m/>
    <m/>
    <m/>
    <m/>
    <m/>
    <m/>
    <m/>
    <m/>
    <m/>
    <m/>
    <m/>
    <m/>
    <n v="0"/>
    <m/>
    <m/>
    <m/>
    <m/>
    <m/>
    <m/>
    <m/>
    <m/>
    <m/>
    <m/>
    <m/>
    <m/>
    <n v="0"/>
    <n v="0"/>
  </r>
  <r>
    <m/>
    <m/>
    <x v="2"/>
    <m/>
    <s v="Проживание в гостинице"/>
    <s v="ДИТ"/>
    <m/>
    <m/>
    <m/>
    <m/>
    <m/>
    <m/>
    <m/>
    <m/>
    <m/>
    <m/>
    <m/>
    <m/>
    <m/>
    <n v="0"/>
    <m/>
    <m/>
    <m/>
    <m/>
    <m/>
    <m/>
    <m/>
    <m/>
    <m/>
    <m/>
    <m/>
    <m/>
    <n v="0"/>
    <m/>
    <m/>
    <m/>
    <m/>
    <m/>
    <m/>
    <m/>
    <m/>
    <m/>
    <m/>
    <m/>
    <m/>
    <n v="0"/>
    <m/>
    <m/>
    <m/>
    <m/>
    <m/>
    <m/>
    <m/>
    <m/>
    <m/>
    <m/>
    <m/>
    <m/>
    <n v="0"/>
    <m/>
    <m/>
    <m/>
    <m/>
    <m/>
    <m/>
    <m/>
    <m/>
    <m/>
    <m/>
    <m/>
    <m/>
    <n v="0"/>
    <n v="0"/>
  </r>
  <r>
    <m/>
    <m/>
    <x v="2"/>
    <m/>
    <s v="Аренда квартиры"/>
    <s v="ДИТ"/>
    <m/>
    <m/>
    <m/>
    <m/>
    <m/>
    <m/>
    <m/>
    <m/>
    <m/>
    <m/>
    <m/>
    <m/>
    <m/>
    <n v="0"/>
    <m/>
    <m/>
    <m/>
    <m/>
    <m/>
    <m/>
    <m/>
    <m/>
    <m/>
    <m/>
    <m/>
    <m/>
    <n v="0"/>
    <m/>
    <m/>
    <m/>
    <m/>
    <m/>
    <m/>
    <m/>
    <m/>
    <m/>
    <m/>
    <m/>
    <m/>
    <n v="0"/>
    <m/>
    <m/>
    <m/>
    <m/>
    <m/>
    <m/>
    <m/>
    <m/>
    <m/>
    <m/>
    <m/>
    <m/>
    <n v="0"/>
    <m/>
    <m/>
    <m/>
    <m/>
    <m/>
    <m/>
    <m/>
    <m/>
    <m/>
    <m/>
    <m/>
    <m/>
    <n v="0"/>
    <n v="0"/>
  </r>
  <r>
    <m/>
    <m/>
    <x v="2"/>
    <m/>
    <s v="Суточные"/>
    <s v="ДИТ"/>
    <m/>
    <m/>
    <m/>
    <m/>
    <m/>
    <m/>
    <m/>
    <m/>
    <m/>
    <m/>
    <m/>
    <m/>
    <m/>
    <n v="0"/>
    <m/>
    <m/>
    <m/>
    <m/>
    <m/>
    <m/>
    <m/>
    <m/>
    <m/>
    <m/>
    <m/>
    <m/>
    <n v="0"/>
    <m/>
    <m/>
    <m/>
    <m/>
    <m/>
    <m/>
    <m/>
    <m/>
    <m/>
    <m/>
    <m/>
    <m/>
    <n v="0"/>
    <m/>
    <m/>
    <m/>
    <m/>
    <m/>
    <m/>
    <m/>
    <m/>
    <m/>
    <m/>
    <m/>
    <m/>
    <n v="0"/>
    <m/>
    <m/>
    <m/>
    <m/>
    <m/>
    <m/>
    <m/>
    <m/>
    <m/>
    <m/>
    <m/>
    <m/>
    <n v="0"/>
    <n v="0"/>
  </r>
  <r>
    <m/>
    <m/>
    <x v="2"/>
    <m/>
    <s v="Прочие"/>
    <s v="ДИТ"/>
    <m/>
    <m/>
    <m/>
    <m/>
    <m/>
    <m/>
    <m/>
    <m/>
    <m/>
    <m/>
    <m/>
    <m/>
    <m/>
    <n v="0"/>
    <m/>
    <m/>
    <m/>
    <n v="200000"/>
    <m/>
    <n v="200000"/>
    <m/>
    <m/>
    <m/>
    <m/>
    <m/>
    <m/>
    <n v="400000"/>
    <m/>
    <m/>
    <m/>
    <m/>
    <m/>
    <m/>
    <m/>
    <m/>
    <m/>
    <m/>
    <m/>
    <m/>
    <n v="0"/>
    <m/>
    <m/>
    <m/>
    <m/>
    <m/>
    <m/>
    <m/>
    <m/>
    <m/>
    <m/>
    <m/>
    <m/>
    <n v="0"/>
    <m/>
    <m/>
    <m/>
    <m/>
    <m/>
    <m/>
    <m/>
    <m/>
    <m/>
    <m/>
    <m/>
    <m/>
    <n v="0"/>
    <n v="400000"/>
  </r>
  <r>
    <s v="13.5.37"/>
    <s v="Opex"/>
    <x v="3"/>
    <m/>
    <s v="Проезд"/>
    <s v="ДИТ"/>
    <m/>
    <m/>
    <m/>
    <m/>
    <m/>
    <m/>
    <m/>
    <m/>
    <m/>
    <m/>
    <m/>
    <m/>
    <m/>
    <n v="0"/>
    <m/>
    <m/>
    <m/>
    <m/>
    <m/>
    <m/>
    <m/>
    <m/>
    <m/>
    <m/>
    <m/>
    <m/>
    <n v="0"/>
    <m/>
    <m/>
    <m/>
    <m/>
    <m/>
    <m/>
    <m/>
    <m/>
    <m/>
    <m/>
    <m/>
    <m/>
    <n v="0"/>
    <m/>
    <m/>
    <m/>
    <m/>
    <m/>
    <m/>
    <m/>
    <m/>
    <m/>
    <m/>
    <m/>
    <m/>
    <n v="0"/>
    <m/>
    <m/>
    <m/>
    <m/>
    <m/>
    <m/>
    <m/>
    <m/>
    <m/>
    <m/>
    <m/>
    <m/>
    <n v="0"/>
    <n v="0"/>
  </r>
  <r>
    <m/>
    <m/>
    <x v="3"/>
    <m/>
    <s v="Проживание в гостинице"/>
    <s v="ДИТ"/>
    <m/>
    <m/>
    <m/>
    <m/>
    <m/>
    <m/>
    <m/>
    <m/>
    <m/>
    <m/>
    <m/>
    <m/>
    <m/>
    <n v="0"/>
    <m/>
    <m/>
    <m/>
    <m/>
    <m/>
    <m/>
    <m/>
    <m/>
    <m/>
    <m/>
    <m/>
    <m/>
    <n v="0"/>
    <m/>
    <m/>
    <m/>
    <m/>
    <m/>
    <m/>
    <m/>
    <m/>
    <m/>
    <m/>
    <m/>
    <m/>
    <n v="0"/>
    <m/>
    <m/>
    <m/>
    <m/>
    <m/>
    <m/>
    <m/>
    <m/>
    <m/>
    <m/>
    <m/>
    <m/>
    <n v="0"/>
    <m/>
    <m/>
    <m/>
    <m/>
    <m/>
    <m/>
    <m/>
    <m/>
    <m/>
    <m/>
    <m/>
    <m/>
    <n v="0"/>
    <n v="0"/>
  </r>
  <r>
    <m/>
    <m/>
    <x v="3"/>
    <m/>
    <s v="Аренда квартиры"/>
    <s v="ДИТ"/>
    <m/>
    <m/>
    <m/>
    <m/>
    <m/>
    <m/>
    <m/>
    <m/>
    <m/>
    <m/>
    <m/>
    <m/>
    <m/>
    <n v="0"/>
    <m/>
    <m/>
    <m/>
    <m/>
    <m/>
    <m/>
    <m/>
    <m/>
    <m/>
    <m/>
    <m/>
    <m/>
    <n v="0"/>
    <m/>
    <m/>
    <m/>
    <m/>
    <m/>
    <m/>
    <m/>
    <m/>
    <m/>
    <m/>
    <m/>
    <m/>
    <n v="0"/>
    <m/>
    <m/>
    <m/>
    <m/>
    <m/>
    <m/>
    <m/>
    <m/>
    <m/>
    <m/>
    <m/>
    <m/>
    <n v="0"/>
    <m/>
    <m/>
    <m/>
    <m/>
    <m/>
    <m/>
    <m/>
    <m/>
    <m/>
    <m/>
    <m/>
    <m/>
    <n v="0"/>
    <n v="0"/>
  </r>
  <r>
    <m/>
    <m/>
    <x v="3"/>
    <m/>
    <s v="Суточные"/>
    <s v="ДИТ"/>
    <m/>
    <m/>
    <m/>
    <m/>
    <m/>
    <m/>
    <m/>
    <m/>
    <m/>
    <m/>
    <m/>
    <m/>
    <m/>
    <n v="0"/>
    <m/>
    <m/>
    <m/>
    <m/>
    <m/>
    <m/>
    <m/>
    <m/>
    <m/>
    <m/>
    <m/>
    <m/>
    <n v="0"/>
    <m/>
    <m/>
    <m/>
    <m/>
    <m/>
    <m/>
    <m/>
    <m/>
    <m/>
    <m/>
    <m/>
    <m/>
    <n v="0"/>
    <m/>
    <m/>
    <m/>
    <m/>
    <m/>
    <m/>
    <m/>
    <m/>
    <m/>
    <m/>
    <m/>
    <m/>
    <n v="0"/>
    <m/>
    <m/>
    <m/>
    <m/>
    <m/>
    <m/>
    <m/>
    <m/>
    <m/>
    <m/>
    <m/>
    <m/>
    <n v="0"/>
    <n v="0"/>
  </r>
  <r>
    <m/>
    <m/>
    <x v="3"/>
    <m/>
    <s v="Прочие"/>
    <s v="ДИТ"/>
    <m/>
    <m/>
    <m/>
    <m/>
    <m/>
    <m/>
    <m/>
    <m/>
    <m/>
    <m/>
    <m/>
    <m/>
    <m/>
    <n v="0"/>
    <m/>
    <m/>
    <m/>
    <m/>
    <m/>
    <m/>
    <m/>
    <m/>
    <m/>
    <m/>
    <m/>
    <m/>
    <n v="0"/>
    <n v="200000"/>
    <n v="200000"/>
    <m/>
    <m/>
    <m/>
    <m/>
    <m/>
    <m/>
    <m/>
    <m/>
    <m/>
    <m/>
    <n v="400000"/>
    <m/>
    <m/>
    <m/>
    <m/>
    <m/>
    <m/>
    <m/>
    <m/>
    <m/>
    <m/>
    <m/>
    <m/>
    <n v="0"/>
    <m/>
    <m/>
    <m/>
    <m/>
    <m/>
    <m/>
    <m/>
    <m/>
    <m/>
    <m/>
    <m/>
    <m/>
    <n v="0"/>
    <n v="400000"/>
  </r>
  <r>
    <s v="13.5.38"/>
    <s v="Capex"/>
    <x v="2"/>
    <m/>
    <s v="Проезд"/>
    <s v="ДИТ"/>
    <m/>
    <m/>
    <m/>
    <m/>
    <m/>
    <m/>
    <m/>
    <m/>
    <m/>
    <m/>
    <m/>
    <m/>
    <m/>
    <n v="0"/>
    <m/>
    <m/>
    <m/>
    <m/>
    <m/>
    <m/>
    <m/>
    <m/>
    <m/>
    <m/>
    <m/>
    <m/>
    <n v="0"/>
    <m/>
    <m/>
    <m/>
    <m/>
    <m/>
    <m/>
    <m/>
    <m/>
    <m/>
    <m/>
    <m/>
    <m/>
    <n v="0"/>
    <m/>
    <m/>
    <m/>
    <m/>
    <m/>
    <m/>
    <m/>
    <m/>
    <m/>
    <m/>
    <m/>
    <m/>
    <n v="0"/>
    <m/>
    <m/>
    <m/>
    <m/>
    <m/>
    <m/>
    <m/>
    <m/>
    <m/>
    <m/>
    <m/>
    <m/>
    <n v="0"/>
    <n v="0"/>
  </r>
  <r>
    <m/>
    <m/>
    <x v="2"/>
    <m/>
    <s v="Проживание в гостинице"/>
    <s v="ДИТ"/>
    <m/>
    <m/>
    <m/>
    <m/>
    <m/>
    <m/>
    <m/>
    <m/>
    <m/>
    <m/>
    <m/>
    <m/>
    <m/>
    <n v="0"/>
    <m/>
    <m/>
    <m/>
    <m/>
    <m/>
    <m/>
    <m/>
    <m/>
    <m/>
    <m/>
    <m/>
    <m/>
    <n v="0"/>
    <m/>
    <m/>
    <m/>
    <m/>
    <m/>
    <m/>
    <m/>
    <m/>
    <m/>
    <m/>
    <m/>
    <m/>
    <n v="0"/>
    <m/>
    <m/>
    <m/>
    <m/>
    <m/>
    <m/>
    <m/>
    <m/>
    <m/>
    <m/>
    <m/>
    <m/>
    <n v="0"/>
    <m/>
    <m/>
    <m/>
    <m/>
    <m/>
    <m/>
    <m/>
    <m/>
    <m/>
    <m/>
    <m/>
    <m/>
    <n v="0"/>
    <n v="0"/>
  </r>
  <r>
    <m/>
    <m/>
    <x v="2"/>
    <m/>
    <s v="Аренда квартиры"/>
    <s v="ДИТ"/>
    <m/>
    <m/>
    <m/>
    <m/>
    <m/>
    <m/>
    <m/>
    <m/>
    <m/>
    <m/>
    <m/>
    <m/>
    <m/>
    <n v="0"/>
    <m/>
    <m/>
    <m/>
    <m/>
    <m/>
    <m/>
    <m/>
    <m/>
    <m/>
    <m/>
    <m/>
    <m/>
    <n v="0"/>
    <m/>
    <m/>
    <m/>
    <m/>
    <m/>
    <m/>
    <m/>
    <m/>
    <m/>
    <m/>
    <m/>
    <m/>
    <n v="0"/>
    <m/>
    <m/>
    <m/>
    <m/>
    <m/>
    <m/>
    <m/>
    <m/>
    <m/>
    <m/>
    <m/>
    <m/>
    <n v="0"/>
    <m/>
    <m/>
    <m/>
    <m/>
    <m/>
    <m/>
    <m/>
    <m/>
    <m/>
    <m/>
    <m/>
    <m/>
    <n v="0"/>
    <n v="0"/>
  </r>
  <r>
    <m/>
    <m/>
    <x v="2"/>
    <m/>
    <s v="Суточные"/>
    <s v="ДИТ"/>
    <m/>
    <m/>
    <m/>
    <m/>
    <m/>
    <m/>
    <m/>
    <m/>
    <m/>
    <m/>
    <m/>
    <m/>
    <m/>
    <n v="0"/>
    <m/>
    <m/>
    <m/>
    <m/>
    <m/>
    <m/>
    <m/>
    <m/>
    <m/>
    <m/>
    <m/>
    <m/>
    <n v="0"/>
    <m/>
    <m/>
    <m/>
    <m/>
    <m/>
    <m/>
    <m/>
    <m/>
    <m/>
    <m/>
    <m/>
    <m/>
    <n v="0"/>
    <m/>
    <m/>
    <m/>
    <m/>
    <m/>
    <m/>
    <m/>
    <m/>
    <m/>
    <m/>
    <m/>
    <m/>
    <n v="0"/>
    <m/>
    <m/>
    <m/>
    <m/>
    <m/>
    <m/>
    <m/>
    <m/>
    <m/>
    <m/>
    <m/>
    <m/>
    <n v="0"/>
    <n v="0"/>
  </r>
  <r>
    <m/>
    <m/>
    <x v="2"/>
    <m/>
    <s v="Прочие"/>
    <s v="ДИТ"/>
    <m/>
    <m/>
    <m/>
    <m/>
    <m/>
    <m/>
    <m/>
    <m/>
    <m/>
    <m/>
    <m/>
    <m/>
    <m/>
    <n v="0"/>
    <m/>
    <m/>
    <m/>
    <m/>
    <m/>
    <n v="200000"/>
    <m/>
    <m/>
    <m/>
    <m/>
    <m/>
    <m/>
    <n v="200000"/>
    <m/>
    <m/>
    <m/>
    <m/>
    <m/>
    <n v="200000"/>
    <m/>
    <m/>
    <m/>
    <m/>
    <m/>
    <m/>
    <n v="200000"/>
    <m/>
    <m/>
    <m/>
    <m/>
    <m/>
    <m/>
    <m/>
    <m/>
    <m/>
    <m/>
    <m/>
    <m/>
    <n v="0"/>
    <m/>
    <m/>
    <m/>
    <m/>
    <m/>
    <m/>
    <m/>
    <m/>
    <m/>
    <m/>
    <m/>
    <m/>
    <n v="0"/>
    <n v="400000"/>
  </r>
  <r>
    <s v="Итого по этапу №5:"/>
    <m/>
    <x v="0"/>
    <m/>
    <m/>
    <m/>
    <n v="0"/>
    <n v="0"/>
    <n v="0"/>
    <n v="0"/>
    <n v="0"/>
    <n v="0"/>
    <n v="0"/>
    <n v="0"/>
    <n v="0"/>
    <n v="0"/>
    <n v="0"/>
    <n v="0"/>
    <n v="0"/>
    <n v="0"/>
    <n v="0"/>
    <n v="0"/>
    <n v="0"/>
    <n v="200000"/>
    <n v="0"/>
    <n v="400000"/>
    <n v="0"/>
    <n v="0"/>
    <n v="0"/>
    <n v="0"/>
    <n v="0"/>
    <n v="0"/>
    <n v="600000"/>
    <n v="200000"/>
    <n v="200000"/>
    <n v="0"/>
    <n v="0"/>
    <n v="0"/>
    <n v="200000"/>
    <n v="0"/>
    <n v="0"/>
    <n v="0"/>
    <n v="0"/>
    <n v="0"/>
    <n v="0"/>
    <n v="600000"/>
    <n v="0"/>
    <n v="0"/>
    <n v="0"/>
    <n v="0"/>
    <n v="0"/>
    <n v="0"/>
    <n v="0"/>
    <n v="0"/>
    <n v="0"/>
    <n v="0"/>
    <n v="0"/>
    <n v="0"/>
    <n v="0"/>
    <n v="0"/>
    <n v="0"/>
    <n v="0"/>
    <n v="0"/>
    <n v="0"/>
    <n v="0"/>
    <n v="0"/>
    <n v="0"/>
    <n v="0"/>
    <n v="0"/>
    <n v="0"/>
    <n v="0"/>
    <n v="0"/>
    <n v="1200000"/>
  </r>
  <r>
    <s v="Фаза  4. Завершение. Этап № 6. Завершение "/>
    <m/>
    <x v="0"/>
    <m/>
    <m/>
    <m/>
    <m/>
    <m/>
    <m/>
    <m/>
    <m/>
    <m/>
    <m/>
    <m/>
    <m/>
    <m/>
    <m/>
    <m/>
    <m/>
    <m/>
    <m/>
    <m/>
    <m/>
    <m/>
    <m/>
    <m/>
    <m/>
    <m/>
    <m/>
    <m/>
    <m/>
    <m/>
    <m/>
    <m/>
    <m/>
    <m/>
    <m/>
    <m/>
    <m/>
    <m/>
    <m/>
    <m/>
    <m/>
    <m/>
    <m/>
    <m/>
    <m/>
    <m/>
    <m/>
    <m/>
    <m/>
    <m/>
    <m/>
    <m/>
    <m/>
    <m/>
    <m/>
    <m/>
    <m/>
    <m/>
    <m/>
    <m/>
    <m/>
    <m/>
    <m/>
    <m/>
    <m/>
    <m/>
    <m/>
    <m/>
    <m/>
    <m/>
    <m/>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s v="ДИТ"/>
    <m/>
    <m/>
    <m/>
    <m/>
    <m/>
    <m/>
    <m/>
    <m/>
    <m/>
    <m/>
    <m/>
    <m/>
    <m/>
    <n v="0"/>
    <m/>
    <m/>
    <m/>
    <m/>
    <m/>
    <m/>
    <m/>
    <m/>
    <m/>
    <m/>
    <m/>
    <m/>
    <n v="0"/>
    <m/>
    <m/>
    <m/>
    <m/>
    <m/>
    <m/>
    <m/>
    <m/>
    <m/>
    <m/>
    <m/>
    <m/>
    <n v="0"/>
    <m/>
    <m/>
    <m/>
    <m/>
    <m/>
    <m/>
    <m/>
    <m/>
    <m/>
    <m/>
    <m/>
    <m/>
    <n v="0"/>
    <m/>
    <m/>
    <m/>
    <m/>
    <m/>
    <m/>
    <m/>
    <m/>
    <m/>
    <m/>
    <m/>
    <m/>
    <n v="0"/>
    <n v="0"/>
  </r>
  <r>
    <m/>
    <m/>
    <x v="1"/>
    <m/>
    <s v="Проживание в гостинице"/>
    <s v="ДИТ"/>
    <m/>
    <m/>
    <m/>
    <m/>
    <m/>
    <m/>
    <m/>
    <m/>
    <m/>
    <m/>
    <m/>
    <m/>
    <m/>
    <n v="0"/>
    <m/>
    <m/>
    <m/>
    <m/>
    <m/>
    <m/>
    <m/>
    <m/>
    <m/>
    <m/>
    <m/>
    <m/>
    <n v="0"/>
    <m/>
    <m/>
    <m/>
    <m/>
    <m/>
    <m/>
    <m/>
    <m/>
    <m/>
    <m/>
    <m/>
    <m/>
    <n v="0"/>
    <m/>
    <m/>
    <m/>
    <m/>
    <m/>
    <m/>
    <m/>
    <m/>
    <m/>
    <m/>
    <m/>
    <m/>
    <n v="0"/>
    <m/>
    <m/>
    <m/>
    <m/>
    <m/>
    <m/>
    <m/>
    <m/>
    <m/>
    <m/>
    <m/>
    <m/>
    <n v="0"/>
    <n v="0"/>
  </r>
  <r>
    <m/>
    <m/>
    <x v="1"/>
    <m/>
    <s v="Аренда квартиры"/>
    <s v="ДИТ"/>
    <m/>
    <m/>
    <m/>
    <m/>
    <m/>
    <m/>
    <m/>
    <m/>
    <m/>
    <m/>
    <m/>
    <m/>
    <m/>
    <n v="0"/>
    <m/>
    <m/>
    <m/>
    <m/>
    <m/>
    <m/>
    <m/>
    <m/>
    <m/>
    <m/>
    <m/>
    <m/>
    <n v="0"/>
    <m/>
    <m/>
    <m/>
    <m/>
    <m/>
    <m/>
    <m/>
    <m/>
    <m/>
    <m/>
    <m/>
    <m/>
    <n v="0"/>
    <m/>
    <m/>
    <m/>
    <m/>
    <m/>
    <m/>
    <m/>
    <m/>
    <m/>
    <m/>
    <m/>
    <m/>
    <n v="0"/>
    <m/>
    <m/>
    <m/>
    <m/>
    <m/>
    <m/>
    <m/>
    <m/>
    <m/>
    <m/>
    <m/>
    <m/>
    <n v="0"/>
    <n v="0"/>
  </r>
  <r>
    <m/>
    <m/>
    <x v="1"/>
    <m/>
    <s v="Суточные"/>
    <s v="ДИТ"/>
    <m/>
    <m/>
    <m/>
    <m/>
    <m/>
    <m/>
    <m/>
    <m/>
    <m/>
    <m/>
    <m/>
    <m/>
    <m/>
    <n v="0"/>
    <m/>
    <m/>
    <m/>
    <m/>
    <m/>
    <m/>
    <m/>
    <m/>
    <m/>
    <m/>
    <m/>
    <m/>
    <n v="0"/>
    <m/>
    <m/>
    <m/>
    <m/>
    <m/>
    <m/>
    <m/>
    <m/>
    <m/>
    <m/>
    <m/>
    <m/>
    <n v="0"/>
    <m/>
    <m/>
    <m/>
    <m/>
    <m/>
    <m/>
    <m/>
    <m/>
    <m/>
    <m/>
    <m/>
    <m/>
    <n v="0"/>
    <m/>
    <m/>
    <m/>
    <m/>
    <m/>
    <m/>
    <m/>
    <m/>
    <m/>
    <m/>
    <m/>
    <m/>
    <n v="0"/>
    <n v="0"/>
  </r>
  <r>
    <m/>
    <m/>
    <x v="1"/>
    <m/>
    <s v="Прочие"/>
    <s v="ДИТ"/>
    <m/>
    <m/>
    <m/>
    <m/>
    <m/>
    <m/>
    <m/>
    <m/>
    <m/>
    <m/>
    <m/>
    <m/>
    <m/>
    <n v="0"/>
    <m/>
    <m/>
    <m/>
    <m/>
    <m/>
    <m/>
    <m/>
    <m/>
    <m/>
    <m/>
    <m/>
    <m/>
    <n v="0"/>
    <m/>
    <m/>
    <m/>
    <m/>
    <m/>
    <m/>
    <m/>
    <m/>
    <m/>
    <m/>
    <m/>
    <m/>
    <n v="0"/>
    <m/>
    <m/>
    <m/>
    <m/>
    <m/>
    <m/>
    <m/>
    <m/>
    <m/>
    <m/>
    <m/>
    <m/>
    <n v="0"/>
    <m/>
    <m/>
    <m/>
    <m/>
    <m/>
    <m/>
    <m/>
    <m/>
    <m/>
    <m/>
    <m/>
    <m/>
    <n v="0"/>
    <n v="0"/>
  </r>
  <r>
    <m/>
    <m/>
    <x v="1"/>
    <m/>
    <s v="Проезд"/>
    <m/>
    <m/>
    <m/>
    <m/>
    <m/>
    <m/>
    <m/>
    <m/>
    <m/>
    <m/>
    <m/>
    <m/>
    <m/>
    <m/>
    <n v="0"/>
    <m/>
    <m/>
    <m/>
    <m/>
    <m/>
    <m/>
    <m/>
    <m/>
    <m/>
    <m/>
    <m/>
    <m/>
    <n v="0"/>
    <m/>
    <m/>
    <m/>
    <m/>
    <m/>
    <m/>
    <m/>
    <m/>
    <m/>
    <m/>
    <m/>
    <m/>
    <n v="0"/>
    <m/>
    <m/>
    <m/>
    <m/>
    <m/>
    <m/>
    <m/>
    <m/>
    <m/>
    <m/>
    <m/>
    <m/>
    <n v="0"/>
    <m/>
    <m/>
    <m/>
    <m/>
    <m/>
    <m/>
    <m/>
    <m/>
    <m/>
    <m/>
    <m/>
    <m/>
    <n v="0"/>
    <n v="0"/>
  </r>
  <r>
    <m/>
    <m/>
    <x v="1"/>
    <m/>
    <s v="Проживание в гостинице"/>
    <m/>
    <m/>
    <m/>
    <m/>
    <m/>
    <m/>
    <m/>
    <m/>
    <m/>
    <m/>
    <m/>
    <m/>
    <m/>
    <m/>
    <n v="0"/>
    <m/>
    <m/>
    <m/>
    <m/>
    <m/>
    <m/>
    <m/>
    <m/>
    <m/>
    <m/>
    <m/>
    <m/>
    <n v="0"/>
    <m/>
    <m/>
    <m/>
    <m/>
    <m/>
    <m/>
    <m/>
    <m/>
    <m/>
    <m/>
    <m/>
    <m/>
    <n v="0"/>
    <m/>
    <m/>
    <m/>
    <m/>
    <m/>
    <m/>
    <m/>
    <m/>
    <m/>
    <m/>
    <m/>
    <m/>
    <n v="0"/>
    <m/>
    <m/>
    <m/>
    <m/>
    <m/>
    <m/>
    <m/>
    <m/>
    <m/>
    <m/>
    <m/>
    <m/>
    <n v="0"/>
    <n v="0"/>
  </r>
  <r>
    <m/>
    <m/>
    <x v="1"/>
    <m/>
    <s v="Аренда квартиры"/>
    <m/>
    <m/>
    <m/>
    <m/>
    <m/>
    <m/>
    <m/>
    <m/>
    <m/>
    <m/>
    <m/>
    <m/>
    <m/>
    <m/>
    <n v="0"/>
    <m/>
    <m/>
    <m/>
    <m/>
    <m/>
    <m/>
    <m/>
    <m/>
    <m/>
    <m/>
    <m/>
    <m/>
    <n v="0"/>
    <m/>
    <m/>
    <m/>
    <m/>
    <m/>
    <m/>
    <m/>
    <m/>
    <m/>
    <m/>
    <m/>
    <m/>
    <n v="0"/>
    <m/>
    <m/>
    <m/>
    <m/>
    <m/>
    <m/>
    <m/>
    <m/>
    <m/>
    <m/>
    <m/>
    <m/>
    <n v="0"/>
    <m/>
    <m/>
    <m/>
    <m/>
    <m/>
    <m/>
    <m/>
    <m/>
    <m/>
    <m/>
    <m/>
    <m/>
    <n v="0"/>
    <n v="0"/>
  </r>
  <r>
    <m/>
    <m/>
    <x v="1"/>
    <m/>
    <s v="Суточные"/>
    <m/>
    <m/>
    <m/>
    <m/>
    <m/>
    <m/>
    <m/>
    <m/>
    <m/>
    <m/>
    <m/>
    <m/>
    <m/>
    <m/>
    <n v="0"/>
    <m/>
    <m/>
    <m/>
    <m/>
    <m/>
    <m/>
    <m/>
    <m/>
    <m/>
    <m/>
    <m/>
    <m/>
    <n v="0"/>
    <m/>
    <m/>
    <m/>
    <m/>
    <m/>
    <m/>
    <m/>
    <m/>
    <m/>
    <m/>
    <m/>
    <m/>
    <n v="0"/>
    <m/>
    <m/>
    <m/>
    <m/>
    <m/>
    <m/>
    <m/>
    <m/>
    <m/>
    <m/>
    <m/>
    <m/>
    <n v="0"/>
    <m/>
    <m/>
    <m/>
    <m/>
    <m/>
    <m/>
    <m/>
    <m/>
    <m/>
    <m/>
    <m/>
    <m/>
    <n v="0"/>
    <n v="0"/>
  </r>
  <r>
    <m/>
    <m/>
    <x v="1"/>
    <m/>
    <s v="Прочие"/>
    <m/>
    <m/>
    <m/>
    <m/>
    <m/>
    <m/>
    <m/>
    <m/>
    <m/>
    <m/>
    <m/>
    <m/>
    <m/>
    <m/>
    <n v="0"/>
    <m/>
    <m/>
    <m/>
    <m/>
    <m/>
    <m/>
    <m/>
    <m/>
    <m/>
    <m/>
    <m/>
    <m/>
    <n v="0"/>
    <m/>
    <m/>
    <m/>
    <m/>
    <m/>
    <m/>
    <m/>
    <m/>
    <m/>
    <m/>
    <m/>
    <m/>
    <n v="0"/>
    <m/>
    <m/>
    <m/>
    <m/>
    <m/>
    <m/>
    <m/>
    <m/>
    <m/>
    <m/>
    <m/>
    <m/>
    <n v="0"/>
    <m/>
    <m/>
    <m/>
    <m/>
    <m/>
    <m/>
    <m/>
    <m/>
    <m/>
    <m/>
    <m/>
    <m/>
    <n v="0"/>
    <n v="0"/>
  </r>
  <r>
    <s v="Итого по этапу №6:"/>
    <m/>
    <x v="0"/>
    <m/>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Итого по проекту:"/>
    <m/>
    <x v="0"/>
    <m/>
    <m/>
    <m/>
    <n v="0"/>
    <n v="0"/>
    <n v="0"/>
    <n v="0"/>
    <n v="0"/>
    <n v="0"/>
    <n v="0"/>
    <n v="0"/>
    <n v="0"/>
    <n v="0"/>
    <n v="0"/>
    <n v="0"/>
    <n v="0"/>
    <n v="0"/>
    <n v="0"/>
    <n v="0"/>
    <n v="0"/>
    <n v="200000"/>
    <n v="0"/>
    <n v="400000"/>
    <n v="0"/>
    <n v="0"/>
    <n v="0"/>
    <n v="0"/>
    <n v="0"/>
    <n v="0"/>
    <n v="600000"/>
    <n v="200000"/>
    <n v="200000"/>
    <n v="0"/>
    <n v="0"/>
    <n v="0"/>
    <n v="200000"/>
    <n v="0"/>
    <n v="0"/>
    <n v="0"/>
    <n v="0"/>
    <n v="0"/>
    <n v="0"/>
    <n v="600000"/>
    <n v="0"/>
    <n v="0"/>
    <n v="0"/>
    <n v="0"/>
    <n v="0"/>
    <n v="0"/>
    <n v="0"/>
    <n v="0"/>
    <n v="0"/>
    <n v="0"/>
    <n v="0"/>
    <n v="0"/>
    <n v="0"/>
    <n v="0"/>
    <n v="0"/>
    <n v="0"/>
    <n v="0"/>
    <n v="0"/>
    <n v="0"/>
    <n v="0"/>
    <n v="0"/>
    <n v="0"/>
    <n v="0"/>
    <n v="0"/>
    <n v="0"/>
    <n v="0"/>
    <n v="1200000"/>
  </r>
</pivotCacheRecords>
</file>

<file path=xl/pivotCache/pivotCacheRecords5.xml><?xml version="1.0" encoding="utf-8"?>
<pivotCacheRecords xmlns="http://schemas.openxmlformats.org/spreadsheetml/2006/main" xmlns:r="http://schemas.openxmlformats.org/officeDocument/2006/relationships" count="108">
  <r>
    <s v="3."/>
    <s v="Фаза 2. Планирование. Этап № 3.Изучение и детализация "/>
    <m/>
    <m/>
    <x v="0"/>
    <m/>
    <m/>
    <m/>
    <m/>
    <m/>
    <m/>
    <m/>
    <m/>
    <m/>
    <m/>
    <m/>
    <m/>
    <x v="0"/>
    <m/>
    <m/>
    <m/>
    <m/>
    <m/>
    <m/>
    <m/>
    <m/>
    <m/>
    <m/>
    <m/>
    <m/>
    <m/>
    <m/>
    <m/>
    <m/>
    <m/>
    <m/>
    <m/>
    <m/>
    <m/>
    <m/>
    <m/>
    <m/>
    <m/>
    <m/>
    <m/>
    <m/>
    <m/>
    <m/>
    <m/>
    <m/>
    <m/>
    <m/>
    <m/>
    <m/>
    <m/>
    <m/>
    <m/>
    <m/>
    <m/>
    <m/>
    <m/>
    <m/>
    <m/>
    <m/>
    <m/>
    <m/>
    <m/>
    <m/>
    <m/>
    <m/>
    <m/>
    <m/>
    <m/>
    <m/>
    <m/>
    <m/>
    <m/>
    <m/>
    <m/>
    <m/>
    <m/>
    <m/>
    <m/>
    <m/>
    <m/>
    <m/>
    <m/>
    <m/>
    <m/>
    <m/>
    <m/>
    <m/>
    <m/>
    <m/>
    <m/>
    <m/>
    <m/>
    <m/>
    <m/>
  </r>
  <r>
    <s v="13.3.01"/>
    <s v="Управление ИТ-инициативой"/>
    <s v="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2"/>
    <s v="Администрирование ИТ-инициативы"/>
    <s v="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
    <m/>
    <x v="1"/>
    <m/>
    <m/>
    <m/>
    <m/>
    <m/>
    <m/>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3"/>
    <s v="Разработка и согласование Функционально-технических требований"/>
    <s v="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4"/>
    <s v="Проведение анализа рынка по реализации ИТ-проекта"/>
    <s v="Проведение анализа рынка, оценки потенциальных поставщиков и стоимости услуг по реализации ИТ-проекта"/>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5"/>
    <s v="Архитектурная проработка ИТ-инициативы"/>
    <s v="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6"/>
    <s v="Принятие решения по архитектуре системы"/>
    <s v="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7"/>
    <s v="Разработка и согласование Детального ресурного плана на ИТ-проект"/>
    <s v="Разработка и согласование Детального ресурного плана на ИТ-проект (на фазы &quot;Реализация&quot; и &quot;Завершение&quot;)"/>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8"/>
    <s v="Разработка и согласование комплекта документов для ИК/ИПК на ИТ- проект"/>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3.09"/>
    <s v="Защита бюджета и параметров ИТ-проекта"/>
    <s v="Защита бюджета и параметров ИТ-проекта  (на фазы &quot;Реализация&quot;и &quot;Завершение&quot;)"/>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Итого по этапу №3:"/>
    <m/>
    <m/>
    <m/>
    <x v="0"/>
    <m/>
    <m/>
    <m/>
    <m/>
    <m/>
    <m/>
    <m/>
    <m/>
    <m/>
    <m/>
    <m/>
    <s v=""/>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5."/>
    <s v="Фаза  3. Реализация.  Этап № 5. Реализация "/>
    <m/>
    <m/>
    <x v="0"/>
    <m/>
    <m/>
    <m/>
    <m/>
    <m/>
    <m/>
    <m/>
    <m/>
    <m/>
    <m/>
    <m/>
    <s v=""/>
    <x v="0"/>
    <m/>
    <m/>
    <m/>
    <m/>
    <m/>
    <m/>
    <m/>
    <m/>
    <m/>
    <m/>
    <m/>
    <m/>
    <m/>
    <m/>
    <m/>
    <m/>
    <m/>
    <m/>
    <m/>
    <m/>
    <m/>
    <m/>
    <m/>
    <m/>
    <m/>
    <m/>
    <m/>
    <m/>
    <m/>
    <m/>
    <m/>
    <m/>
    <m/>
    <m/>
    <m/>
    <m/>
    <m/>
    <m/>
    <m/>
    <m/>
    <m/>
    <m/>
    <m/>
    <m/>
    <m/>
    <m/>
    <m/>
    <m/>
    <m/>
    <m/>
    <m/>
    <m/>
    <m/>
    <m/>
    <m/>
    <m/>
    <m/>
    <m/>
    <m/>
    <m/>
    <m/>
    <m/>
    <m/>
    <m/>
    <m/>
    <m/>
    <m/>
    <m/>
    <m/>
    <m/>
    <m/>
    <m/>
    <m/>
    <m/>
    <m/>
    <m/>
    <m/>
    <m/>
    <m/>
    <m/>
    <m/>
  </r>
  <r>
    <s v="13.5.01"/>
    <s v="Управление ИТ-проектом"/>
    <s v="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
    <s v="Данные работы включены в состав других работ"/>
    <x v="2"/>
    <m/>
    <m/>
    <m/>
    <m/>
    <m/>
    <s v=" "/>
    <m/>
    <m/>
    <m/>
    <m/>
    <s v="ДИТ"/>
    <m/>
    <x v="0"/>
    <m/>
    <m/>
    <n v="0"/>
    <m/>
    <m/>
    <m/>
    <m/>
    <m/>
    <m/>
    <m/>
    <m/>
    <m/>
    <m/>
    <m/>
    <m/>
    <m/>
    <n v="0"/>
    <n v="0"/>
    <m/>
    <m/>
    <m/>
    <m/>
    <m/>
    <m/>
    <m/>
    <m/>
    <m/>
    <m/>
    <m/>
    <m/>
    <m/>
    <n v="0"/>
    <n v="0"/>
    <m/>
    <m/>
    <m/>
    <m/>
    <m/>
    <m/>
    <m/>
    <m/>
    <m/>
    <m/>
    <m/>
    <m/>
    <m/>
    <n v="0"/>
    <n v="0"/>
    <m/>
    <m/>
    <m/>
    <m/>
    <m/>
    <m/>
    <m/>
    <m/>
    <m/>
    <m/>
    <m/>
    <m/>
    <m/>
    <n v="0"/>
    <n v="0"/>
    <m/>
    <m/>
    <m/>
    <m/>
    <m/>
    <m/>
    <m/>
    <m/>
    <m/>
    <m/>
    <m/>
    <m/>
    <m/>
    <n v="0"/>
    <n v="0"/>
    <n v="0"/>
    <n v="0"/>
    <n v="0"/>
  </r>
  <r>
    <m/>
    <m/>
    <m/>
    <s v="Данные работы включен в состав других работ"/>
    <x v="2"/>
    <m/>
    <m/>
    <m/>
    <m/>
    <m/>
    <s v=" "/>
    <m/>
    <m/>
    <m/>
    <m/>
    <s v="ДИТ"/>
    <m/>
    <x v="0"/>
    <m/>
    <m/>
    <n v="0"/>
    <m/>
    <m/>
    <m/>
    <m/>
    <m/>
    <m/>
    <m/>
    <m/>
    <m/>
    <m/>
    <m/>
    <m/>
    <m/>
    <n v="0"/>
    <n v="0"/>
    <m/>
    <m/>
    <m/>
    <m/>
    <m/>
    <m/>
    <m/>
    <m/>
    <m/>
    <m/>
    <m/>
    <m/>
    <m/>
    <n v="0"/>
    <n v="0"/>
    <m/>
    <m/>
    <m/>
    <m/>
    <m/>
    <m/>
    <m/>
    <m/>
    <m/>
    <m/>
    <m/>
    <m/>
    <m/>
    <n v="0"/>
    <n v="0"/>
    <m/>
    <m/>
    <m/>
    <m/>
    <m/>
    <m/>
    <m/>
    <m/>
    <m/>
    <m/>
    <m/>
    <m/>
    <m/>
    <n v="0"/>
    <n v="0"/>
    <m/>
    <m/>
    <m/>
    <m/>
    <m/>
    <m/>
    <m/>
    <m/>
    <m/>
    <m/>
    <m/>
    <m/>
    <m/>
    <n v="0"/>
    <n v="0"/>
    <n v="0"/>
    <n v="0"/>
    <n v="0"/>
  </r>
  <r>
    <s v="13.05.02"/>
    <s v="Администрирование ИТ-проекта"/>
    <s v="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03"/>
    <s v="Проведение дообследования предметной области"/>
    <s v="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quot;as is&quot;)"/>
    <m/>
    <x v="2"/>
    <m/>
    <m/>
    <m/>
    <d v="2018-07-15T00:00:00"/>
    <n v="30"/>
    <d v="2018-08-14T00:00:00"/>
    <m/>
    <m/>
    <m/>
    <m/>
    <s v="ДИТ"/>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s v="ДИТ"/>
    <m/>
    <x v="0"/>
    <m/>
    <m/>
    <n v="0"/>
    <m/>
    <m/>
    <m/>
    <m/>
    <m/>
    <m/>
    <m/>
    <m/>
    <m/>
    <m/>
    <m/>
    <m/>
    <m/>
    <n v="0"/>
    <n v="0"/>
    <m/>
    <m/>
    <m/>
    <m/>
    <m/>
    <m/>
    <m/>
    <m/>
    <m/>
    <m/>
    <m/>
    <m/>
    <m/>
    <n v="0"/>
    <n v="0"/>
    <m/>
    <m/>
    <m/>
    <m/>
    <m/>
    <m/>
    <m/>
    <m/>
    <m/>
    <m/>
    <m/>
    <m/>
    <m/>
    <n v="0"/>
    <n v="0"/>
    <m/>
    <m/>
    <m/>
    <m/>
    <m/>
    <m/>
    <m/>
    <m/>
    <m/>
    <m/>
    <m/>
    <m/>
    <m/>
    <n v="0"/>
    <n v="0"/>
    <m/>
    <m/>
    <m/>
    <m/>
    <m/>
    <m/>
    <m/>
    <m/>
    <m/>
    <m/>
    <m/>
    <m/>
    <m/>
    <n v="0"/>
    <n v="0"/>
    <n v="0"/>
    <n v="0"/>
    <n v="0"/>
  </r>
  <r>
    <s v="13.5.04"/>
    <s v="Разработка и согласование Технического задания"/>
    <s v="Разработка и согласование Технического задания"/>
    <m/>
    <x v="2"/>
    <m/>
    <m/>
    <m/>
    <d v="2018-07-15T00:00:00"/>
    <n v="30"/>
    <d v="2018-08-14T00:00:00"/>
    <m/>
    <m/>
    <m/>
    <m/>
    <s v="ДИТ"/>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s v="ДИТ"/>
    <m/>
    <x v="0"/>
    <m/>
    <m/>
    <n v="0"/>
    <m/>
    <m/>
    <m/>
    <m/>
    <m/>
    <m/>
    <m/>
    <m/>
    <m/>
    <m/>
    <m/>
    <m/>
    <m/>
    <n v="0"/>
    <n v="0"/>
    <m/>
    <m/>
    <m/>
    <m/>
    <m/>
    <m/>
    <m/>
    <m/>
    <m/>
    <m/>
    <m/>
    <m/>
    <m/>
    <n v="0"/>
    <n v="0"/>
    <m/>
    <m/>
    <m/>
    <m/>
    <m/>
    <m/>
    <m/>
    <m/>
    <m/>
    <m/>
    <m/>
    <m/>
    <m/>
    <n v="0"/>
    <n v="0"/>
    <m/>
    <m/>
    <m/>
    <m/>
    <m/>
    <m/>
    <m/>
    <m/>
    <m/>
    <m/>
    <m/>
    <m/>
    <m/>
    <n v="0"/>
    <n v="0"/>
    <m/>
    <m/>
    <m/>
    <m/>
    <m/>
    <m/>
    <m/>
    <m/>
    <m/>
    <m/>
    <m/>
    <m/>
    <m/>
    <n v="0"/>
    <n v="0"/>
    <n v="0"/>
    <n v="0"/>
    <n v="0"/>
  </r>
  <r>
    <s v="13.5.05"/>
    <s v="Разработка и согласование документации технического проекта "/>
    <s v="Разработка и согласование документации технического проекта (включая, но не ограничиваясь:  Концептуальный проект / Проектные решения)"/>
    <m/>
    <x v="2"/>
    <m/>
    <m/>
    <m/>
    <d v="2018-07-15T00:00:00"/>
    <n v="30"/>
    <d v="2018-08-14T00:00:00"/>
    <m/>
    <m/>
    <m/>
    <m/>
    <s v="ДИТ"/>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s v="ДИТ"/>
    <m/>
    <x v="0"/>
    <m/>
    <m/>
    <n v="0"/>
    <m/>
    <m/>
    <m/>
    <m/>
    <m/>
    <m/>
    <m/>
    <m/>
    <m/>
    <m/>
    <m/>
    <m/>
    <m/>
    <n v="0"/>
    <n v="0"/>
    <m/>
    <m/>
    <m/>
    <m/>
    <m/>
    <m/>
    <m/>
    <m/>
    <m/>
    <m/>
    <m/>
    <m/>
    <m/>
    <n v="0"/>
    <n v="0"/>
    <m/>
    <m/>
    <m/>
    <m/>
    <m/>
    <m/>
    <m/>
    <m/>
    <m/>
    <m/>
    <m/>
    <m/>
    <m/>
    <n v="0"/>
    <n v="0"/>
    <m/>
    <m/>
    <m/>
    <m/>
    <m/>
    <m/>
    <m/>
    <m/>
    <m/>
    <m/>
    <m/>
    <m/>
    <m/>
    <n v="0"/>
    <n v="0"/>
    <m/>
    <m/>
    <m/>
    <m/>
    <m/>
    <m/>
    <m/>
    <m/>
    <m/>
    <m/>
    <m/>
    <m/>
    <m/>
    <n v="0"/>
    <n v="0"/>
    <n v="0"/>
    <n v="0"/>
    <n v="0"/>
  </r>
  <r>
    <s v="13.5.06"/>
    <s v="Разработка и согласование комплекта документации Технического проекта по ГОСТ 34"/>
    <s v="Разработка и согласование комплекта документации Технического проекта в соответствии с требованиями ГОСТ 34"/>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07"/>
    <s v="Разработка описаний автоматизируемых бизнес-процессов и моделей в ARIS (модель &quot;to be&quot;)"/>
    <s v="Разработка описаний автомтаизируемых бизнес-процессов и моделей в ARIS (модель &quot;to be&quot;)"/>
    <m/>
    <x v="2"/>
    <m/>
    <m/>
    <m/>
    <d v="2018-07-15T00:00:00"/>
    <n v="30"/>
    <d v="2018-08-14T00:00:00"/>
    <m/>
    <m/>
    <m/>
    <m/>
    <s v="ДИТ"/>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s v="ДИТ"/>
    <m/>
    <x v="0"/>
    <m/>
    <m/>
    <n v="0"/>
    <m/>
    <m/>
    <m/>
    <m/>
    <m/>
    <m/>
    <m/>
    <m/>
    <m/>
    <m/>
    <m/>
    <m/>
    <m/>
    <n v="0"/>
    <n v="0"/>
    <m/>
    <m/>
    <m/>
    <m/>
    <m/>
    <m/>
    <m/>
    <m/>
    <m/>
    <m/>
    <m/>
    <m/>
    <m/>
    <n v="0"/>
    <n v="0"/>
    <m/>
    <m/>
    <m/>
    <m/>
    <m/>
    <m/>
    <m/>
    <m/>
    <m/>
    <m/>
    <m/>
    <m/>
    <m/>
    <n v="0"/>
    <n v="0"/>
    <m/>
    <m/>
    <m/>
    <m/>
    <m/>
    <m/>
    <m/>
    <m/>
    <m/>
    <m/>
    <m/>
    <m/>
    <m/>
    <n v="0"/>
    <n v="0"/>
    <m/>
    <m/>
    <m/>
    <m/>
    <m/>
    <m/>
    <m/>
    <m/>
    <m/>
    <m/>
    <m/>
    <m/>
    <m/>
    <n v="0"/>
    <n v="0"/>
    <n v="0"/>
    <n v="0"/>
    <n v="0"/>
  </r>
  <r>
    <s v="13.5.08"/>
    <s v="Разработка и настройка системы"/>
    <s v="Разработка и настройка системы"/>
    <m/>
    <x v="2"/>
    <m/>
    <m/>
    <m/>
    <d v="2018-11-15T00:00:00"/>
    <n v="30"/>
    <d v="2018-12-15T00:00:00"/>
    <m/>
    <m/>
    <m/>
    <m/>
    <s v="ДИТ"/>
    <n v="1988500"/>
    <x v="0"/>
    <m/>
    <m/>
    <n v="0"/>
    <m/>
    <m/>
    <m/>
    <m/>
    <m/>
    <m/>
    <m/>
    <m/>
    <m/>
    <m/>
    <m/>
    <m/>
    <m/>
    <n v="0"/>
    <n v="0"/>
    <m/>
    <m/>
    <m/>
    <m/>
    <m/>
    <m/>
    <n v="1"/>
    <n v="1"/>
    <n v="1"/>
    <n v="1"/>
    <m/>
    <m/>
    <m/>
    <n v="4"/>
    <n v="7954000"/>
    <m/>
    <m/>
    <m/>
    <m/>
    <m/>
    <m/>
    <m/>
    <m/>
    <m/>
    <m/>
    <m/>
    <m/>
    <m/>
    <n v="0"/>
    <n v="0"/>
    <m/>
    <m/>
    <m/>
    <m/>
    <m/>
    <m/>
    <m/>
    <m/>
    <m/>
    <m/>
    <m/>
    <m/>
    <m/>
    <n v="0"/>
    <n v="0"/>
    <m/>
    <m/>
    <m/>
    <m/>
    <m/>
    <m/>
    <m/>
    <m/>
    <m/>
    <m/>
    <m/>
    <m/>
    <m/>
    <n v="0"/>
    <n v="0"/>
    <n v="0"/>
    <n v="4"/>
    <n v="7954000"/>
  </r>
  <r>
    <m/>
    <m/>
    <m/>
    <m/>
    <x v="2"/>
    <m/>
    <m/>
    <m/>
    <m/>
    <m/>
    <s v=" "/>
    <m/>
    <m/>
    <m/>
    <m/>
    <s v="ДИТ"/>
    <m/>
    <x v="0"/>
    <m/>
    <m/>
    <n v="0"/>
    <m/>
    <m/>
    <m/>
    <m/>
    <m/>
    <m/>
    <m/>
    <m/>
    <m/>
    <m/>
    <m/>
    <m/>
    <m/>
    <n v="0"/>
    <n v="0"/>
    <m/>
    <m/>
    <m/>
    <m/>
    <m/>
    <m/>
    <m/>
    <m/>
    <m/>
    <m/>
    <m/>
    <m/>
    <m/>
    <n v="0"/>
    <n v="0"/>
    <m/>
    <m/>
    <m/>
    <m/>
    <m/>
    <m/>
    <m/>
    <m/>
    <m/>
    <m/>
    <m/>
    <m/>
    <m/>
    <n v="0"/>
    <n v="0"/>
    <m/>
    <m/>
    <m/>
    <m/>
    <m/>
    <m/>
    <m/>
    <m/>
    <m/>
    <m/>
    <m/>
    <m/>
    <m/>
    <n v="0"/>
    <n v="0"/>
    <m/>
    <m/>
    <m/>
    <m/>
    <m/>
    <m/>
    <m/>
    <m/>
    <m/>
    <m/>
    <m/>
    <m/>
    <m/>
    <n v="0"/>
    <n v="0"/>
    <n v="0"/>
    <n v="0"/>
    <n v="0"/>
  </r>
  <r>
    <s v="13.5.09"/>
    <s v="Тестирование системы, проведение ОЭ"/>
    <s v="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
    <m/>
    <x v="2"/>
    <m/>
    <m/>
    <m/>
    <d v="2019-01-15T00:00:00"/>
    <n v="30"/>
    <d v="2019-02-14T00:00:00"/>
    <m/>
    <m/>
    <m/>
    <m/>
    <s v="ДИТ"/>
    <n v="377750"/>
    <x v="0"/>
    <m/>
    <m/>
    <n v="0"/>
    <m/>
    <m/>
    <m/>
    <m/>
    <m/>
    <m/>
    <m/>
    <m/>
    <m/>
    <m/>
    <m/>
    <m/>
    <m/>
    <n v="0"/>
    <n v="0"/>
    <m/>
    <m/>
    <m/>
    <m/>
    <m/>
    <m/>
    <m/>
    <m/>
    <m/>
    <m/>
    <n v="1"/>
    <n v="1"/>
    <m/>
    <n v="2"/>
    <n v="755500"/>
    <m/>
    <m/>
    <m/>
    <m/>
    <m/>
    <m/>
    <m/>
    <m/>
    <m/>
    <m/>
    <m/>
    <m/>
    <m/>
    <n v="0"/>
    <n v="0"/>
    <m/>
    <m/>
    <m/>
    <m/>
    <m/>
    <m/>
    <m/>
    <m/>
    <m/>
    <m/>
    <m/>
    <m/>
    <m/>
    <n v="0"/>
    <n v="0"/>
    <m/>
    <m/>
    <m/>
    <m/>
    <m/>
    <m/>
    <m/>
    <m/>
    <m/>
    <m/>
    <m/>
    <m/>
    <m/>
    <n v="0"/>
    <n v="0"/>
    <n v="0"/>
    <n v="2"/>
    <n v="755500"/>
  </r>
  <r>
    <m/>
    <m/>
    <m/>
    <m/>
    <x v="2"/>
    <m/>
    <m/>
    <m/>
    <m/>
    <m/>
    <s v=" "/>
    <m/>
    <m/>
    <m/>
    <m/>
    <s v="ДИТ"/>
    <m/>
    <x v="0"/>
    <m/>
    <m/>
    <n v="0"/>
    <m/>
    <m/>
    <m/>
    <m/>
    <m/>
    <m/>
    <m/>
    <m/>
    <m/>
    <m/>
    <m/>
    <m/>
    <m/>
    <n v="0"/>
    <n v="0"/>
    <m/>
    <m/>
    <m/>
    <m/>
    <m/>
    <m/>
    <m/>
    <m/>
    <m/>
    <m/>
    <m/>
    <m/>
    <m/>
    <n v="0"/>
    <n v="0"/>
    <m/>
    <m/>
    <m/>
    <m/>
    <m/>
    <m/>
    <m/>
    <m/>
    <m/>
    <m/>
    <m/>
    <m/>
    <m/>
    <n v="0"/>
    <n v="0"/>
    <m/>
    <m/>
    <m/>
    <m/>
    <m/>
    <m/>
    <m/>
    <m/>
    <m/>
    <m/>
    <m/>
    <m/>
    <m/>
    <n v="0"/>
    <n v="0"/>
    <m/>
    <m/>
    <m/>
    <m/>
    <m/>
    <m/>
    <m/>
    <m/>
    <m/>
    <m/>
    <m/>
    <m/>
    <m/>
    <n v="0"/>
    <n v="0"/>
    <n v="0"/>
    <n v="0"/>
    <n v="0"/>
  </r>
  <r>
    <s v="13.5.10"/>
    <s v="Проведение испытаний системы по ГОСТ 34"/>
    <s v="Проведение испытаний системы в соответствии с требованиями ГОСТ 34, оформление Протоколов/Актов испытаний и реестров замечаний"/>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11"/>
    <s v="Доработка и донастройка системы"/>
    <s v="Доработка и донастройка системы по результатам проведенных тестирований/испытаний и ОПЭ (отработка выявленных замечаний)"/>
    <m/>
    <x v="2"/>
    <m/>
    <m/>
    <m/>
    <d v="2019-01-15T00:00:00"/>
    <n v="30"/>
    <d v="2019-02-14T00:00:00"/>
    <m/>
    <m/>
    <m/>
    <m/>
    <s v="ДИТ"/>
    <n v="377750"/>
    <x v="0"/>
    <m/>
    <m/>
    <n v="0"/>
    <m/>
    <m/>
    <m/>
    <m/>
    <m/>
    <m/>
    <m/>
    <m/>
    <m/>
    <m/>
    <m/>
    <m/>
    <m/>
    <n v="0"/>
    <n v="0"/>
    <m/>
    <m/>
    <m/>
    <m/>
    <m/>
    <m/>
    <m/>
    <m/>
    <m/>
    <m/>
    <n v="1"/>
    <n v="1"/>
    <m/>
    <n v="2"/>
    <n v="755500"/>
    <m/>
    <m/>
    <m/>
    <m/>
    <m/>
    <m/>
    <m/>
    <m/>
    <m/>
    <m/>
    <m/>
    <m/>
    <m/>
    <n v="0"/>
    <n v="0"/>
    <m/>
    <m/>
    <m/>
    <m/>
    <m/>
    <m/>
    <m/>
    <m/>
    <m/>
    <m/>
    <m/>
    <m/>
    <m/>
    <n v="0"/>
    <n v="0"/>
    <m/>
    <m/>
    <m/>
    <m/>
    <m/>
    <m/>
    <m/>
    <m/>
    <m/>
    <m/>
    <m/>
    <m/>
    <m/>
    <n v="0"/>
    <n v="0"/>
    <n v="0"/>
    <n v="2"/>
    <n v="755500"/>
  </r>
  <r>
    <m/>
    <m/>
    <m/>
    <m/>
    <x v="2"/>
    <m/>
    <m/>
    <m/>
    <m/>
    <m/>
    <s v=" "/>
    <m/>
    <m/>
    <m/>
    <m/>
    <s v="ДИТ"/>
    <m/>
    <x v="0"/>
    <m/>
    <m/>
    <n v="0"/>
    <m/>
    <m/>
    <m/>
    <m/>
    <m/>
    <m/>
    <m/>
    <m/>
    <m/>
    <m/>
    <m/>
    <m/>
    <m/>
    <n v="0"/>
    <n v="0"/>
    <m/>
    <m/>
    <m/>
    <m/>
    <m/>
    <m/>
    <m/>
    <m/>
    <m/>
    <m/>
    <m/>
    <m/>
    <m/>
    <n v="0"/>
    <n v="0"/>
    <m/>
    <m/>
    <m/>
    <m/>
    <m/>
    <m/>
    <m/>
    <m/>
    <m/>
    <m/>
    <m/>
    <m/>
    <m/>
    <n v="0"/>
    <n v="0"/>
    <m/>
    <m/>
    <m/>
    <m/>
    <m/>
    <m/>
    <m/>
    <m/>
    <m/>
    <m/>
    <m/>
    <m/>
    <m/>
    <n v="0"/>
    <n v="0"/>
    <m/>
    <m/>
    <m/>
    <m/>
    <m/>
    <m/>
    <m/>
    <m/>
    <m/>
    <m/>
    <m/>
    <m/>
    <m/>
    <n v="0"/>
    <n v="0"/>
    <n v="0"/>
    <n v="0"/>
    <n v="0"/>
  </r>
  <r>
    <s v="13.5.12"/>
    <s v="Подготовка к ОПЭ (настройка системы на продуктивной среде)"/>
    <s v="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13"/>
    <s v="Подготовка и загрузка первичных данных"/>
    <s v="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14"/>
    <s v="Подключение пользователей к системе"/>
    <s v="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15"/>
    <s v="Проведение ОПЭ/Приемочных испытаний"/>
    <s v="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16"/>
    <s v="Подготовка к проведению миграции данных"/>
    <s v="Подготовка к проведению миграции данных (разработка скриптов для выполнения процедуры миграции данных; подготовка массива данных для миграции)"/>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17"/>
    <s v="Выполнение процедуры миграции данных"/>
    <s v="Выполнение процедуры миграции данных (запуск процедуры миграции; проверка результатов миграции; оформление протокола миграции)"/>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18"/>
    <s v="Документирование выполненных разработок и настроек системы"/>
    <s v="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
    <m/>
    <x v="2"/>
    <m/>
    <m/>
    <m/>
    <d v="2018-11-15T00:00:00"/>
    <n v="30"/>
    <d v="2018-12-15T00:00:00"/>
    <m/>
    <m/>
    <m/>
    <m/>
    <s v="ДИТ"/>
    <n v="225000"/>
    <x v="0"/>
    <m/>
    <m/>
    <n v="0"/>
    <m/>
    <m/>
    <m/>
    <m/>
    <m/>
    <m/>
    <m/>
    <m/>
    <m/>
    <m/>
    <m/>
    <m/>
    <m/>
    <n v="0"/>
    <n v="0"/>
    <m/>
    <m/>
    <m/>
    <m/>
    <m/>
    <m/>
    <m/>
    <m/>
    <n v="1"/>
    <n v="1"/>
    <m/>
    <m/>
    <m/>
    <n v="2"/>
    <n v="450000"/>
    <m/>
    <m/>
    <m/>
    <m/>
    <m/>
    <m/>
    <m/>
    <m/>
    <m/>
    <m/>
    <m/>
    <m/>
    <m/>
    <n v="0"/>
    <n v="0"/>
    <m/>
    <m/>
    <m/>
    <m/>
    <m/>
    <m/>
    <m/>
    <m/>
    <m/>
    <m/>
    <m/>
    <m/>
    <m/>
    <n v="0"/>
    <n v="0"/>
    <m/>
    <m/>
    <m/>
    <m/>
    <m/>
    <m/>
    <m/>
    <m/>
    <m/>
    <m/>
    <m/>
    <m/>
    <m/>
    <n v="0"/>
    <n v="0"/>
    <n v="0"/>
    <n v="2"/>
    <n v="450000"/>
  </r>
  <r>
    <m/>
    <m/>
    <m/>
    <m/>
    <x v="2"/>
    <m/>
    <m/>
    <m/>
    <m/>
    <m/>
    <s v=" "/>
    <m/>
    <m/>
    <m/>
    <m/>
    <s v="ДИТ"/>
    <m/>
    <x v="0"/>
    <m/>
    <m/>
    <n v="0"/>
    <m/>
    <m/>
    <m/>
    <m/>
    <m/>
    <m/>
    <m/>
    <m/>
    <m/>
    <m/>
    <m/>
    <m/>
    <m/>
    <n v="0"/>
    <n v="0"/>
    <m/>
    <m/>
    <m/>
    <m/>
    <m/>
    <m/>
    <m/>
    <m/>
    <m/>
    <m/>
    <m/>
    <m/>
    <m/>
    <n v="0"/>
    <n v="0"/>
    <m/>
    <m/>
    <m/>
    <m/>
    <m/>
    <m/>
    <m/>
    <m/>
    <m/>
    <m/>
    <m/>
    <m/>
    <m/>
    <n v="0"/>
    <n v="0"/>
    <m/>
    <m/>
    <m/>
    <m/>
    <m/>
    <m/>
    <m/>
    <m/>
    <m/>
    <m/>
    <m/>
    <m/>
    <m/>
    <n v="0"/>
    <n v="0"/>
    <m/>
    <m/>
    <m/>
    <m/>
    <m/>
    <m/>
    <m/>
    <m/>
    <m/>
    <m/>
    <m/>
    <m/>
    <m/>
    <n v="0"/>
    <n v="0"/>
    <n v="0"/>
    <n v="0"/>
    <n v="0"/>
  </r>
  <r>
    <s v="13.5.19"/>
    <s v="Разработка и согласование эксплуатационной и рабочей документации на систему "/>
    <s v="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20"/>
    <s v="Разработка и согласование комплекта рабочей и эксплуатационной документации по ГОСТ 34"/>
    <s v="Разработка и согласование комплекта рабочей и эксплуатационной документации в соответствии с требованиями ГОСТ 34"/>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1"/>
    <s v="Разработка методологических документации, для целей создания и внедрения системы"/>
    <s v="Разработка новой или адаптация существующей методологической докуменации, используемой исключительно для целей создания и внедрения системы "/>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23"/>
    <s v="Разработка и согласование ПМИ / Концепций и Сценариев тестирования"/>
    <s v="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24"/>
    <s v="Разработка и согласование проектно-сметной докумтентации"/>
    <s v="Разработка и согласование проектно-сметной документации"/>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5"/>
    <s v="Приобретение программного обеспечения"/>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6"/>
    <s v="Приобретение оборудования "/>
    <s v="Приобретение оборудования (в том числе, но неограничиваясь: ИТ-оборудования)"/>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7"/>
    <s v="Приобретение материалов для выполнения работ по монтажу и установке (в т.ч. ИТ-инфраструктуры)"/>
    <s v="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8"/>
    <s v="Монтаж и установка (в т.ч. ИТ-инфраструктуры)"/>
    <s v="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29"/>
    <s v="Пуско-наладочные работы (в т.ч. ИТ-инфраструктуры) "/>
    <s v="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30"/>
    <s v="Тестирование инфраструктуры  и ввод в эксплуатацию (в т.ч. ИТ-инфраструктуры)"/>
    <s v="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47"/>
    <s v="Разработка и согласование комплекта документов для ИК/ИПК (корректировка  параметров ИТ-проект)"/>
    <s v="Разработка и согласование комплекта документов для ИК/ИПК (Заявка о включении в повестку заседания, Презентация, ПУП, ФЭМ/Паспорт, Бюджет проекта)"/>
    <m/>
    <x v="2"/>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2"/>
    <m/>
    <m/>
    <m/>
    <m/>
    <m/>
    <s v=" "/>
    <m/>
    <m/>
    <m/>
    <m/>
    <s v="ДИТ"/>
    <m/>
    <x v="0"/>
    <m/>
    <m/>
    <n v="0"/>
    <m/>
    <m/>
    <m/>
    <m/>
    <m/>
    <m/>
    <m/>
    <m/>
    <m/>
    <m/>
    <m/>
    <m/>
    <m/>
    <n v="0"/>
    <n v="0"/>
    <m/>
    <m/>
    <m/>
    <m/>
    <m/>
    <m/>
    <m/>
    <m/>
    <m/>
    <m/>
    <m/>
    <m/>
    <m/>
    <n v="0"/>
    <n v="0"/>
    <m/>
    <m/>
    <m/>
    <m/>
    <m/>
    <m/>
    <m/>
    <m/>
    <m/>
    <m/>
    <m/>
    <m/>
    <m/>
    <n v="0"/>
    <n v="0"/>
    <m/>
    <m/>
    <m/>
    <m/>
    <m/>
    <m/>
    <m/>
    <m/>
    <m/>
    <m/>
    <m/>
    <m/>
    <m/>
    <n v="0"/>
    <n v="0"/>
    <m/>
    <m/>
    <m/>
    <m/>
    <m/>
    <m/>
    <m/>
    <m/>
    <m/>
    <m/>
    <m/>
    <m/>
    <m/>
    <n v="0"/>
    <n v="0"/>
    <n v="0"/>
    <n v="0"/>
    <n v="0"/>
  </r>
  <r>
    <s v="13.5.34"/>
    <s v="Разработка методологических документов общего характера "/>
    <s v="Разработка методологических документов общего характера (в том числе, но не ограничиваясь: учетные политики, методики учета и пр.)"/>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5.35"/>
    <s v="Адаптация существующих бизнес-процессов Компании к архитектуре и функционалу системы"/>
    <s v="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5.36"/>
    <s v="Проведение работ по осуществлению изменений бизнес-процессов Компании"/>
    <s v="Проведение работ по осуществлению изменений бизнес-процессов Компании, в том числе, реализация методологии"/>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5.22"/>
    <s v="Разработка обучающих материалов"/>
    <s v="Разработка методологической документации для целей обучения пользователей к работе с системой (Обучающие материалы и инструкции, Программа обучения)"/>
    <m/>
    <x v="1"/>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1"/>
    <m/>
    <m/>
    <m/>
    <m/>
    <m/>
    <s v=" "/>
    <m/>
    <m/>
    <m/>
    <m/>
    <s v="ДИТ"/>
    <m/>
    <x v="0"/>
    <m/>
    <m/>
    <n v="0"/>
    <m/>
    <m/>
    <m/>
    <m/>
    <m/>
    <m/>
    <m/>
    <m/>
    <m/>
    <m/>
    <m/>
    <m/>
    <m/>
    <n v="0"/>
    <n v="0"/>
    <m/>
    <m/>
    <m/>
    <m/>
    <m/>
    <m/>
    <m/>
    <m/>
    <m/>
    <m/>
    <m/>
    <m/>
    <m/>
    <n v="0"/>
    <n v="0"/>
    <m/>
    <m/>
    <m/>
    <m/>
    <m/>
    <m/>
    <m/>
    <m/>
    <m/>
    <m/>
    <m/>
    <m/>
    <m/>
    <n v="0"/>
    <n v="0"/>
    <m/>
    <m/>
    <m/>
    <m/>
    <m/>
    <m/>
    <m/>
    <m/>
    <m/>
    <m/>
    <m/>
    <m/>
    <m/>
    <n v="0"/>
    <n v="0"/>
    <m/>
    <m/>
    <m/>
    <m/>
    <m/>
    <m/>
    <m/>
    <m/>
    <m/>
    <m/>
    <m/>
    <m/>
    <m/>
    <n v="0"/>
    <n v="0"/>
    <n v="0"/>
    <n v="0"/>
    <n v="0"/>
  </r>
  <r>
    <s v="13.5.37"/>
    <s v="Обучение пользователей"/>
    <s v="Обучение пользователей (оформление Протокола обучения)"/>
    <m/>
    <x v="1"/>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1"/>
    <m/>
    <m/>
    <m/>
    <m/>
    <m/>
    <s v=" "/>
    <m/>
    <m/>
    <m/>
    <m/>
    <s v="ДИТ"/>
    <m/>
    <x v="0"/>
    <m/>
    <m/>
    <n v="0"/>
    <m/>
    <m/>
    <m/>
    <m/>
    <m/>
    <m/>
    <m/>
    <m/>
    <m/>
    <m/>
    <m/>
    <m/>
    <m/>
    <n v="0"/>
    <n v="0"/>
    <m/>
    <m/>
    <m/>
    <m/>
    <m/>
    <m/>
    <m/>
    <m/>
    <m/>
    <m/>
    <m/>
    <m/>
    <m/>
    <n v="0"/>
    <n v="0"/>
    <m/>
    <m/>
    <m/>
    <m/>
    <m/>
    <m/>
    <m/>
    <m/>
    <m/>
    <m/>
    <m/>
    <m/>
    <m/>
    <n v="0"/>
    <n v="0"/>
    <m/>
    <m/>
    <m/>
    <m/>
    <m/>
    <m/>
    <m/>
    <m/>
    <m/>
    <m/>
    <m/>
    <m/>
    <m/>
    <n v="0"/>
    <n v="0"/>
    <m/>
    <m/>
    <m/>
    <m/>
    <m/>
    <m/>
    <m/>
    <m/>
    <m/>
    <m/>
    <m/>
    <m/>
    <m/>
    <n v="0"/>
    <n v="0"/>
    <n v="0"/>
    <n v="0"/>
    <n v="0"/>
  </r>
  <r>
    <s v="13.5.38"/>
    <s v="Консультационная поддержка пользователей"/>
    <s v="Консультационная поддержка пользователей в ходе ОПЭ (оформление Журнала ОПЭ)"/>
    <m/>
    <x v="1"/>
    <m/>
    <m/>
    <m/>
    <d v="2019-11-15T00:00:00"/>
    <n v="30"/>
    <d v="2019-12-15T00:00:00"/>
    <m/>
    <m/>
    <m/>
    <m/>
    <s v="ДИТ"/>
    <n v="235500"/>
    <x v="0"/>
    <m/>
    <m/>
    <n v="0"/>
    <m/>
    <m/>
    <m/>
    <m/>
    <m/>
    <m/>
    <m/>
    <m/>
    <m/>
    <m/>
    <m/>
    <m/>
    <m/>
    <n v="0"/>
    <n v="0"/>
    <m/>
    <m/>
    <m/>
    <m/>
    <m/>
    <m/>
    <m/>
    <m/>
    <m/>
    <m/>
    <m/>
    <m/>
    <m/>
    <n v="0"/>
    <n v="0"/>
    <m/>
    <m/>
    <n v="1"/>
    <n v="1"/>
    <n v="1"/>
    <n v="1"/>
    <n v="1"/>
    <n v="1"/>
    <n v="1"/>
    <n v="1"/>
    <m/>
    <m/>
    <m/>
    <n v="8"/>
    <n v="1884000"/>
    <m/>
    <m/>
    <m/>
    <m/>
    <m/>
    <m/>
    <m/>
    <m/>
    <m/>
    <m/>
    <m/>
    <m/>
    <m/>
    <n v="0"/>
    <n v="0"/>
    <m/>
    <m/>
    <m/>
    <m/>
    <m/>
    <m/>
    <m/>
    <m/>
    <m/>
    <m/>
    <m/>
    <m/>
    <m/>
    <n v="0"/>
    <n v="0"/>
    <n v="0"/>
    <n v="8"/>
    <n v="1884000"/>
  </r>
  <r>
    <m/>
    <m/>
    <m/>
    <m/>
    <x v="1"/>
    <m/>
    <m/>
    <m/>
    <m/>
    <m/>
    <s v=" "/>
    <m/>
    <m/>
    <m/>
    <m/>
    <s v="ДИТ"/>
    <m/>
    <x v="0"/>
    <m/>
    <m/>
    <n v="0"/>
    <m/>
    <m/>
    <m/>
    <m/>
    <m/>
    <m/>
    <m/>
    <m/>
    <m/>
    <m/>
    <m/>
    <m/>
    <m/>
    <n v="0"/>
    <n v="0"/>
    <m/>
    <m/>
    <m/>
    <m/>
    <m/>
    <m/>
    <m/>
    <m/>
    <m/>
    <m/>
    <m/>
    <m/>
    <m/>
    <n v="0"/>
    <n v="0"/>
    <m/>
    <m/>
    <m/>
    <m/>
    <m/>
    <m/>
    <m/>
    <m/>
    <m/>
    <m/>
    <m/>
    <m/>
    <m/>
    <n v="0"/>
    <n v="0"/>
    <m/>
    <m/>
    <m/>
    <m/>
    <m/>
    <m/>
    <m/>
    <m/>
    <m/>
    <m/>
    <m/>
    <m/>
    <m/>
    <n v="0"/>
    <n v="0"/>
    <m/>
    <m/>
    <m/>
    <m/>
    <m/>
    <m/>
    <m/>
    <m/>
    <m/>
    <m/>
    <m/>
    <m/>
    <m/>
    <n v="0"/>
    <n v="0"/>
    <n v="0"/>
    <n v="0"/>
    <n v="0"/>
  </r>
  <r>
    <s v="13.5.39"/>
    <s v="Обучение группы сопровождения и поддержки"/>
    <s v="Обучение группы сопровождения и поддержки  (оформление Протокола обучения)"/>
    <m/>
    <x v="1"/>
    <m/>
    <m/>
    <m/>
    <d v="2019-03-15T00:00:00"/>
    <n v="30"/>
    <d v="2019-04-14T00:00:00"/>
    <m/>
    <m/>
    <m/>
    <m/>
    <s v="ДИТ"/>
    <n v="87230.769230769205"/>
    <x v="0"/>
    <m/>
    <m/>
    <n v="0"/>
    <m/>
    <m/>
    <m/>
    <m/>
    <m/>
    <m/>
    <m/>
    <m/>
    <m/>
    <m/>
    <m/>
    <m/>
    <m/>
    <n v="0"/>
    <n v="0"/>
    <m/>
    <m/>
    <m/>
    <m/>
    <m/>
    <m/>
    <m/>
    <m/>
    <m/>
    <m/>
    <m/>
    <m/>
    <m/>
    <n v="0"/>
    <n v="0"/>
    <n v="1"/>
    <n v="1"/>
    <m/>
    <m/>
    <m/>
    <m/>
    <m/>
    <m/>
    <m/>
    <m/>
    <m/>
    <m/>
    <m/>
    <n v="2"/>
    <n v="174461.54"/>
    <m/>
    <m/>
    <m/>
    <m/>
    <m/>
    <m/>
    <m/>
    <m/>
    <m/>
    <m/>
    <m/>
    <m/>
    <m/>
    <n v="0"/>
    <n v="0"/>
    <m/>
    <m/>
    <m/>
    <m/>
    <m/>
    <m/>
    <m/>
    <m/>
    <m/>
    <m/>
    <m/>
    <m/>
    <m/>
    <n v="0"/>
    <n v="0"/>
    <n v="0"/>
    <n v="2"/>
    <n v="174461.54"/>
  </r>
  <r>
    <m/>
    <m/>
    <m/>
    <m/>
    <x v="1"/>
    <m/>
    <m/>
    <m/>
    <m/>
    <m/>
    <s v=" "/>
    <m/>
    <m/>
    <m/>
    <m/>
    <s v="ДИТ"/>
    <m/>
    <x v="0"/>
    <m/>
    <m/>
    <n v="0"/>
    <m/>
    <m/>
    <m/>
    <m/>
    <m/>
    <m/>
    <m/>
    <m/>
    <m/>
    <m/>
    <m/>
    <m/>
    <m/>
    <n v="0"/>
    <n v="0"/>
    <m/>
    <m/>
    <m/>
    <m/>
    <m/>
    <m/>
    <m/>
    <m/>
    <m/>
    <m/>
    <m/>
    <m/>
    <m/>
    <n v="0"/>
    <n v="0"/>
    <m/>
    <m/>
    <m/>
    <m/>
    <m/>
    <m/>
    <m/>
    <m/>
    <m/>
    <m/>
    <m/>
    <m/>
    <m/>
    <n v="0"/>
    <n v="0"/>
    <m/>
    <m/>
    <m/>
    <m/>
    <m/>
    <m/>
    <m/>
    <m/>
    <m/>
    <m/>
    <m/>
    <m/>
    <m/>
    <n v="0"/>
    <n v="0"/>
    <m/>
    <m/>
    <m/>
    <m/>
    <m/>
    <m/>
    <m/>
    <m/>
    <m/>
    <m/>
    <m/>
    <m/>
    <m/>
    <n v="0"/>
    <n v="0"/>
    <n v="0"/>
    <n v="0"/>
    <n v="0"/>
  </r>
  <r>
    <s v="13.5.40"/>
    <s v="Оформление Запроса на поддержку"/>
    <s v="Оформление Запроса на поддержку"/>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41"/>
    <s v="Разработка и согласование SLA / Регламента технической поддержки системы"/>
    <s v="Разработка и согласование SLA / Регламента технической поддержки системы"/>
    <m/>
    <x v="2"/>
    <m/>
    <m/>
    <m/>
    <m/>
    <m/>
    <s v=" "/>
    <m/>
    <m/>
    <m/>
    <m/>
    <s v="ДИТ"/>
    <m/>
    <x v="0"/>
    <m/>
    <m/>
    <n v="0"/>
    <m/>
    <m/>
    <m/>
    <m/>
    <m/>
    <m/>
    <m/>
    <m/>
    <m/>
    <m/>
    <m/>
    <m/>
    <m/>
    <n v="0"/>
    <n v="0"/>
    <m/>
    <m/>
    <m/>
    <m/>
    <m/>
    <m/>
    <m/>
    <m/>
    <m/>
    <m/>
    <m/>
    <m/>
    <m/>
    <n v="0"/>
    <n v="0"/>
    <m/>
    <m/>
    <m/>
    <m/>
    <m/>
    <m/>
    <m/>
    <m/>
    <m/>
    <m/>
    <m/>
    <m/>
    <m/>
    <n v="0"/>
    <n v="0"/>
    <m/>
    <m/>
    <m/>
    <m/>
    <m/>
    <m/>
    <m/>
    <m/>
    <m/>
    <m/>
    <m/>
    <m/>
    <m/>
    <n v="0"/>
    <n v="0"/>
    <m/>
    <m/>
    <m/>
    <m/>
    <m/>
    <m/>
    <m/>
    <m/>
    <m/>
    <m/>
    <m/>
    <m/>
    <m/>
    <n v="0"/>
    <n v="0"/>
    <n v="0"/>
    <n v="0"/>
    <n v="0"/>
  </r>
  <r>
    <m/>
    <m/>
    <m/>
    <m/>
    <x v="2"/>
    <m/>
    <m/>
    <m/>
    <m/>
    <m/>
    <s v=" "/>
    <m/>
    <m/>
    <m/>
    <m/>
    <s v="ДИТ"/>
    <m/>
    <x v="0"/>
    <m/>
    <m/>
    <n v="0"/>
    <m/>
    <m/>
    <m/>
    <m/>
    <m/>
    <m/>
    <m/>
    <m/>
    <m/>
    <m/>
    <m/>
    <m/>
    <m/>
    <n v="0"/>
    <n v="0"/>
    <m/>
    <m/>
    <m/>
    <m/>
    <m/>
    <m/>
    <m/>
    <m/>
    <m/>
    <m/>
    <m/>
    <m/>
    <m/>
    <n v="0"/>
    <n v="0"/>
    <m/>
    <m/>
    <m/>
    <m/>
    <m/>
    <m/>
    <m/>
    <m/>
    <m/>
    <m/>
    <m/>
    <m/>
    <m/>
    <n v="0"/>
    <n v="0"/>
    <m/>
    <m/>
    <m/>
    <m/>
    <m/>
    <m/>
    <m/>
    <m/>
    <m/>
    <m/>
    <m/>
    <m/>
    <m/>
    <n v="0"/>
    <n v="0"/>
    <m/>
    <m/>
    <m/>
    <m/>
    <m/>
    <m/>
    <m/>
    <m/>
    <m/>
    <m/>
    <m/>
    <m/>
    <m/>
    <n v="0"/>
    <n v="0"/>
    <n v="0"/>
    <n v="0"/>
    <n v="0"/>
  </r>
  <r>
    <s v="13.5.42"/>
    <s v="Обеспечение поддержки работоспособности системы в режиме ОЭ/ОПЭ"/>
    <s v="Обеспечение поддержки работоспособности системы в режиме Опытной эксплуатации и Опытно-прмышленной эксплуатации  (оформление Журнала инцидентов)"/>
    <m/>
    <x v="2"/>
    <m/>
    <m/>
    <m/>
    <d v="2019-11-15T00:00:00"/>
    <n v="30"/>
    <d v="2019-12-15T00:00:00"/>
    <m/>
    <m/>
    <m/>
    <m/>
    <s v="ДИТ"/>
    <n v="235500"/>
    <x v="0"/>
    <m/>
    <m/>
    <n v="0"/>
    <m/>
    <m/>
    <m/>
    <m/>
    <m/>
    <m/>
    <m/>
    <m/>
    <m/>
    <m/>
    <m/>
    <m/>
    <m/>
    <n v="0"/>
    <n v="0"/>
    <m/>
    <m/>
    <m/>
    <m/>
    <m/>
    <m/>
    <m/>
    <m/>
    <m/>
    <m/>
    <m/>
    <m/>
    <m/>
    <n v="0"/>
    <n v="0"/>
    <m/>
    <m/>
    <n v="1"/>
    <n v="1"/>
    <n v="1"/>
    <n v="1"/>
    <n v="1"/>
    <n v="1"/>
    <n v="1"/>
    <n v="1"/>
    <m/>
    <m/>
    <m/>
    <n v="8"/>
    <n v="1884000"/>
    <m/>
    <m/>
    <m/>
    <m/>
    <m/>
    <m/>
    <m/>
    <m/>
    <m/>
    <m/>
    <m/>
    <m/>
    <m/>
    <n v="0"/>
    <n v="0"/>
    <m/>
    <m/>
    <m/>
    <m/>
    <m/>
    <m/>
    <m/>
    <m/>
    <m/>
    <m/>
    <m/>
    <m/>
    <m/>
    <n v="0"/>
    <n v="0"/>
    <n v="0"/>
    <n v="8"/>
    <n v="1884000"/>
  </r>
  <r>
    <m/>
    <m/>
    <m/>
    <m/>
    <x v="2"/>
    <m/>
    <m/>
    <m/>
    <m/>
    <m/>
    <s v=" "/>
    <m/>
    <m/>
    <m/>
    <m/>
    <s v="ДИТ"/>
    <m/>
    <x v="0"/>
    <m/>
    <m/>
    <n v="0"/>
    <m/>
    <m/>
    <m/>
    <m/>
    <m/>
    <m/>
    <m/>
    <m/>
    <m/>
    <m/>
    <m/>
    <m/>
    <m/>
    <n v="0"/>
    <n v="0"/>
    <m/>
    <m/>
    <m/>
    <m/>
    <m/>
    <m/>
    <m/>
    <m/>
    <m/>
    <m/>
    <m/>
    <m/>
    <m/>
    <n v="0"/>
    <n v="0"/>
    <m/>
    <m/>
    <m/>
    <m/>
    <m/>
    <m/>
    <m/>
    <m/>
    <m/>
    <m/>
    <m/>
    <m/>
    <m/>
    <n v="0"/>
    <n v="0"/>
    <m/>
    <m/>
    <m/>
    <m/>
    <m/>
    <m/>
    <m/>
    <m/>
    <m/>
    <m/>
    <m/>
    <m/>
    <m/>
    <n v="0"/>
    <n v="0"/>
    <m/>
    <m/>
    <m/>
    <m/>
    <m/>
    <m/>
    <m/>
    <m/>
    <m/>
    <m/>
    <m/>
    <m/>
    <m/>
    <n v="0"/>
    <n v="0"/>
    <n v="0"/>
    <n v="0"/>
    <n v="0"/>
  </r>
  <r>
    <s v="13.5.43"/>
    <s v="Обеспечение поддержки работоспособности системы в ходе ОЭ / Приемочных испытаний "/>
    <s v="Обеспечение поддержки работоспособности системы в ходе Приемочных испытаний (оформление Протокола испытаний)"/>
    <m/>
    <x v="2"/>
    <m/>
    <m/>
    <m/>
    <d v="2019-11-15T00:00:00"/>
    <n v="30"/>
    <d v="2019-12-15T00:00:00"/>
    <m/>
    <m/>
    <m/>
    <m/>
    <s v="ДИТ"/>
    <n v="235500"/>
    <x v="0"/>
    <m/>
    <m/>
    <n v="0"/>
    <m/>
    <m/>
    <m/>
    <m/>
    <m/>
    <m/>
    <m/>
    <m/>
    <m/>
    <m/>
    <m/>
    <m/>
    <m/>
    <n v="0"/>
    <n v="0"/>
    <m/>
    <m/>
    <m/>
    <m/>
    <m/>
    <m/>
    <m/>
    <m/>
    <m/>
    <m/>
    <m/>
    <m/>
    <m/>
    <n v="0"/>
    <n v="0"/>
    <m/>
    <m/>
    <n v="1"/>
    <n v="1"/>
    <n v="1"/>
    <n v="1"/>
    <n v="1"/>
    <n v="1"/>
    <n v="1"/>
    <n v="1"/>
    <m/>
    <m/>
    <m/>
    <n v="8"/>
    <n v="1884000"/>
    <m/>
    <m/>
    <m/>
    <m/>
    <m/>
    <m/>
    <m/>
    <m/>
    <m/>
    <m/>
    <m/>
    <m/>
    <m/>
    <n v="0"/>
    <n v="0"/>
    <m/>
    <m/>
    <m/>
    <m/>
    <m/>
    <m/>
    <m/>
    <m/>
    <m/>
    <m/>
    <m/>
    <m/>
    <m/>
    <n v="0"/>
    <n v="0"/>
    <n v="0"/>
    <n v="8"/>
    <n v="1884000"/>
  </r>
  <r>
    <m/>
    <m/>
    <m/>
    <m/>
    <x v="2"/>
    <m/>
    <m/>
    <m/>
    <m/>
    <m/>
    <s v=" "/>
    <m/>
    <m/>
    <m/>
    <m/>
    <s v="ДИТ"/>
    <m/>
    <x v="0"/>
    <m/>
    <m/>
    <n v="0"/>
    <m/>
    <m/>
    <m/>
    <m/>
    <m/>
    <m/>
    <m/>
    <m/>
    <m/>
    <m/>
    <m/>
    <m/>
    <m/>
    <n v="0"/>
    <n v="0"/>
    <m/>
    <m/>
    <m/>
    <m/>
    <m/>
    <m/>
    <m/>
    <m/>
    <m/>
    <m/>
    <m/>
    <m/>
    <m/>
    <n v="0"/>
    <n v="0"/>
    <m/>
    <m/>
    <m/>
    <m/>
    <m/>
    <m/>
    <m/>
    <m/>
    <m/>
    <m/>
    <m/>
    <m/>
    <m/>
    <n v="0"/>
    <n v="0"/>
    <m/>
    <m/>
    <m/>
    <m/>
    <m/>
    <m/>
    <m/>
    <m/>
    <m/>
    <m/>
    <m/>
    <m/>
    <m/>
    <n v="0"/>
    <n v="0"/>
    <m/>
    <m/>
    <m/>
    <m/>
    <m/>
    <m/>
    <m/>
    <m/>
    <m/>
    <m/>
    <m/>
    <m/>
    <m/>
    <n v="0"/>
    <n v="0"/>
    <n v="0"/>
    <n v="0"/>
    <n v="0"/>
  </r>
  <r>
    <s v="13.5.44"/>
    <s v="Оформление и подписание  Акта приема-передачи на поддержку"/>
    <s v="Оформление и подписание  Акта приема-передачи на поддержку"/>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13.5.49"/>
    <s v="Подготовка финального УК по завершению проекта"/>
    <s v="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
    <m/>
    <x v="1"/>
    <m/>
    <m/>
    <m/>
    <m/>
    <m/>
    <s v=" "/>
    <m/>
    <m/>
    <m/>
    <m/>
    <s v="ДИТ"/>
    <m/>
    <x v="0"/>
    <m/>
    <m/>
    <n v="0"/>
    <m/>
    <m/>
    <m/>
    <m/>
    <m/>
    <m/>
    <m/>
    <m/>
    <m/>
    <m/>
    <m/>
    <m/>
    <m/>
    <n v="0"/>
    <n v="0"/>
    <m/>
    <m/>
    <m/>
    <m/>
    <m/>
    <m/>
    <m/>
    <m/>
    <m/>
    <m/>
    <m/>
    <m/>
    <m/>
    <n v="0"/>
    <n v="0"/>
    <m/>
    <m/>
    <m/>
    <m/>
    <m/>
    <m/>
    <m/>
    <m/>
    <m/>
    <m/>
    <m/>
    <m/>
    <m/>
    <n v="0"/>
    <n v="0"/>
    <m/>
    <m/>
    <m/>
    <m/>
    <m/>
    <m/>
    <m/>
    <m/>
    <m/>
    <m/>
    <m/>
    <m/>
    <m/>
    <n v="0"/>
    <n v="0"/>
    <m/>
    <m/>
    <m/>
    <m/>
    <m/>
    <m/>
    <m/>
    <m/>
    <m/>
    <m/>
    <m/>
    <m/>
    <m/>
    <n v="0"/>
    <n v="0"/>
    <n v="0"/>
    <n v="0"/>
    <n v="0"/>
  </r>
  <r>
    <m/>
    <m/>
    <m/>
    <m/>
    <x v="1"/>
    <m/>
    <m/>
    <m/>
    <m/>
    <m/>
    <s v=" "/>
    <m/>
    <m/>
    <m/>
    <m/>
    <s v="ДИТ"/>
    <m/>
    <x v="0"/>
    <m/>
    <m/>
    <n v="0"/>
    <m/>
    <m/>
    <m/>
    <m/>
    <m/>
    <m/>
    <m/>
    <m/>
    <m/>
    <m/>
    <m/>
    <m/>
    <m/>
    <n v="0"/>
    <n v="0"/>
    <m/>
    <m/>
    <m/>
    <m/>
    <m/>
    <m/>
    <m/>
    <m/>
    <m/>
    <m/>
    <m/>
    <m/>
    <m/>
    <n v="0"/>
    <n v="0"/>
    <m/>
    <m/>
    <m/>
    <m/>
    <m/>
    <m/>
    <m/>
    <m/>
    <m/>
    <m/>
    <m/>
    <m/>
    <m/>
    <n v="0"/>
    <n v="0"/>
    <m/>
    <m/>
    <m/>
    <m/>
    <m/>
    <m/>
    <m/>
    <m/>
    <m/>
    <m/>
    <m/>
    <m/>
    <m/>
    <n v="0"/>
    <n v="0"/>
    <m/>
    <m/>
    <m/>
    <m/>
    <m/>
    <m/>
    <m/>
    <m/>
    <m/>
    <m/>
    <m/>
    <m/>
    <m/>
    <n v="0"/>
    <n v="0"/>
    <n v="0"/>
    <n v="0"/>
    <n v="0"/>
  </r>
  <r>
    <s v="Итого по этапу №5:"/>
    <m/>
    <m/>
    <m/>
    <x v="0"/>
    <m/>
    <m/>
    <m/>
    <m/>
    <m/>
    <m/>
    <m/>
    <m/>
    <m/>
    <m/>
    <m/>
    <s v=""/>
    <x v="0"/>
    <n v="0"/>
    <n v="0"/>
    <n v="0"/>
    <n v="0"/>
    <n v="0"/>
    <n v="0"/>
    <n v="0"/>
    <n v="0"/>
    <n v="0"/>
    <n v="0"/>
    <n v="0"/>
    <n v="0"/>
    <n v="0"/>
    <n v="0"/>
    <n v="0"/>
    <n v="0"/>
    <n v="0"/>
    <n v="0"/>
    <n v="0"/>
    <n v="0"/>
    <n v="4"/>
    <n v="4"/>
    <n v="4"/>
    <n v="4"/>
    <n v="1"/>
    <n v="1"/>
    <n v="2"/>
    <n v="2"/>
    <n v="2"/>
    <n v="2"/>
    <n v="0"/>
    <n v="26"/>
    <n v="13448000"/>
    <n v="12"/>
    <n v="12"/>
    <n v="3"/>
    <n v="3"/>
    <n v="3"/>
    <n v="3"/>
    <n v="3"/>
    <n v="3"/>
    <n v="3"/>
    <n v="3"/>
    <n v="0"/>
    <n v="0"/>
    <n v="0"/>
    <n v="48"/>
    <n v="7745538.4800000004"/>
    <n v="0"/>
    <n v="0"/>
    <n v="0"/>
    <n v="0"/>
    <n v="0"/>
    <n v="0"/>
    <n v="0"/>
    <n v="0"/>
    <n v="0"/>
    <n v="0"/>
    <n v="0"/>
    <n v="0"/>
    <n v="0"/>
    <n v="0"/>
    <n v="0"/>
    <n v="0"/>
    <n v="0"/>
    <n v="0"/>
    <n v="0"/>
    <n v="0"/>
    <n v="0"/>
    <n v="0"/>
    <n v="0"/>
    <n v="0"/>
    <n v="0"/>
    <n v="0"/>
    <n v="0"/>
    <n v="0"/>
    <n v="0"/>
    <n v="0"/>
    <n v="0"/>
    <n v="74"/>
    <n v="21193538.479999989"/>
  </r>
</pivotCacheRecords>
</file>

<file path=xl/pivotCache/pivotCacheRecords6.xml><?xml version="1.0" encoding="utf-8"?>
<pivotCacheRecords xmlns="http://schemas.openxmlformats.org/spreadsheetml/2006/main" xmlns:r="http://schemas.openxmlformats.org/officeDocument/2006/relationships" count="108">
  <r>
    <s v="3."/>
    <s v="Фаза 2. Планирование. Этап № 3.Изучение и детализация "/>
    <m/>
    <m/>
    <x v="0"/>
    <x v="0"/>
    <m/>
    <m/>
    <m/>
    <m/>
    <m/>
    <m/>
    <m/>
    <m/>
    <m/>
    <m/>
    <m/>
    <m/>
    <m/>
    <m/>
    <m/>
    <m/>
    <m/>
    <m/>
    <m/>
    <m/>
    <m/>
    <m/>
    <m/>
    <m/>
    <m/>
    <m/>
    <m/>
    <m/>
    <m/>
    <m/>
    <m/>
    <m/>
    <m/>
    <m/>
    <m/>
    <m/>
    <m/>
    <m/>
    <m/>
    <m/>
    <m/>
    <m/>
    <m/>
    <m/>
    <m/>
    <m/>
    <m/>
    <m/>
    <m/>
    <m/>
    <m/>
    <m/>
    <m/>
    <m/>
    <m/>
    <m/>
    <m/>
    <m/>
    <m/>
    <m/>
    <m/>
    <m/>
    <m/>
    <m/>
    <m/>
    <m/>
    <m/>
    <m/>
    <m/>
    <m/>
    <m/>
    <m/>
    <m/>
    <m/>
    <m/>
    <m/>
    <m/>
    <m/>
    <m/>
    <m/>
    <m/>
    <m/>
    <m/>
    <m/>
    <m/>
    <m/>
    <m/>
    <m/>
    <m/>
    <m/>
    <m/>
    <m/>
    <m/>
    <m/>
    <x v="0"/>
    <m/>
  </r>
  <r>
    <s v="13.3.01"/>
    <s v="Управление ИТ-инициативой"/>
    <s v="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2"/>
    <s v="Администрирование ИТ-инициативы"/>
    <s v="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
    <m/>
    <x v="1"/>
    <x v="0"/>
    <m/>
    <m/>
    <m/>
    <m/>
    <m/>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3"/>
    <s v="Разработка и согласование Функционально-технических требований"/>
    <s v="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4"/>
    <s v="Проведение анализа рынка по реализации ИТ-проекта"/>
    <s v="Проведение анализа рынка, оценки потенциальных поставщиков и стоимости услуг по реализации ИТ-проекта"/>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5"/>
    <s v="Архитектурная проработка ИТ-инициативы"/>
    <s v="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6"/>
    <s v="Принятие решения по архитектуре системы"/>
    <s v="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7"/>
    <s v="Разработка и согласование Детального ресурного плана на ИТ-проект"/>
    <s v="Разработка и согласование Детального ресурного плана на ИТ-проект (на фазы &quot;Реализация&quot; и &quot;Завершение&quot;)"/>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8"/>
    <s v="Разработка и согласование комплекта документов для ИК/ИПК на ИТ- проект"/>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3.09"/>
    <s v="Защита бюджета и параметров ИТ-проекта"/>
    <s v="Защита бюджета и параметров ИТ-проекта  (на фазы &quot;Реализация&quot;и &quot;Завершение&quot;)"/>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Итого по этапу №3:"/>
    <m/>
    <m/>
    <m/>
    <x v="0"/>
    <x v="0"/>
    <m/>
    <m/>
    <m/>
    <m/>
    <m/>
    <m/>
    <m/>
    <m/>
    <m/>
    <m/>
    <s v=""/>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x v="0"/>
    <m/>
  </r>
  <r>
    <s v="5."/>
    <s v="Фаза  3. Реализация.  Этап № 5. Реализация "/>
    <m/>
    <m/>
    <x v="0"/>
    <x v="0"/>
    <m/>
    <m/>
    <m/>
    <m/>
    <m/>
    <m/>
    <m/>
    <m/>
    <m/>
    <m/>
    <s v=""/>
    <m/>
    <m/>
    <m/>
    <m/>
    <m/>
    <m/>
    <m/>
    <m/>
    <m/>
    <m/>
    <m/>
    <m/>
    <m/>
    <m/>
    <m/>
    <m/>
    <m/>
    <m/>
    <m/>
    <m/>
    <m/>
    <m/>
    <m/>
    <m/>
    <m/>
    <m/>
    <m/>
    <m/>
    <m/>
    <m/>
    <m/>
    <m/>
    <m/>
    <m/>
    <m/>
    <m/>
    <m/>
    <m/>
    <m/>
    <m/>
    <m/>
    <m/>
    <m/>
    <m/>
    <m/>
    <m/>
    <m/>
    <m/>
    <m/>
    <m/>
    <m/>
    <m/>
    <m/>
    <m/>
    <m/>
    <m/>
    <m/>
    <m/>
    <m/>
    <m/>
    <m/>
    <m/>
    <m/>
    <m/>
    <m/>
    <m/>
    <m/>
    <m/>
    <m/>
    <m/>
    <m/>
    <m/>
    <m/>
    <m/>
    <m/>
    <m/>
    <m/>
    <m/>
    <m/>
    <m/>
    <m/>
    <m/>
    <m/>
    <x v="0"/>
    <m/>
  </r>
  <r>
    <s v="13.5.01"/>
    <s v="Управление ИТ-проектом"/>
    <s v="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
    <s v="Данные работы включены в состав других работ"/>
    <x v="2"/>
    <x v="0"/>
    <m/>
    <m/>
    <m/>
    <m/>
    <s v=" "/>
    <m/>
    <m/>
    <m/>
    <m/>
    <s v="ДИТ"/>
    <m/>
    <m/>
    <m/>
    <m/>
    <n v="0"/>
    <m/>
    <m/>
    <m/>
    <m/>
    <m/>
    <m/>
    <m/>
    <m/>
    <m/>
    <m/>
    <m/>
    <m/>
    <m/>
    <n v="0"/>
    <n v="0"/>
    <m/>
    <m/>
    <m/>
    <m/>
    <m/>
    <m/>
    <m/>
    <m/>
    <m/>
    <m/>
    <m/>
    <m/>
    <m/>
    <n v="0"/>
    <n v="0"/>
    <m/>
    <m/>
    <m/>
    <m/>
    <m/>
    <m/>
    <m/>
    <m/>
    <m/>
    <m/>
    <m/>
    <m/>
    <m/>
    <n v="0"/>
    <n v="0"/>
    <m/>
    <m/>
    <m/>
    <m/>
    <m/>
    <m/>
    <m/>
    <m/>
    <m/>
    <m/>
    <m/>
    <m/>
    <m/>
    <n v="0"/>
    <n v="0"/>
    <m/>
    <m/>
    <m/>
    <m/>
    <m/>
    <m/>
    <m/>
    <m/>
    <m/>
    <m/>
    <m/>
    <m/>
    <m/>
    <n v="0"/>
    <n v="0"/>
    <n v="0"/>
    <n v="0"/>
    <n v="0"/>
    <s v=" "/>
    <x v="1"/>
    <n v="0"/>
  </r>
  <r>
    <m/>
    <m/>
    <m/>
    <s v="Данные работы включен в состав других работ"/>
    <x v="2"/>
    <x v="0"/>
    <m/>
    <m/>
    <m/>
    <m/>
    <s v=" "/>
    <m/>
    <m/>
    <m/>
    <m/>
    <s v="ДИТ"/>
    <m/>
    <m/>
    <m/>
    <m/>
    <n v="0"/>
    <m/>
    <m/>
    <m/>
    <m/>
    <m/>
    <m/>
    <m/>
    <m/>
    <m/>
    <m/>
    <m/>
    <m/>
    <m/>
    <n v="0"/>
    <n v="0"/>
    <m/>
    <m/>
    <m/>
    <m/>
    <m/>
    <m/>
    <m/>
    <m/>
    <m/>
    <m/>
    <m/>
    <m/>
    <m/>
    <n v="0"/>
    <n v="0"/>
    <m/>
    <m/>
    <m/>
    <m/>
    <m/>
    <m/>
    <m/>
    <m/>
    <m/>
    <m/>
    <m/>
    <m/>
    <m/>
    <n v="0"/>
    <n v="0"/>
    <m/>
    <m/>
    <m/>
    <m/>
    <m/>
    <m/>
    <m/>
    <m/>
    <m/>
    <m/>
    <m/>
    <m/>
    <m/>
    <n v="0"/>
    <n v="0"/>
    <m/>
    <m/>
    <m/>
    <m/>
    <m/>
    <m/>
    <m/>
    <m/>
    <m/>
    <m/>
    <m/>
    <m/>
    <m/>
    <n v="0"/>
    <n v="0"/>
    <n v="0"/>
    <n v="0"/>
    <n v="0"/>
    <s v=" "/>
    <x v="1"/>
    <n v="0"/>
  </r>
  <r>
    <s v="13.05.02"/>
    <s v="Администрирование ИТ-проекта"/>
    <s v="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3"/>
    <s v="Проведение дообследования предметной области"/>
    <s v="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quot;as is&quot;)"/>
    <m/>
    <x v="2"/>
    <x v="0"/>
    <m/>
    <m/>
    <d v="2018-07-15T00:00:00"/>
    <n v="30"/>
    <d v="2018-08-14T00:00:00"/>
    <m/>
    <m/>
    <m/>
    <m/>
    <s v="ДИТ"/>
    <n v="220812.5"/>
    <m/>
    <m/>
    <m/>
    <n v="0"/>
    <m/>
    <m/>
    <m/>
    <m/>
    <m/>
    <m/>
    <m/>
    <m/>
    <m/>
    <m/>
    <m/>
    <m/>
    <m/>
    <n v="0"/>
    <n v="0"/>
    <m/>
    <m/>
    <n v="1"/>
    <n v="1"/>
    <n v="1"/>
    <n v="1"/>
    <m/>
    <m/>
    <m/>
    <m/>
    <m/>
    <m/>
    <m/>
    <n v="4"/>
    <n v="883250"/>
    <m/>
    <m/>
    <m/>
    <m/>
    <m/>
    <m/>
    <m/>
    <m/>
    <m/>
    <m/>
    <m/>
    <m/>
    <m/>
    <n v="0"/>
    <n v="0"/>
    <m/>
    <m/>
    <m/>
    <m/>
    <m/>
    <m/>
    <m/>
    <m/>
    <m/>
    <m/>
    <m/>
    <m/>
    <m/>
    <n v="0"/>
    <n v="0"/>
    <m/>
    <m/>
    <m/>
    <m/>
    <m/>
    <m/>
    <m/>
    <m/>
    <m/>
    <m/>
    <m/>
    <m/>
    <m/>
    <n v="0"/>
    <n v="0"/>
    <n v="0"/>
    <n v="4"/>
    <n v="883250"/>
    <s v=" "/>
    <x v="0"/>
    <n v="883250"/>
  </r>
  <r>
    <m/>
    <m/>
    <m/>
    <m/>
    <x v="2"/>
    <x v="0"/>
    <m/>
    <m/>
    <m/>
    <m/>
    <s v=" "/>
    <m/>
    <m/>
    <m/>
    <m/>
    <s v="ДИТ"/>
    <m/>
    <m/>
    <m/>
    <m/>
    <n v="0"/>
    <m/>
    <m/>
    <m/>
    <m/>
    <m/>
    <m/>
    <m/>
    <m/>
    <m/>
    <m/>
    <m/>
    <m/>
    <m/>
    <n v="0"/>
    <n v="0"/>
    <m/>
    <m/>
    <m/>
    <m/>
    <m/>
    <m/>
    <m/>
    <m/>
    <m/>
    <m/>
    <m/>
    <m/>
    <m/>
    <n v="0"/>
    <n v="0"/>
    <m/>
    <m/>
    <m/>
    <m/>
    <m/>
    <m/>
    <m/>
    <m/>
    <m/>
    <m/>
    <m/>
    <m/>
    <m/>
    <n v="0"/>
    <n v="0"/>
    <m/>
    <m/>
    <m/>
    <m/>
    <m/>
    <m/>
    <m/>
    <m/>
    <m/>
    <m/>
    <m/>
    <m/>
    <m/>
    <n v="0"/>
    <n v="0"/>
    <m/>
    <m/>
    <m/>
    <m/>
    <m/>
    <m/>
    <m/>
    <m/>
    <m/>
    <m/>
    <m/>
    <m/>
    <m/>
    <n v="0"/>
    <n v="0"/>
    <n v="0"/>
    <n v="0"/>
    <n v="0"/>
    <s v=" "/>
    <x v="0"/>
    <n v="0"/>
  </r>
  <r>
    <s v="13.5.04"/>
    <s v="Разработка и согласование Технического задания"/>
    <s v="Разработка и согласование Технического задания"/>
    <m/>
    <x v="2"/>
    <x v="0"/>
    <m/>
    <m/>
    <d v="2018-07-15T00:00:00"/>
    <n v="30"/>
    <d v="2018-08-14T00:00:00"/>
    <m/>
    <m/>
    <m/>
    <m/>
    <s v="ДИТ"/>
    <n v="220812.5"/>
    <m/>
    <m/>
    <m/>
    <n v="0"/>
    <m/>
    <m/>
    <m/>
    <m/>
    <m/>
    <m/>
    <m/>
    <m/>
    <m/>
    <m/>
    <m/>
    <m/>
    <m/>
    <n v="0"/>
    <n v="0"/>
    <m/>
    <m/>
    <n v="1"/>
    <n v="1"/>
    <n v="1"/>
    <n v="1"/>
    <m/>
    <m/>
    <m/>
    <m/>
    <m/>
    <m/>
    <m/>
    <n v="4"/>
    <n v="883250"/>
    <m/>
    <m/>
    <m/>
    <m/>
    <m/>
    <m/>
    <m/>
    <m/>
    <m/>
    <m/>
    <m/>
    <m/>
    <m/>
    <n v="0"/>
    <n v="0"/>
    <m/>
    <m/>
    <m/>
    <m/>
    <m/>
    <m/>
    <m/>
    <m/>
    <m/>
    <m/>
    <m/>
    <m/>
    <m/>
    <n v="0"/>
    <n v="0"/>
    <m/>
    <m/>
    <m/>
    <m/>
    <m/>
    <m/>
    <m/>
    <m/>
    <m/>
    <m/>
    <m/>
    <m/>
    <m/>
    <n v="0"/>
    <n v="0"/>
    <n v="0"/>
    <n v="4"/>
    <n v="883250"/>
    <s v=" "/>
    <x v="2"/>
    <n v="88325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5"/>
    <s v="Разработка и согласование документации технического проекта "/>
    <s v="Разработка и согласование документации технического проекта (включая, но не ограничиваясь:  Концептуальный проект / Проектные решения)"/>
    <m/>
    <x v="2"/>
    <x v="0"/>
    <m/>
    <m/>
    <d v="2018-07-15T00:00:00"/>
    <n v="30"/>
    <d v="2018-08-14T00:00:00"/>
    <m/>
    <m/>
    <m/>
    <m/>
    <s v="ДИТ"/>
    <n v="220812.5"/>
    <m/>
    <m/>
    <m/>
    <n v="0"/>
    <m/>
    <m/>
    <m/>
    <m/>
    <m/>
    <m/>
    <m/>
    <m/>
    <m/>
    <m/>
    <m/>
    <m/>
    <m/>
    <n v="0"/>
    <n v="0"/>
    <m/>
    <m/>
    <n v="1"/>
    <n v="1"/>
    <n v="1"/>
    <n v="1"/>
    <m/>
    <m/>
    <m/>
    <m/>
    <m/>
    <m/>
    <m/>
    <n v="4"/>
    <n v="883250"/>
    <m/>
    <m/>
    <m/>
    <m/>
    <m/>
    <m/>
    <m/>
    <m/>
    <m/>
    <m/>
    <m/>
    <m/>
    <m/>
    <n v="0"/>
    <n v="0"/>
    <m/>
    <m/>
    <m/>
    <m/>
    <m/>
    <m/>
    <m/>
    <m/>
    <m/>
    <m/>
    <m/>
    <m/>
    <m/>
    <n v="0"/>
    <n v="0"/>
    <m/>
    <m/>
    <m/>
    <m/>
    <m/>
    <m/>
    <m/>
    <m/>
    <m/>
    <m/>
    <m/>
    <m/>
    <m/>
    <n v="0"/>
    <n v="0"/>
    <n v="0"/>
    <n v="4"/>
    <n v="883250"/>
    <s v=" "/>
    <x v="2"/>
    <n v="88325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6"/>
    <s v="Разработка и согласование комплекта документации Технического проекта по ГОСТ 34"/>
    <s v="Разработка и согласование комплекта документации Технического проекта в соответствии с требованиями ГОСТ 34"/>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7"/>
    <s v="Разработка описаний автоматизируемых бизнес-процессов и моделей в ARIS (модель &quot;to be&quot;)"/>
    <s v="Разработка описаний автомтаизируемых бизнес-процессов и моделей в ARIS (модель &quot;to be&quot;)"/>
    <m/>
    <x v="2"/>
    <x v="0"/>
    <m/>
    <m/>
    <d v="2018-07-15T00:00:00"/>
    <n v="30"/>
    <d v="2018-08-14T00:00:00"/>
    <m/>
    <m/>
    <m/>
    <m/>
    <s v="ДИТ"/>
    <n v="220812.5"/>
    <m/>
    <m/>
    <m/>
    <n v="0"/>
    <m/>
    <m/>
    <m/>
    <m/>
    <m/>
    <m/>
    <m/>
    <m/>
    <m/>
    <m/>
    <m/>
    <m/>
    <m/>
    <n v="0"/>
    <n v="0"/>
    <m/>
    <m/>
    <n v="1"/>
    <n v="1"/>
    <n v="1"/>
    <n v="1"/>
    <m/>
    <m/>
    <m/>
    <m/>
    <m/>
    <m/>
    <m/>
    <n v="4"/>
    <n v="883250"/>
    <m/>
    <m/>
    <m/>
    <m/>
    <m/>
    <m/>
    <m/>
    <m/>
    <m/>
    <m/>
    <m/>
    <m/>
    <m/>
    <n v="0"/>
    <n v="0"/>
    <m/>
    <m/>
    <m/>
    <m/>
    <m/>
    <m/>
    <m/>
    <m/>
    <m/>
    <m/>
    <m/>
    <m/>
    <m/>
    <n v="0"/>
    <n v="0"/>
    <m/>
    <m/>
    <m/>
    <m/>
    <m/>
    <m/>
    <m/>
    <m/>
    <m/>
    <m/>
    <m/>
    <m/>
    <m/>
    <n v="0"/>
    <n v="0"/>
    <n v="0"/>
    <n v="4"/>
    <n v="883250"/>
    <s v=" "/>
    <x v="2"/>
    <n v="88325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8"/>
    <s v="Разработка и настройка системы"/>
    <s v="Разработка и настройка системы"/>
    <m/>
    <x v="2"/>
    <x v="0"/>
    <m/>
    <m/>
    <d v="2018-11-15T00:00:00"/>
    <n v="30"/>
    <d v="2018-12-15T00:00:00"/>
    <m/>
    <m/>
    <m/>
    <m/>
    <s v="ДИТ"/>
    <n v="1988500"/>
    <m/>
    <m/>
    <m/>
    <n v="0"/>
    <m/>
    <m/>
    <m/>
    <m/>
    <m/>
    <m/>
    <m/>
    <m/>
    <m/>
    <m/>
    <m/>
    <m/>
    <m/>
    <n v="0"/>
    <n v="0"/>
    <m/>
    <m/>
    <m/>
    <m/>
    <m/>
    <m/>
    <n v="1"/>
    <n v="1"/>
    <n v="1"/>
    <n v="1"/>
    <m/>
    <m/>
    <m/>
    <n v="4"/>
    <n v="7954000"/>
    <m/>
    <m/>
    <m/>
    <m/>
    <m/>
    <m/>
    <m/>
    <m/>
    <m/>
    <m/>
    <m/>
    <m/>
    <m/>
    <n v="0"/>
    <n v="0"/>
    <m/>
    <m/>
    <m/>
    <m/>
    <m/>
    <m/>
    <m/>
    <m/>
    <m/>
    <m/>
    <m/>
    <m/>
    <m/>
    <n v="0"/>
    <n v="0"/>
    <m/>
    <m/>
    <m/>
    <m/>
    <m/>
    <m/>
    <m/>
    <m/>
    <m/>
    <m/>
    <m/>
    <m/>
    <m/>
    <n v="0"/>
    <n v="0"/>
    <n v="0"/>
    <n v="4"/>
    <n v="7954000"/>
    <s v=" "/>
    <x v="2"/>
    <n v="79540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09"/>
    <s v="Тестирование системы, проведение ОЭ"/>
    <s v="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
    <m/>
    <x v="2"/>
    <x v="0"/>
    <m/>
    <m/>
    <d v="2019-01-15T00:00:00"/>
    <n v="30"/>
    <d v="2019-02-14T00:00:00"/>
    <m/>
    <m/>
    <m/>
    <m/>
    <s v="ДИТ"/>
    <n v="377750"/>
    <m/>
    <m/>
    <m/>
    <n v="0"/>
    <m/>
    <m/>
    <m/>
    <m/>
    <m/>
    <m/>
    <m/>
    <m/>
    <m/>
    <m/>
    <m/>
    <m/>
    <m/>
    <n v="0"/>
    <n v="0"/>
    <m/>
    <m/>
    <m/>
    <m/>
    <m/>
    <m/>
    <m/>
    <m/>
    <m/>
    <m/>
    <n v="1"/>
    <n v="1"/>
    <m/>
    <n v="2"/>
    <n v="755500"/>
    <m/>
    <m/>
    <m/>
    <m/>
    <m/>
    <m/>
    <m/>
    <m/>
    <m/>
    <m/>
    <m/>
    <m/>
    <m/>
    <n v="0"/>
    <n v="0"/>
    <m/>
    <m/>
    <m/>
    <m/>
    <m/>
    <m/>
    <m/>
    <m/>
    <m/>
    <m/>
    <m/>
    <m/>
    <m/>
    <n v="0"/>
    <n v="0"/>
    <m/>
    <m/>
    <m/>
    <m/>
    <m/>
    <m/>
    <m/>
    <m/>
    <m/>
    <m/>
    <m/>
    <m/>
    <m/>
    <n v="0"/>
    <n v="0"/>
    <n v="0"/>
    <n v="2"/>
    <n v="755500"/>
    <s v=" "/>
    <x v="3"/>
    <n v="7555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0"/>
    <s v="Проведение испытаний системы по ГОСТ 34"/>
    <s v="Проведение испытаний системы в соответствии с требованиями ГОСТ 34, оформление Протоколов/Актов испытаний и реестров замечаний"/>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1"/>
    <s v="Доработка и донастройка системы"/>
    <s v="Доработка и донастройка системы по результатам проведенных тестирований/испытаний и ОПЭ (отработка выявленных замечаний)"/>
    <m/>
    <x v="2"/>
    <x v="0"/>
    <m/>
    <m/>
    <d v="2019-01-15T00:00:00"/>
    <n v="30"/>
    <d v="2019-02-14T00:00:00"/>
    <m/>
    <m/>
    <m/>
    <m/>
    <s v="ДИТ"/>
    <n v="377750"/>
    <m/>
    <m/>
    <m/>
    <n v="0"/>
    <m/>
    <m/>
    <m/>
    <m/>
    <m/>
    <m/>
    <m/>
    <m/>
    <m/>
    <m/>
    <m/>
    <m/>
    <m/>
    <n v="0"/>
    <n v="0"/>
    <m/>
    <m/>
    <m/>
    <m/>
    <m/>
    <m/>
    <m/>
    <m/>
    <m/>
    <m/>
    <n v="1"/>
    <n v="1"/>
    <m/>
    <n v="2"/>
    <n v="755500"/>
    <m/>
    <m/>
    <m/>
    <m/>
    <m/>
    <m/>
    <m/>
    <m/>
    <m/>
    <m/>
    <m/>
    <m/>
    <m/>
    <n v="0"/>
    <n v="0"/>
    <m/>
    <m/>
    <m/>
    <m/>
    <m/>
    <m/>
    <m/>
    <m/>
    <m/>
    <m/>
    <m/>
    <m/>
    <m/>
    <n v="0"/>
    <n v="0"/>
    <m/>
    <m/>
    <m/>
    <m/>
    <m/>
    <m/>
    <m/>
    <m/>
    <m/>
    <m/>
    <m/>
    <m/>
    <m/>
    <n v="0"/>
    <n v="0"/>
    <n v="0"/>
    <n v="2"/>
    <n v="755500"/>
    <s v=" "/>
    <x v="3"/>
    <n v="7555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2"/>
    <s v="Подготовка к ОПЭ (настройка системы на продуктивной среде)"/>
    <s v="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3"/>
    <s v="Подготовка и загрузка первичных данных"/>
    <s v="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4"/>
    <s v="Подключение пользователей к системе"/>
    <s v="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5"/>
    <s v="Проведение ОПЭ/Приемочных испытаний"/>
    <s v="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6"/>
    <s v="Подготовка к проведению миграции данных"/>
    <s v="Подготовка к проведению миграции данных (разработка скриптов для выполнения процедуры миграции данных; подготовка массива данных для миграции)"/>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7"/>
    <s v="Выполнение процедуры миграции данных"/>
    <s v="Выполнение процедуры миграции данных (запуск процедуры миграции; проверка результатов миграции; оформление протокола миграции)"/>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8"/>
    <s v="Документирование выполненных разработок и настроек системы"/>
    <s v="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
    <m/>
    <x v="2"/>
    <x v="0"/>
    <m/>
    <m/>
    <d v="2018-11-15T00:00:00"/>
    <n v="30"/>
    <d v="2018-12-15T00:00:00"/>
    <m/>
    <m/>
    <m/>
    <m/>
    <s v="ДИТ"/>
    <n v="225000"/>
    <m/>
    <m/>
    <m/>
    <n v="0"/>
    <m/>
    <m/>
    <m/>
    <m/>
    <m/>
    <m/>
    <m/>
    <m/>
    <m/>
    <m/>
    <m/>
    <m/>
    <m/>
    <n v="0"/>
    <n v="0"/>
    <m/>
    <m/>
    <m/>
    <m/>
    <m/>
    <m/>
    <m/>
    <m/>
    <n v="1"/>
    <n v="1"/>
    <m/>
    <m/>
    <m/>
    <n v="2"/>
    <n v="450000"/>
    <m/>
    <m/>
    <m/>
    <m/>
    <m/>
    <m/>
    <m/>
    <m/>
    <m/>
    <m/>
    <m/>
    <m/>
    <m/>
    <n v="0"/>
    <n v="0"/>
    <m/>
    <m/>
    <m/>
    <m/>
    <m/>
    <m/>
    <m/>
    <m/>
    <m/>
    <m/>
    <m/>
    <m/>
    <m/>
    <n v="0"/>
    <n v="0"/>
    <m/>
    <m/>
    <m/>
    <m/>
    <m/>
    <m/>
    <m/>
    <m/>
    <m/>
    <m/>
    <m/>
    <m/>
    <m/>
    <n v="0"/>
    <n v="0"/>
    <n v="0"/>
    <n v="2"/>
    <n v="450000"/>
    <s v=" "/>
    <x v="2"/>
    <n v="4500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19"/>
    <s v="Разработка и согласование эксплуатационной и рабочей документации на систему "/>
    <s v="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0"/>
    <s v="Разработка и согласование комплекта рабочей и эксплуатационной документации по ГОСТ 34"/>
    <s v="Разработка и согласование комплекта рабочей и эксплуатационной документации в соответствии с требованиями ГОСТ 34"/>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1"/>
    <s v="Разработка методологических документации, для целей создания и внедрения системы"/>
    <s v="Разработка новой или адаптация существующей методологической докуменации, используемой исключительно для целей создания и внедрения системы "/>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3"/>
    <s v="Разработка и согласование ПМИ / Концепций и Сценариев тестирования"/>
    <s v="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4"/>
    <s v="Разработка и согласование проектно-сметной докумтентации"/>
    <s v="Разработка и согласование проектно-сметной документации"/>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5"/>
    <s v="Приобретение программного обеспечения"/>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6"/>
    <s v="Приобретение оборудования "/>
    <s v="Приобретение оборудования (в том числе, но неограничиваясь: ИТ-оборудования)"/>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7"/>
    <s v="Приобретение материалов для выполнения работ по монтажу и установке (в т.ч. ИТ-инфраструктуры)"/>
    <s v="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8"/>
    <s v="Монтаж и установка (в т.ч. ИТ-инфраструктуры)"/>
    <s v="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29"/>
    <s v="Пуско-наладочные работы (в т.ч. ИТ-инфраструктуры) "/>
    <s v="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30"/>
    <s v="Тестирование инфраструктуры  и ввод в эксплуатацию (в т.ч. ИТ-инфраструктуры)"/>
    <s v="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7"/>
    <s v="Разработка и согласование комплекта документов для ИК/ИПК (корректировка  параметров ИТ-проект)"/>
    <s v="Разработка и согласование комплекта документов для ИК/ИПК (Заявка о включении в повестку заседания, Презентация, ПУП, ФЭМ/Паспорт, Бюджет проекта)"/>
    <m/>
    <x v="2"/>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34"/>
    <s v="Разработка методологических документов общего характера "/>
    <s v="Разработка методологических документов общего характера (в том числе, но не ограничиваясь: учетные политики, методики учета и пр.)"/>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5"/>
    <s v="Адаптация существующих бизнес-процессов Компании к архитектуре и функционалу системы"/>
    <s v="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6"/>
    <s v="Проведение работ по осуществлению изменений бизнес-процессов Компании"/>
    <s v="Проведение работ по осуществлению изменений бизнес-процессов Компании, в том числе, реализация методологии"/>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22"/>
    <s v="Разработка обучающих материалов"/>
    <s v="Разработка методологической документации для целей обучения пользователей к работе с системой (Обучающие материалы и инструкции, Программа обучения)"/>
    <m/>
    <x v="1"/>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7"/>
    <s v="Обучение пользователей"/>
    <s v="Обучение пользователей (оформление Протокола обучения)"/>
    <m/>
    <x v="1"/>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8"/>
    <s v="Консультационная поддержка пользователей"/>
    <s v="Консультационная поддержка пользователей в ходе ОПЭ (оформление Журнала ОПЭ)"/>
    <m/>
    <x v="1"/>
    <x v="0"/>
    <m/>
    <m/>
    <d v="2019-11-15T00:00:00"/>
    <n v="30"/>
    <d v="2019-12-15T00:00:00"/>
    <m/>
    <m/>
    <m/>
    <m/>
    <s v="ДИТ"/>
    <n v="235500"/>
    <m/>
    <m/>
    <m/>
    <n v="0"/>
    <m/>
    <m/>
    <m/>
    <m/>
    <m/>
    <m/>
    <m/>
    <m/>
    <m/>
    <m/>
    <m/>
    <m/>
    <m/>
    <n v="0"/>
    <n v="0"/>
    <m/>
    <m/>
    <m/>
    <m/>
    <m/>
    <m/>
    <m/>
    <m/>
    <m/>
    <m/>
    <m/>
    <m/>
    <m/>
    <n v="0"/>
    <n v="0"/>
    <m/>
    <m/>
    <n v="1"/>
    <n v="1"/>
    <n v="1"/>
    <n v="1"/>
    <n v="1"/>
    <n v="1"/>
    <n v="1"/>
    <n v="1"/>
    <m/>
    <m/>
    <m/>
    <n v="8"/>
    <n v="1884000"/>
    <m/>
    <m/>
    <m/>
    <m/>
    <m/>
    <m/>
    <m/>
    <m/>
    <m/>
    <m/>
    <m/>
    <m/>
    <m/>
    <n v="0"/>
    <n v="0"/>
    <m/>
    <m/>
    <m/>
    <m/>
    <m/>
    <m/>
    <m/>
    <m/>
    <m/>
    <m/>
    <m/>
    <m/>
    <m/>
    <n v="0"/>
    <n v="0"/>
    <n v="0"/>
    <n v="8"/>
    <n v="1884000"/>
    <s v=" "/>
    <x v="3"/>
    <n v="188400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39"/>
    <s v="Обучение группы сопровождения и поддержки"/>
    <s v="Обучение группы сопровождения и поддержки  (оформление Протокола обучения)"/>
    <m/>
    <x v="1"/>
    <x v="0"/>
    <m/>
    <m/>
    <d v="2019-03-15T00:00:00"/>
    <n v="30"/>
    <d v="2019-04-14T00:00:00"/>
    <m/>
    <m/>
    <m/>
    <m/>
    <s v="ДИТ"/>
    <n v="87230.769230769205"/>
    <m/>
    <m/>
    <m/>
    <n v="0"/>
    <m/>
    <m/>
    <m/>
    <m/>
    <m/>
    <m/>
    <m/>
    <m/>
    <m/>
    <m/>
    <m/>
    <m/>
    <m/>
    <n v="0"/>
    <n v="0"/>
    <m/>
    <m/>
    <m/>
    <m/>
    <m/>
    <m/>
    <m/>
    <m/>
    <m/>
    <m/>
    <m/>
    <m/>
    <m/>
    <n v="0"/>
    <n v="0"/>
    <n v="1"/>
    <n v="1"/>
    <m/>
    <m/>
    <m/>
    <m/>
    <m/>
    <m/>
    <m/>
    <m/>
    <m/>
    <m/>
    <m/>
    <n v="2"/>
    <n v="174461.54"/>
    <m/>
    <m/>
    <m/>
    <m/>
    <m/>
    <m/>
    <m/>
    <m/>
    <m/>
    <m/>
    <m/>
    <m/>
    <m/>
    <n v="0"/>
    <n v="0"/>
    <m/>
    <m/>
    <m/>
    <m/>
    <m/>
    <m/>
    <m/>
    <m/>
    <m/>
    <m/>
    <m/>
    <m/>
    <m/>
    <n v="0"/>
    <n v="0"/>
    <n v="0"/>
    <n v="2"/>
    <n v="174461.54"/>
    <s v=" "/>
    <x v="3"/>
    <n v="174461.54"/>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40"/>
    <s v="Оформление Запроса на поддержку"/>
    <s v="Оформление Запроса на поддержку"/>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1"/>
    <s v="Разработка и согласование SLA / Регламента технической поддержки системы"/>
    <s v="Разработка и согласование SLA / Регламента технической поддержки системы"/>
    <m/>
    <x v="2"/>
    <x v="0"/>
    <m/>
    <m/>
    <m/>
    <m/>
    <s v=" "/>
    <m/>
    <m/>
    <m/>
    <m/>
    <s v="ДИТ"/>
    <m/>
    <m/>
    <m/>
    <m/>
    <n v="0"/>
    <m/>
    <m/>
    <m/>
    <m/>
    <m/>
    <m/>
    <m/>
    <m/>
    <m/>
    <m/>
    <m/>
    <m/>
    <m/>
    <n v="0"/>
    <n v="0"/>
    <m/>
    <m/>
    <m/>
    <m/>
    <m/>
    <m/>
    <m/>
    <m/>
    <m/>
    <m/>
    <m/>
    <m/>
    <m/>
    <n v="0"/>
    <n v="0"/>
    <m/>
    <m/>
    <m/>
    <m/>
    <m/>
    <m/>
    <m/>
    <m/>
    <m/>
    <m/>
    <m/>
    <m/>
    <m/>
    <n v="0"/>
    <n v="0"/>
    <m/>
    <m/>
    <m/>
    <m/>
    <m/>
    <m/>
    <m/>
    <m/>
    <m/>
    <m/>
    <m/>
    <m/>
    <m/>
    <n v="0"/>
    <n v="0"/>
    <m/>
    <m/>
    <m/>
    <m/>
    <m/>
    <m/>
    <m/>
    <m/>
    <m/>
    <m/>
    <m/>
    <m/>
    <m/>
    <n v="0"/>
    <n v="0"/>
    <n v="0"/>
    <n v="0"/>
    <n v="0"/>
    <s v=" "/>
    <x v="1"/>
    <n v="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2"/>
    <s v="Обеспечение поддержки работоспособности системы в режиме ОЭ/ОПЭ"/>
    <s v="Обеспечение поддержки работоспособности системы в режиме Опытной эксплуатации и Опытно-прмышленной эксплуатации  (оформление Журнала инцидентов)"/>
    <m/>
    <x v="2"/>
    <x v="0"/>
    <m/>
    <m/>
    <d v="2019-11-15T00:00:00"/>
    <n v="30"/>
    <d v="2019-12-15T00:00:00"/>
    <m/>
    <m/>
    <m/>
    <m/>
    <s v="ДИТ"/>
    <n v="235500"/>
    <m/>
    <m/>
    <m/>
    <n v="0"/>
    <m/>
    <m/>
    <m/>
    <m/>
    <m/>
    <m/>
    <m/>
    <m/>
    <m/>
    <m/>
    <m/>
    <m/>
    <m/>
    <n v="0"/>
    <n v="0"/>
    <m/>
    <m/>
    <m/>
    <m/>
    <m/>
    <m/>
    <m/>
    <m/>
    <m/>
    <m/>
    <m/>
    <m/>
    <m/>
    <n v="0"/>
    <n v="0"/>
    <m/>
    <m/>
    <n v="1"/>
    <n v="1"/>
    <n v="1"/>
    <n v="1"/>
    <n v="1"/>
    <n v="1"/>
    <n v="1"/>
    <n v="1"/>
    <m/>
    <m/>
    <m/>
    <n v="8"/>
    <n v="1884000"/>
    <m/>
    <m/>
    <m/>
    <m/>
    <m/>
    <m/>
    <m/>
    <m/>
    <m/>
    <m/>
    <m/>
    <m/>
    <m/>
    <n v="0"/>
    <n v="0"/>
    <m/>
    <m/>
    <m/>
    <m/>
    <m/>
    <m/>
    <m/>
    <m/>
    <m/>
    <m/>
    <m/>
    <m/>
    <m/>
    <n v="0"/>
    <n v="0"/>
    <n v="0"/>
    <n v="8"/>
    <n v="1884000"/>
    <s v=" "/>
    <x v="3"/>
    <n v="18840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3"/>
    <s v="Обеспечение поддержки работоспособности системы в ходе ОЭ / Приемочных испытаний "/>
    <s v="Обеспечение поддержки работоспособности системы в ходе Приемочных испытаний (оформление Протокола испытаний)"/>
    <m/>
    <x v="2"/>
    <x v="0"/>
    <m/>
    <m/>
    <d v="2019-11-15T00:00:00"/>
    <n v="30"/>
    <d v="2019-12-15T00:00:00"/>
    <m/>
    <m/>
    <m/>
    <m/>
    <s v="ДИТ"/>
    <n v="235500"/>
    <m/>
    <m/>
    <m/>
    <n v="0"/>
    <m/>
    <m/>
    <m/>
    <m/>
    <m/>
    <m/>
    <m/>
    <m/>
    <m/>
    <m/>
    <m/>
    <m/>
    <m/>
    <n v="0"/>
    <n v="0"/>
    <m/>
    <m/>
    <m/>
    <m/>
    <m/>
    <m/>
    <m/>
    <m/>
    <m/>
    <m/>
    <m/>
    <m/>
    <m/>
    <n v="0"/>
    <n v="0"/>
    <m/>
    <m/>
    <n v="1"/>
    <n v="1"/>
    <n v="1"/>
    <n v="1"/>
    <n v="1"/>
    <n v="1"/>
    <n v="1"/>
    <n v="1"/>
    <m/>
    <m/>
    <m/>
    <n v="8"/>
    <n v="1884000"/>
    <m/>
    <m/>
    <m/>
    <m/>
    <m/>
    <m/>
    <m/>
    <m/>
    <m/>
    <m/>
    <m/>
    <m/>
    <m/>
    <n v="0"/>
    <n v="0"/>
    <m/>
    <m/>
    <m/>
    <m/>
    <m/>
    <m/>
    <m/>
    <m/>
    <m/>
    <m/>
    <m/>
    <m/>
    <m/>
    <n v="0"/>
    <n v="0"/>
    <n v="0"/>
    <n v="8"/>
    <n v="1884000"/>
    <s v=" "/>
    <x v="3"/>
    <n v="1884000"/>
  </r>
  <r>
    <m/>
    <m/>
    <m/>
    <m/>
    <x v="2"/>
    <x v="0"/>
    <m/>
    <m/>
    <m/>
    <m/>
    <s v=" "/>
    <m/>
    <m/>
    <m/>
    <m/>
    <s v="ДИТ"/>
    <m/>
    <m/>
    <m/>
    <m/>
    <n v="0"/>
    <m/>
    <m/>
    <m/>
    <m/>
    <m/>
    <m/>
    <m/>
    <m/>
    <m/>
    <m/>
    <m/>
    <m/>
    <m/>
    <n v="0"/>
    <n v="0"/>
    <m/>
    <m/>
    <m/>
    <m/>
    <m/>
    <m/>
    <m/>
    <m/>
    <m/>
    <m/>
    <m/>
    <m/>
    <m/>
    <n v="0"/>
    <n v="0"/>
    <m/>
    <m/>
    <m/>
    <m/>
    <m/>
    <m/>
    <m/>
    <m/>
    <m/>
    <m/>
    <m/>
    <m/>
    <m/>
    <n v="0"/>
    <n v="0"/>
    <m/>
    <m/>
    <m/>
    <m/>
    <m/>
    <m/>
    <m/>
    <m/>
    <m/>
    <m/>
    <m/>
    <m/>
    <m/>
    <n v="0"/>
    <n v="0"/>
    <m/>
    <m/>
    <m/>
    <m/>
    <m/>
    <m/>
    <m/>
    <m/>
    <m/>
    <m/>
    <m/>
    <m/>
    <m/>
    <n v="0"/>
    <n v="0"/>
    <n v="0"/>
    <n v="0"/>
    <n v="0"/>
    <s v=" "/>
    <x v="1"/>
    <n v="0"/>
  </r>
  <r>
    <s v="13.5.44"/>
    <s v="Оформление и подписание  Акта приема-передачи на поддержку"/>
    <s v="Оформление и подписание  Акта приема-передачи на поддержку"/>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13.5.49"/>
    <s v="Подготовка финального УК по завершению проекта"/>
    <s v="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
    <m/>
    <x v="1"/>
    <x v="0"/>
    <m/>
    <m/>
    <m/>
    <m/>
    <s v=" "/>
    <m/>
    <m/>
    <m/>
    <m/>
    <s v="ДИТ"/>
    <m/>
    <m/>
    <m/>
    <m/>
    <n v="0"/>
    <m/>
    <m/>
    <m/>
    <m/>
    <m/>
    <m/>
    <m/>
    <m/>
    <m/>
    <m/>
    <m/>
    <m/>
    <m/>
    <n v="0"/>
    <n v="0"/>
    <m/>
    <m/>
    <m/>
    <m/>
    <m/>
    <m/>
    <m/>
    <m/>
    <m/>
    <m/>
    <m/>
    <m/>
    <m/>
    <n v="0"/>
    <n v="0"/>
    <m/>
    <m/>
    <m/>
    <m/>
    <m/>
    <m/>
    <m/>
    <m/>
    <m/>
    <m/>
    <m/>
    <m/>
    <m/>
    <n v="0"/>
    <n v="0"/>
    <m/>
    <m/>
    <m/>
    <m/>
    <m/>
    <m/>
    <m/>
    <m/>
    <m/>
    <m/>
    <m/>
    <m/>
    <m/>
    <n v="0"/>
    <n v="0"/>
    <m/>
    <m/>
    <m/>
    <m/>
    <m/>
    <m/>
    <m/>
    <m/>
    <m/>
    <m/>
    <m/>
    <m/>
    <m/>
    <n v="0"/>
    <n v="0"/>
    <n v="0"/>
    <n v="0"/>
    <n v="0"/>
    <s v=" "/>
    <x v="1"/>
    <n v="0"/>
  </r>
  <r>
    <m/>
    <m/>
    <m/>
    <m/>
    <x v="1"/>
    <x v="0"/>
    <m/>
    <m/>
    <m/>
    <m/>
    <s v=" "/>
    <m/>
    <m/>
    <m/>
    <m/>
    <s v="ДИТ"/>
    <m/>
    <m/>
    <m/>
    <m/>
    <n v="0"/>
    <m/>
    <m/>
    <m/>
    <m/>
    <m/>
    <m/>
    <m/>
    <m/>
    <m/>
    <m/>
    <m/>
    <m/>
    <m/>
    <n v="0"/>
    <n v="0"/>
    <m/>
    <m/>
    <m/>
    <m/>
    <m/>
    <m/>
    <m/>
    <m/>
    <m/>
    <m/>
    <m/>
    <m/>
    <m/>
    <n v="0"/>
    <n v="0"/>
    <m/>
    <m/>
    <m/>
    <m/>
    <m/>
    <m/>
    <m/>
    <m/>
    <m/>
    <m/>
    <m/>
    <m/>
    <m/>
    <n v="0"/>
    <n v="0"/>
    <m/>
    <m/>
    <m/>
    <m/>
    <m/>
    <m/>
    <m/>
    <m/>
    <m/>
    <m/>
    <m/>
    <m/>
    <m/>
    <n v="0"/>
    <n v="0"/>
    <m/>
    <m/>
    <m/>
    <m/>
    <m/>
    <m/>
    <m/>
    <m/>
    <m/>
    <m/>
    <m/>
    <m/>
    <m/>
    <n v="0"/>
    <n v="0"/>
    <n v="0"/>
    <n v="0"/>
    <n v="0"/>
    <s v=" "/>
    <x v="1"/>
    <n v="0"/>
  </r>
  <r>
    <s v="Итого по этапу №5:"/>
    <m/>
    <m/>
    <m/>
    <x v="0"/>
    <x v="0"/>
    <m/>
    <m/>
    <m/>
    <m/>
    <m/>
    <m/>
    <m/>
    <m/>
    <m/>
    <m/>
    <s v=""/>
    <m/>
    <n v="0"/>
    <n v="0"/>
    <n v="0"/>
    <n v="0"/>
    <n v="0"/>
    <n v="0"/>
    <n v="0"/>
    <n v="0"/>
    <n v="0"/>
    <n v="0"/>
    <n v="0"/>
    <n v="0"/>
    <n v="0"/>
    <n v="0"/>
    <n v="0"/>
    <n v="0"/>
    <n v="0"/>
    <n v="0"/>
    <n v="0"/>
    <n v="0"/>
    <n v="4"/>
    <n v="4"/>
    <n v="4"/>
    <n v="4"/>
    <n v="1"/>
    <n v="1"/>
    <n v="2"/>
    <n v="2"/>
    <n v="2"/>
    <n v="2"/>
    <n v="0"/>
    <n v="26"/>
    <n v="13448000"/>
    <n v="12"/>
    <n v="12"/>
    <n v="3"/>
    <n v="3"/>
    <n v="3"/>
    <n v="3"/>
    <n v="3"/>
    <n v="3"/>
    <n v="3"/>
    <n v="3"/>
    <n v="0"/>
    <n v="0"/>
    <n v="0"/>
    <n v="48"/>
    <n v="7745538.4800000004"/>
    <n v="0"/>
    <n v="0"/>
    <n v="0"/>
    <n v="0"/>
    <n v="0"/>
    <n v="0"/>
    <n v="0"/>
    <n v="0"/>
    <n v="0"/>
    <n v="0"/>
    <n v="0"/>
    <n v="0"/>
    <n v="0"/>
    <n v="0"/>
    <n v="0"/>
    <n v="0"/>
    <n v="0"/>
    <n v="0"/>
    <n v="0"/>
    <n v="0"/>
    <n v="0"/>
    <n v="0"/>
    <n v="0"/>
    <n v="0"/>
    <n v="0"/>
    <n v="0"/>
    <n v="0"/>
    <n v="0"/>
    <n v="0"/>
    <n v="0"/>
    <n v="0"/>
    <n v="74"/>
    <n v="21193538.479999989"/>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Таблица3" cacheId="1" applyNumberFormats="0" applyBorderFormats="0" applyFontFormats="0" applyPatternFormats="0" applyAlignmentFormats="0" applyWidthHeightFormats="1" dataCaption="Значения" updatedVersion="6" minRefreshableVersion="3" useAutoFormatting="1" itemPrintTitles="1" createdVersion="5" indent="0" outline="1" outlineData="1" multipleFieldFilters="0">
  <location ref="A1:BV64" firstHeaderRow="0" firstDataRow="1" firstDataCol="1"/>
  <pivotFields count="89">
    <pivotField showAll="0"/>
    <pivotField showAll="0"/>
    <pivotField axis="axisRow" showAll="0">
      <items count="3">
        <item x="0"/>
        <item x="1"/>
        <item t="default"/>
      </items>
    </pivotField>
    <pivotField axis="axisRow" showAll="0">
      <items count="11">
        <item x="0"/>
        <item x="1"/>
        <item x="2"/>
        <item x="5"/>
        <item x="3"/>
        <item x="4"/>
        <item x="6"/>
        <item x="7"/>
        <item x="8"/>
        <item x="9"/>
        <item t="default"/>
      </items>
    </pivotField>
    <pivotField axis="axisRow" showAll="0">
      <items count="7">
        <item x="0"/>
        <item x="5"/>
        <item x="2"/>
        <item x="1"/>
        <item x="3"/>
        <item x="4"/>
        <item t="default"/>
      </items>
    </pivotField>
    <pivotField axis="axisRow" showAll="0">
      <items count="14">
        <item x="0"/>
        <item x="1"/>
        <item x="2"/>
        <item x="3"/>
        <item x="4"/>
        <item x="5"/>
        <item x="6"/>
        <item x="7"/>
        <item x="8"/>
        <item x="9"/>
        <item x="10"/>
        <item x="11"/>
        <item x="12"/>
        <item t="default"/>
      </items>
    </pivotField>
    <pivotField showAll="0" defaultSubtotal="0"/>
    <pivotField showAll="0"/>
    <pivotField showAll="0"/>
    <pivotField showAll="0" defaultSubtota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showAll="0"/>
    <pivotField dataField="1" showAll="0"/>
    <pivotField dataField="1" showAll="0"/>
  </pivotFields>
  <rowFields count="4">
    <field x="5"/>
    <field x="4"/>
    <field x="2"/>
    <field x="3"/>
  </rowFields>
  <rowItems count="63">
    <i>
      <x/>
    </i>
    <i r="1">
      <x/>
    </i>
    <i r="2">
      <x/>
    </i>
    <i r="3">
      <x/>
    </i>
    <i>
      <x v="1"/>
    </i>
    <i r="1">
      <x v="3"/>
    </i>
    <i r="2">
      <x/>
    </i>
    <i r="3">
      <x v="1"/>
    </i>
    <i>
      <x v="2"/>
    </i>
    <i r="1">
      <x v="2"/>
    </i>
    <i r="2">
      <x/>
    </i>
    <i r="3">
      <x v="2"/>
    </i>
    <i>
      <x v="3"/>
    </i>
    <i r="1">
      <x v="4"/>
    </i>
    <i r="2">
      <x/>
    </i>
    <i r="3">
      <x v="4"/>
    </i>
    <i>
      <x v="4"/>
    </i>
    <i r="1">
      <x v="4"/>
    </i>
    <i r="2">
      <x/>
    </i>
    <i r="3">
      <x v="5"/>
    </i>
    <i r="3">
      <x v="7"/>
    </i>
    <i r="2">
      <x v="1"/>
    </i>
    <i r="3">
      <x v="5"/>
    </i>
    <i>
      <x v="5"/>
    </i>
    <i r="1">
      <x v="4"/>
    </i>
    <i r="2">
      <x/>
    </i>
    <i r="3">
      <x v="3"/>
    </i>
    <i>
      <x v="6"/>
    </i>
    <i r="1">
      <x v="2"/>
    </i>
    <i r="2">
      <x v="1"/>
    </i>
    <i r="3">
      <x v="6"/>
    </i>
    <i>
      <x v="7"/>
    </i>
    <i r="1">
      <x v="3"/>
    </i>
    <i r="2">
      <x/>
    </i>
    <i r="3">
      <x v="5"/>
    </i>
    <i r="1">
      <x v="4"/>
    </i>
    <i r="2">
      <x v="1"/>
    </i>
    <i r="3">
      <x v="5"/>
    </i>
    <i>
      <x v="8"/>
    </i>
    <i r="1">
      <x v="3"/>
    </i>
    <i r="2">
      <x/>
    </i>
    <i r="3">
      <x v="5"/>
    </i>
    <i r="2">
      <x v="1"/>
    </i>
    <i r="3">
      <x v="5"/>
    </i>
    <i>
      <x v="9"/>
    </i>
    <i r="1">
      <x v="3"/>
    </i>
    <i r="2">
      <x/>
    </i>
    <i r="3">
      <x v="5"/>
    </i>
    <i r="2">
      <x v="1"/>
    </i>
    <i r="3">
      <x v="5"/>
    </i>
    <i>
      <x v="10"/>
    </i>
    <i r="1">
      <x v="5"/>
    </i>
    <i r="2">
      <x/>
    </i>
    <i r="3">
      <x v="8"/>
    </i>
    <i>
      <x v="11"/>
    </i>
    <i r="1">
      <x v="5"/>
    </i>
    <i r="2">
      <x/>
    </i>
    <i r="3">
      <x v="8"/>
    </i>
    <i>
      <x v="12"/>
    </i>
    <i r="1">
      <x v="1"/>
    </i>
    <i r="2">
      <x/>
    </i>
    <i r="3">
      <x v="9"/>
    </i>
    <i t="grand">
      <x/>
    </i>
  </rowItems>
  <colFields count="1">
    <field x="-2"/>
  </colFields>
  <colItems count="73">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colItems>
  <dataFields count="73">
    <dataField name=" Стоимость до 2016 вкл., руб" fld="10" baseField="5" baseItem="1" numFmtId="4"/>
    <dataField name="01.2017" fld="11" baseField="5" baseItem="0"/>
    <dataField name="02.2017" fld="12" baseField="5" baseItem="0"/>
    <dataField name="03.2017" fld="13" baseField="5" baseItem="0"/>
    <dataField name="04.2017" fld="14" baseField="5" baseItem="0"/>
    <dataField name="05.2017" fld="15" baseField="5" baseItem="0"/>
    <dataField name="06.2017" fld="16" baseField="5" baseItem="0"/>
    <dataField name="07.2017" fld="17" baseField="5" baseItem="0"/>
    <dataField name="08.2017" fld="18" baseField="5" baseItem="0"/>
    <dataField name="09.2017" fld="19" baseField="5" baseItem="0"/>
    <dataField name="10.2017" fld="20" baseField="5" baseItem="0"/>
    <dataField name="11.2017" fld="21" baseField="5" baseItem="0"/>
    <dataField name="12.2017" fld="22" baseField="5" baseItem="0"/>
    <dataField name="Трудоемкость 2017" fld="24" baseField="5" baseItem="1"/>
    <dataField name="Стоимость 2017, руб" fld="25" baseField="5" baseItem="1" numFmtId="4"/>
    <dataField name="01.2018" fld="26" baseField="5" baseItem="0"/>
    <dataField name="02.2018" fld="27" baseField="5" baseItem="0"/>
    <dataField name="03.2018" fld="28" baseField="5" baseItem="0"/>
    <dataField name="04.2018" fld="29" baseField="5" baseItem="0"/>
    <dataField name="05.2018" fld="30" baseField="5" baseItem="0"/>
    <dataField name="06.2018" fld="31" baseField="5" baseItem="0"/>
    <dataField name="07.2018" fld="32" baseField="5" baseItem="0"/>
    <dataField name="08.2018" fld="33" subtotal="count" baseField="5" baseItem="1"/>
    <dataField name="09.2018" fld="34" baseField="5" baseItem="1"/>
    <dataField name="10.2018" fld="35" subtotal="count" baseField="5" baseItem="1"/>
    <dataField name="11.2018" fld="36" subtotal="count" baseField="5" baseItem="1"/>
    <dataField name="12.2018" fld="37" subtotal="count" baseField="5" baseItem="1"/>
    <dataField name="Трудоемкость 2018" fld="39" baseField="5" baseItem="1"/>
    <dataField name="Стоимость 2018, руб" fld="40" baseField="5" baseItem="1" numFmtId="4"/>
    <dataField name="01.2019" fld="41" baseField="5" baseItem="1"/>
    <dataField name="02.2019" fld="42" baseField="5" baseItem="1"/>
    <dataField name="03.2019" fld="43" baseField="5" baseItem="1"/>
    <dataField name="04.2019" fld="44" baseField="5" baseItem="1"/>
    <dataField name="05.2019" fld="45" baseField="5" baseItem="1"/>
    <dataField name="06.2019" fld="46" baseField="5" baseItem="1"/>
    <dataField name="07.2019" fld="47" baseField="5" baseItem="1"/>
    <dataField name="08.2019" fld="48" baseField="5" baseItem="1"/>
    <dataField name="09.2019" fld="49" baseField="5" baseItem="1"/>
    <dataField name="10.2019" fld="50" baseField="5" baseItem="1"/>
    <dataField name="11.2019" fld="51" baseField="5" baseItem="1"/>
    <dataField name="12.2019" fld="52" baseField="5" baseItem="1"/>
    <dataField name="Трудоемкость 2019" fld="54" baseField="5" baseItem="1"/>
    <dataField name="Стоимость 2019, руб" fld="55" baseField="5" baseItem="1" numFmtId="4"/>
    <dataField name="01.2020" fld="56" baseField="5" baseItem="1"/>
    <dataField name="02.2020" fld="57" baseField="5" baseItem="1"/>
    <dataField name="03.2020" fld="58" baseField="5" baseItem="1"/>
    <dataField name="04.2020" fld="59" baseField="5" baseItem="1"/>
    <dataField name="05.2020" fld="60" baseField="5" baseItem="1"/>
    <dataField name="06.2020" fld="61" baseField="5" baseItem="1"/>
    <dataField name="07.2020" fld="62" baseField="5" baseItem="1"/>
    <dataField name="08.2020" fld="63" baseField="5" baseItem="1"/>
    <dataField name="09.2020" fld="64" baseField="5" baseItem="1"/>
    <dataField name="10.2020" fld="65" baseField="5" baseItem="1"/>
    <dataField name="11.2020" fld="66" baseField="5" baseItem="1"/>
    <dataField name="12.2020" fld="67" baseField="5" baseItem="1"/>
    <dataField name="Трудоемкость 2020" fld="69" baseField="5" baseItem="1"/>
    <dataField name="Стоимость 2020, руб" fld="70" baseField="5" baseItem="1" numFmtId="4"/>
    <dataField name="01.2021" fld="71" baseField="5" baseItem="1"/>
    <dataField name="02.2021" fld="72" baseField="5" baseItem="1"/>
    <dataField name="03.2021" fld="73" baseField="5" baseItem="1"/>
    <dataField name="04.2021" fld="74" baseField="5" baseItem="1"/>
    <dataField name="05.2021" fld="75" baseField="5" baseItem="1"/>
    <dataField name="06.2021" fld="76" baseField="5" baseItem="1"/>
    <dataField name="07.2021" fld="77" baseField="5" baseItem="1"/>
    <dataField name="08.2021" fld="78" baseField="5" baseItem="1"/>
    <dataField name="09.2021" fld="79" baseField="5" baseItem="1"/>
    <dataField name="10.2021" fld="80" baseField="5" baseItem="1"/>
    <dataField name="11.2021" fld="81" baseField="5" baseItem="1"/>
    <dataField name="12.2021" fld="82" baseField="5" baseItem="1"/>
    <dataField name="Трудоемкость 2021" fld="84" baseField="5" baseItem="1"/>
    <dataField name="Стоимость 2021, руб." fld="85" baseField="5" baseItem="1" numFmtId="4"/>
    <dataField name="Итого Трудоемкость" fld="87" baseField="5" baseItem="1"/>
    <dataField name="Итого Стоимость руб. без НДС" fld="88" baseField="5" baseItem="1" numFmtId="4"/>
  </dataFields>
  <formats count="36">
    <format dxfId="126">
      <pivotArea outline="0" collapsedLevelsAreSubtotals="1" fieldPosition="0">
        <references count="1">
          <reference field="4294967294" count="1" selected="0">
            <x v="14"/>
          </reference>
        </references>
      </pivotArea>
    </format>
    <format dxfId="125">
      <pivotArea type="all" dataOnly="0" outline="0" fieldPosition="0"/>
    </format>
    <format dxfId="124">
      <pivotArea outline="0" collapsedLevelsAreSubtotals="1" fieldPosition="0"/>
    </format>
    <format dxfId="123">
      <pivotArea field="5" type="button" dataOnly="0" labelOnly="1" outline="0" axis="axisRow" fieldPosition="0"/>
    </format>
    <format dxfId="122">
      <pivotArea dataOnly="0" labelOnly="1" grandRow="1" outline="0" fieldPosition="0"/>
    </format>
    <format dxfId="121">
      <pivotArea dataOnly="0" labelOnly="1" outline="0" fieldPosition="0">
        <references count="1">
          <reference field="4294967294" count="26">
            <x v="1"/>
            <x v="2"/>
            <x v="3"/>
            <x v="4"/>
            <x v="5"/>
            <x v="6"/>
            <x v="7"/>
            <x v="8"/>
            <x v="9"/>
            <x v="10"/>
            <x v="11"/>
            <x v="12"/>
            <x v="13"/>
            <x v="14"/>
            <x v="15"/>
            <x v="16"/>
            <x v="17"/>
            <x v="18"/>
            <x v="19"/>
            <x v="20"/>
            <x v="21"/>
            <x v="22"/>
            <x v="23"/>
            <x v="24"/>
            <x v="25"/>
            <x v="26"/>
          </reference>
        </references>
      </pivotArea>
    </format>
    <format dxfId="120">
      <pivotArea outline="0" collapsedLevelsAreSubtotals="1" fieldPosition="0">
        <references count="1">
          <reference field="4294967294" count="1" selected="0">
            <x v="28"/>
          </reference>
        </references>
      </pivotArea>
    </format>
    <format dxfId="119">
      <pivotArea outline="0" collapsedLevelsAreSubtotals="1" fieldPosition="0">
        <references count="1">
          <reference field="4294967294" count="1" selected="0">
            <x v="42"/>
          </reference>
        </references>
      </pivotArea>
    </format>
    <format dxfId="118">
      <pivotArea outline="0" collapsedLevelsAreSubtotals="1" fieldPosition="0">
        <references count="1">
          <reference field="4294967294" count="1" selected="0">
            <x v="56"/>
          </reference>
        </references>
      </pivotArea>
    </format>
    <format dxfId="117">
      <pivotArea outline="0" collapsedLevelsAreSubtotals="1" fieldPosition="0">
        <references count="1">
          <reference field="4294967294" count="1" selected="0">
            <x v="70"/>
          </reference>
        </references>
      </pivotArea>
    </format>
    <format dxfId="116">
      <pivotArea outline="0" collapsedLevelsAreSubtotals="1" fieldPosition="0">
        <references count="1">
          <reference field="4294967294" count="1" selected="0">
            <x v="0"/>
          </reference>
        </references>
      </pivotArea>
    </format>
    <format dxfId="115">
      <pivotArea dataOnly="0" labelOnly="1" outline="0" fieldPosition="0">
        <references count="1">
          <reference field="4294967294" count="1">
            <x v="0"/>
          </reference>
        </references>
      </pivotArea>
    </format>
    <format dxfId="114">
      <pivotArea outline="0" collapsedLevelsAreSubtotals="1" fieldPosition="0">
        <references count="1">
          <reference field="4294967294" count="14" selected="0">
            <x v="1"/>
            <x v="2"/>
            <x v="3"/>
            <x v="4"/>
            <x v="5"/>
            <x v="6"/>
            <x v="7"/>
            <x v="8"/>
            <x v="9"/>
            <x v="10"/>
            <x v="11"/>
            <x v="12"/>
            <x v="13"/>
            <x v="14"/>
          </reference>
        </references>
      </pivotArea>
    </format>
    <format dxfId="113">
      <pivotArea dataOnly="0" labelOnly="1" outline="0" fieldPosition="0">
        <references count="1">
          <reference field="4294967294" count="14">
            <x v="1"/>
            <x v="2"/>
            <x v="3"/>
            <x v="4"/>
            <x v="5"/>
            <x v="6"/>
            <x v="7"/>
            <x v="8"/>
            <x v="9"/>
            <x v="10"/>
            <x v="11"/>
            <x v="12"/>
            <x v="13"/>
            <x v="14"/>
          </reference>
        </references>
      </pivotArea>
    </format>
    <format dxfId="112">
      <pivotArea outline="0" collapsedLevelsAreSubtotals="1" fieldPosition="0">
        <references count="1">
          <reference field="4294967294" count="14" selected="0">
            <x v="15"/>
            <x v="16"/>
            <x v="17"/>
            <x v="18"/>
            <x v="19"/>
            <x v="20"/>
            <x v="21"/>
            <x v="22"/>
            <x v="23"/>
            <x v="24"/>
            <x v="25"/>
            <x v="26"/>
            <x v="27"/>
            <x v="28"/>
          </reference>
        </references>
      </pivotArea>
    </format>
    <format dxfId="111">
      <pivotArea dataOnly="0" labelOnly="1" outline="0" fieldPosition="0">
        <references count="1">
          <reference field="4294967294" count="14">
            <x v="15"/>
            <x v="16"/>
            <x v="17"/>
            <x v="18"/>
            <x v="19"/>
            <x v="20"/>
            <x v="21"/>
            <x v="22"/>
            <x v="23"/>
            <x v="24"/>
            <x v="25"/>
            <x v="26"/>
            <x v="27"/>
            <x v="28"/>
          </reference>
        </references>
      </pivotArea>
    </format>
    <format dxfId="110">
      <pivotArea outline="0" collapsedLevelsAreSubtotals="1" fieldPosition="0">
        <references count="1">
          <reference field="4294967294" count="14" selected="0">
            <x v="29"/>
            <x v="30"/>
            <x v="31"/>
            <x v="32"/>
            <x v="33"/>
            <x v="34"/>
            <x v="35"/>
            <x v="36"/>
            <x v="37"/>
            <x v="38"/>
            <x v="39"/>
            <x v="40"/>
            <x v="41"/>
            <x v="42"/>
          </reference>
        </references>
      </pivotArea>
    </format>
    <format dxfId="109">
      <pivotArea dataOnly="0" labelOnly="1" outline="0" fieldPosition="0">
        <references count="1">
          <reference field="4294967294" count="14">
            <x v="29"/>
            <x v="30"/>
            <x v="31"/>
            <x v="32"/>
            <x v="33"/>
            <x v="34"/>
            <x v="35"/>
            <x v="36"/>
            <x v="37"/>
            <x v="38"/>
            <x v="39"/>
            <x v="40"/>
            <x v="41"/>
            <x v="42"/>
          </reference>
        </references>
      </pivotArea>
    </format>
    <format dxfId="108">
      <pivotArea dataOnly="0" outline="0" fieldPosition="0">
        <references count="1">
          <reference field="4294967294" count="14">
            <x v="43"/>
            <x v="44"/>
            <x v="45"/>
            <x v="46"/>
            <x v="47"/>
            <x v="48"/>
            <x v="49"/>
            <x v="50"/>
            <x v="51"/>
            <x v="52"/>
            <x v="53"/>
            <x v="54"/>
            <x v="55"/>
            <x v="56"/>
          </reference>
        </references>
      </pivotArea>
    </format>
    <format dxfId="107">
      <pivotArea outline="0" collapsedLevelsAreSubtotals="1" fieldPosition="0">
        <references count="1">
          <reference field="4294967294" count="14" selected="0">
            <x v="57"/>
            <x v="58"/>
            <x v="59"/>
            <x v="60"/>
            <x v="61"/>
            <x v="62"/>
            <x v="63"/>
            <x v="64"/>
            <x v="65"/>
            <x v="66"/>
            <x v="67"/>
            <x v="68"/>
            <x v="69"/>
            <x v="70"/>
          </reference>
        </references>
      </pivotArea>
    </format>
    <format dxfId="106">
      <pivotArea dataOnly="0" labelOnly="1" outline="0" fieldPosition="0">
        <references count="1">
          <reference field="4294967294" count="14">
            <x v="57"/>
            <x v="58"/>
            <x v="59"/>
            <x v="60"/>
            <x v="61"/>
            <x v="62"/>
            <x v="63"/>
            <x v="64"/>
            <x v="65"/>
            <x v="66"/>
            <x v="67"/>
            <x v="68"/>
            <x v="69"/>
            <x v="70"/>
          </reference>
        </references>
      </pivotArea>
    </format>
    <format dxfId="105">
      <pivotArea field="5" type="button" dataOnly="0" labelOnly="1" outline="0" axis="axisRow" fieldPosition="0"/>
    </format>
    <format dxfId="104">
      <pivotArea dataOnly="0" labelOnly="1" grandRow="1" outline="0" fieldPosition="0"/>
    </format>
    <format dxfId="103">
      <pivotArea grandRow="1" outline="0" collapsedLevelsAreSubtotals="1" fieldPosition="0"/>
    </format>
    <format dxfId="102">
      <pivotArea dataOnly="0" labelOnly="1" grandRow="1" outline="0" fieldPosition="0"/>
    </format>
    <format dxfId="101">
      <pivotArea outline="0" collapsedLevelsAreSubtotals="1" fieldPosition="0">
        <references count="1">
          <reference field="4294967294" count="1" selected="0">
            <x v="72"/>
          </reference>
        </references>
      </pivotArea>
    </format>
    <format dxfId="100">
      <pivotArea outline="0" collapsedLevelsAreSubtotals="1" fieldPosition="0">
        <references count="1">
          <reference field="4294967294" count="2" selected="0">
            <x v="71"/>
            <x v="72"/>
          </reference>
        </references>
      </pivotArea>
    </format>
    <format dxfId="99">
      <pivotArea dataOnly="0" labelOnly="1" outline="0" fieldPosition="0">
        <references count="1">
          <reference field="4294967294" count="2">
            <x v="71"/>
            <x v="72"/>
          </reference>
        </references>
      </pivotArea>
    </format>
    <format dxfId="98">
      <pivotArea dataOnly="0" labelOnly="1" outline="0" fieldPosition="0">
        <references count="1">
          <reference field="4294967294" count="2">
            <x v="71"/>
            <x v="72"/>
          </reference>
        </references>
      </pivotArea>
    </format>
    <format dxfId="97">
      <pivotArea outline="0" collapsedLevelsAreSubtotals="1" fieldPosition="0">
        <references count="1">
          <reference field="4294967294" count="1" selected="0">
            <x v="0"/>
          </reference>
        </references>
      </pivotArea>
    </format>
    <format dxfId="96">
      <pivotArea outline="0" collapsedLevelsAreSubtotals="1" fieldPosition="0">
        <references count="1">
          <reference field="4294967294" count="13" selected="0">
            <x v="1"/>
            <x v="2"/>
            <x v="3"/>
            <x v="4"/>
            <x v="5"/>
            <x v="6"/>
            <x v="7"/>
            <x v="8"/>
            <x v="9"/>
            <x v="10"/>
            <x v="11"/>
            <x v="12"/>
            <x v="13"/>
          </reference>
        </references>
      </pivotArea>
    </format>
    <format dxfId="95">
      <pivotArea outline="0" collapsedLevelsAreSubtotals="1" fieldPosition="0">
        <references count="1">
          <reference field="4294967294" count="13" selected="0">
            <x v="15"/>
            <x v="16"/>
            <x v="17"/>
            <x v="18"/>
            <x v="19"/>
            <x v="20"/>
            <x v="21"/>
            <x v="22"/>
            <x v="23"/>
            <x v="24"/>
            <x v="25"/>
            <x v="26"/>
            <x v="27"/>
          </reference>
        </references>
      </pivotArea>
    </format>
    <format dxfId="94">
      <pivotArea outline="0" collapsedLevelsAreSubtotals="1" fieldPosition="0">
        <references count="1">
          <reference field="4294967294" count="13" selected="0">
            <x v="29"/>
            <x v="30"/>
            <x v="31"/>
            <x v="32"/>
            <x v="33"/>
            <x v="34"/>
            <x v="35"/>
            <x v="36"/>
            <x v="37"/>
            <x v="38"/>
            <x v="39"/>
            <x v="40"/>
            <x v="41"/>
          </reference>
        </references>
      </pivotArea>
    </format>
    <format dxfId="93">
      <pivotArea outline="0" collapsedLevelsAreSubtotals="1" fieldPosition="0">
        <references count="1">
          <reference field="4294967294" count="13" selected="0">
            <x v="43"/>
            <x v="44"/>
            <x v="45"/>
            <x v="46"/>
            <x v="47"/>
            <x v="48"/>
            <x v="49"/>
            <x v="50"/>
            <x v="51"/>
            <x v="52"/>
            <x v="53"/>
            <x v="54"/>
            <x v="55"/>
          </reference>
        </references>
      </pivotArea>
    </format>
    <format dxfId="92">
      <pivotArea outline="0" collapsedLevelsAreSubtotals="1" fieldPosition="0">
        <references count="1">
          <reference field="4294967294" count="13" selected="0">
            <x v="57"/>
            <x v="58"/>
            <x v="59"/>
            <x v="60"/>
            <x v="61"/>
            <x v="62"/>
            <x v="63"/>
            <x v="64"/>
            <x v="65"/>
            <x v="66"/>
            <x v="67"/>
            <x v="68"/>
            <x v="69"/>
          </reference>
        </references>
      </pivotArea>
    </format>
    <format dxfId="91">
      <pivotArea outline="0" collapsedLevelsAreSubtotals="1" fieldPosition="0">
        <references count="1">
          <reference field="4294967294" count="1" selected="0">
            <x v="7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СводнаяТаблица3" cacheId="3" applyNumberFormats="0" applyBorderFormats="0" applyFontFormats="0" applyPatternFormats="0" applyAlignmentFormats="0" applyWidthHeightFormats="1" dataCaption="Значения" updatedVersion="6" minRefreshableVersion="3" itemPrintTitles="1" createdVersion="5" indent="0" outline="1" outlineData="1" multipleFieldFilters="0">
  <location ref="B12:O14" firstHeaderRow="0" firstDataRow="1" firstDataCol="1"/>
  <pivotFields count="81">
    <pivotField showAll="0"/>
    <pivotField showAll="0"/>
    <pivotField axis="axisRow" showAll="0" sortType="ascending">
      <items count="5">
        <item x="1"/>
        <item h="1" x="2"/>
        <item h="1" x="3"/>
        <item h="1" x="0"/>
        <item t="default"/>
      </items>
    </pivotField>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s>
  <rowFields count="1">
    <field x="2"/>
  </rowFields>
  <rowItems count="2">
    <i>
      <x/>
    </i>
    <i t="grand">
      <x/>
    </i>
  </rowItems>
  <colFields count="1">
    <field x="-2"/>
  </colFields>
  <colItems count="13">
    <i>
      <x/>
    </i>
    <i i="1">
      <x v="1"/>
    </i>
    <i i="2">
      <x v="2"/>
    </i>
    <i i="3">
      <x v="3"/>
    </i>
    <i i="4">
      <x v="4"/>
    </i>
    <i i="5">
      <x v="5"/>
    </i>
    <i i="6">
      <x v="6"/>
    </i>
    <i i="7">
      <x v="7"/>
    </i>
    <i i="8">
      <x v="8"/>
    </i>
    <i i="9">
      <x v="9"/>
    </i>
    <i i="10">
      <x v="10"/>
    </i>
    <i i="11">
      <x v="11"/>
    </i>
    <i i="12">
      <x v="12"/>
    </i>
  </colItems>
  <dataFields count="13">
    <dataField name="2017 г." fld="19" baseField="2" baseItem="2" numFmtId="3"/>
    <dataField name="2018 г." fld="32" baseField="2" baseItem="2" numFmtId="3"/>
    <dataField name="2019 г." fld="45" baseField="2" baseItem="2"/>
    <dataField name="2020 г." fld="58" baseField="2" baseItem="2"/>
    <dataField name="2021 г." fld="71" baseField="2" baseItem="2"/>
    <dataField name="Всего руб. без НДС." fld="72" baseField="2" baseItem="0" numFmtId="3"/>
    <dataField name="до 2016 г. вкл. " fld="80" baseField="2" baseItem="2"/>
    <dataField name="2017 г. " fld="73" baseField="2" baseItem="2" numFmtId="3"/>
    <dataField name="2018 г. " fld="74" baseField="2" baseItem="2" numFmtId="3"/>
    <dataField name="2019 г. " fld="76" baseField="2" baseItem="2"/>
    <dataField name="2020 г. " fld="77" baseField="2" baseItem="2"/>
    <dataField name="2021 г. " fld="78" baseField="2" baseItem="2"/>
    <dataField name="Всего руб. c НДС. " fld="75" baseField="2" baseItem="1" numFmtId="3"/>
  </dataFields>
  <formats count="28">
    <format dxfId="29">
      <pivotArea field="2" type="button" dataOnly="0" labelOnly="1" outline="0" axis="axisRow" fieldPosition="0"/>
    </format>
    <format dxfId="28">
      <pivotArea dataOnly="0" labelOnly="1" outline="0" fieldPosition="0">
        <references count="1">
          <reference field="4294967294" count="4">
            <x v="0"/>
            <x v="1"/>
            <x v="7"/>
            <x v="8"/>
          </reference>
        </references>
      </pivotArea>
    </format>
    <format dxfId="27">
      <pivotArea outline="0" fieldPosition="0">
        <references count="1">
          <reference field="4294967294" count="1">
            <x v="5"/>
          </reference>
        </references>
      </pivotArea>
    </format>
    <format dxfId="26">
      <pivotArea collapsedLevelsAreSubtotals="1" fieldPosition="0">
        <references count="2">
          <reference field="4294967294" count="1" selected="0">
            <x v="5"/>
          </reference>
          <reference field="2" count="0"/>
        </references>
      </pivotArea>
    </format>
    <format dxfId="25">
      <pivotArea collapsedLevelsAreSubtotals="1" fieldPosition="0">
        <references count="1">
          <reference field="2" count="0"/>
        </references>
      </pivotArea>
    </format>
    <format dxfId="24">
      <pivotArea dataOnly="0" labelOnly="1" fieldPosition="0">
        <references count="1">
          <reference field="2" count="0"/>
        </references>
      </pivotArea>
    </format>
    <format dxfId="23">
      <pivotArea collapsedLevelsAreSubtotals="1" fieldPosition="0">
        <references count="1">
          <reference field="2" count="0"/>
        </references>
      </pivotArea>
    </format>
    <format dxfId="22">
      <pivotArea dataOnly="0" labelOnly="1" fieldPosition="0">
        <references count="1">
          <reference field="2" count="0"/>
        </references>
      </pivotArea>
    </format>
    <format dxfId="21">
      <pivotArea field="2" type="button" dataOnly="0" labelOnly="1" outline="0" axis="axisRow" fieldPosition="0"/>
    </format>
    <format dxfId="20">
      <pivotArea dataOnly="0" labelOnly="1" outline="0" fieldPosition="0">
        <references count="1">
          <reference field="4294967294" count="12">
            <x v="0"/>
            <x v="1"/>
            <x v="2"/>
            <x v="3"/>
            <x v="4"/>
            <x v="5"/>
            <x v="6"/>
            <x v="7"/>
            <x v="8"/>
            <x v="9"/>
            <x v="10"/>
            <x v="11"/>
          </reference>
        </references>
      </pivotArea>
    </format>
    <format dxfId="19">
      <pivotArea field="2" type="button" dataOnly="0" labelOnly="1" outline="0" axis="axisRow" fieldPosition="0"/>
    </format>
    <format dxfId="18">
      <pivotArea dataOnly="0" labelOnly="1" outline="0" fieldPosition="0">
        <references count="1">
          <reference field="4294967294" count="12">
            <x v="0"/>
            <x v="1"/>
            <x v="2"/>
            <x v="3"/>
            <x v="4"/>
            <x v="5"/>
            <x v="6"/>
            <x v="7"/>
            <x v="8"/>
            <x v="9"/>
            <x v="10"/>
            <x v="11"/>
          </reference>
        </references>
      </pivotArea>
    </format>
    <format dxfId="17">
      <pivotArea field="2" type="button" dataOnly="0" labelOnly="1" outline="0" axis="axisRow" fieldPosition="0"/>
    </format>
    <format dxfId="16">
      <pivotArea dataOnly="0" labelOnly="1" fieldPosition="0">
        <references count="1">
          <reference field="2" count="0"/>
        </references>
      </pivotArea>
    </format>
    <format dxfId="15">
      <pivotArea dataOnly="0" labelOnly="1" grandRow="1" outline="0" fieldPosition="0"/>
    </format>
    <format dxfId="14">
      <pivotArea outline="0" collapsedLevelsAreSubtotals="1" fieldPosition="0">
        <references count="1">
          <reference field="4294967294" count="6" selected="0">
            <x v="0"/>
            <x v="1"/>
            <x v="2"/>
            <x v="3"/>
            <x v="4"/>
            <x v="5"/>
          </reference>
        </references>
      </pivotArea>
    </format>
    <format dxfId="13">
      <pivotArea dataOnly="0" labelOnly="1" outline="0" fieldPosition="0">
        <references count="1">
          <reference field="4294967294" count="6">
            <x v="0"/>
            <x v="1"/>
            <x v="2"/>
            <x v="3"/>
            <x v="4"/>
            <x v="5"/>
          </reference>
        </references>
      </pivotArea>
    </format>
    <format dxfId="12">
      <pivotArea outline="0" collapsedLevelsAreSubtotals="1" fieldPosition="0">
        <references count="1">
          <reference field="4294967294" count="6" selected="0">
            <x v="6"/>
            <x v="7"/>
            <x v="8"/>
            <x v="9"/>
            <x v="10"/>
            <x v="11"/>
          </reference>
        </references>
      </pivotArea>
    </format>
    <format dxfId="11">
      <pivotArea dataOnly="0" labelOnly="1" outline="0" fieldPosition="0">
        <references count="1">
          <reference field="4294967294" count="6">
            <x v="6"/>
            <x v="7"/>
            <x v="8"/>
            <x v="9"/>
            <x v="10"/>
            <x v="11"/>
          </reference>
        </references>
      </pivotArea>
    </format>
    <format dxfId="10">
      <pivotArea grandRow="1" outline="0" collapsedLevelsAreSubtotals="1" fieldPosition="0"/>
    </format>
    <format dxfId="9">
      <pivotArea dataOnly="0" labelOnly="1" grandRow="1" outline="0" fieldPosition="0"/>
    </format>
    <format dxfId="8">
      <pivotArea outline="0" collapsedLevelsAreSubtotals="1" fieldPosition="0">
        <references count="1">
          <reference field="4294967294" count="1" selected="0">
            <x v="5"/>
          </reference>
        </references>
      </pivotArea>
    </format>
    <format dxfId="7">
      <pivotArea dataOnly="0" labelOnly="1" outline="0" fieldPosition="0">
        <references count="1">
          <reference field="4294967294" count="1">
            <x v="5"/>
          </reference>
        </references>
      </pivotArea>
    </format>
    <format dxfId="6">
      <pivotArea dataOnly="0" labelOnly="1" outline="0" fieldPosition="0">
        <references count="1">
          <reference field="4294967294" count="1">
            <x v="12"/>
          </reference>
        </references>
      </pivotArea>
    </format>
    <format dxfId="5">
      <pivotArea outline="0" collapsedLevelsAreSubtotals="1" fieldPosition="0">
        <references count="1">
          <reference field="4294967294" count="1" selected="0">
            <x v="12"/>
          </reference>
        </references>
      </pivotArea>
    </format>
    <format dxfId="4">
      <pivotArea dataOnly="0" labelOnly="1" outline="0" fieldPosition="0">
        <references count="1">
          <reference field="4294967294" count="1">
            <x v="12"/>
          </reference>
        </references>
      </pivotArea>
    </format>
    <format dxfId="3">
      <pivotArea dataOnly="0" labelOnly="1" outline="0" fieldPosition="0">
        <references count="1">
          <reference field="4294967294" count="1">
            <x v="12"/>
          </reference>
        </references>
      </pivotArea>
    </format>
    <format dxfId="2">
      <pivotArea dataOnly="0" labelOnly="1"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СводнаяТаблица2" cacheId="0" applyNumberFormats="0" applyBorderFormats="0" applyFontFormats="0" applyPatternFormats="0" applyAlignmentFormats="0" applyWidthHeightFormats="1" dataCaption="Значения" updatedVersion="6" minRefreshableVersion="3" itemPrintTitles="1" createdVersion="5" indent="0" outline="1" outlineData="1" multipleFieldFilters="0">
  <location ref="B28:G30" firstHeaderRow="0" firstDataRow="1" firstDataCol="1"/>
  <pivotFields count="76">
    <pivotField axis="axisRow" showAll="0">
      <items count="4">
        <item m="1" x="1"/>
        <item m="1" x="2"/>
        <item x="0"/>
        <item t="default"/>
      </items>
    </pivotField>
    <pivotField showAll="0"/>
    <pivotField showAl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0"/>
  </rowFields>
  <rowItems count="2">
    <i>
      <x v="2"/>
    </i>
    <i t="grand">
      <x/>
    </i>
  </rowItems>
  <colFields count="1">
    <field x="-2"/>
  </colFields>
  <colItems count="5">
    <i>
      <x/>
    </i>
    <i i="1">
      <x v="1"/>
    </i>
    <i i="2">
      <x v="2"/>
    </i>
    <i i="3">
      <x v="3"/>
    </i>
    <i i="4">
      <x v="4"/>
    </i>
  </colItems>
  <dataFields count="5">
    <dataField name="2017 руб. без НДС." fld="22" baseField="0" baseItem="0"/>
    <dataField name="2018 руб. без НДС." fld="35" baseField="0" baseItem="0"/>
    <dataField name="2019 руб. без НДС." fld="48" baseField="0" baseItem="0"/>
    <dataField name="2020 руб. без НДС." fld="61" baseField="0" baseItem="0"/>
    <dataField name="2021 руб. без НДС." fld="74" baseField="0" baseItem="0"/>
  </dataFields>
  <formats count="2">
    <format dxfId="31">
      <pivotArea dataOnly="0" labelOnly="1" outline="0" fieldPosition="0">
        <references count="1">
          <reference field="4294967294" count="5">
            <x v="0"/>
            <x v="1"/>
            <x v="2"/>
            <x v="3"/>
            <x v="4"/>
          </reference>
        </references>
      </pivotArea>
    </format>
    <format dxfId="30">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СводнаяТаблица1" cacheId="4" applyNumberFormats="0" applyBorderFormats="0" applyFontFormats="0" applyPatternFormats="0" applyAlignmentFormats="0" applyWidthHeightFormats="1" dataCaption="Значения" updatedVersion="6" minRefreshableVersion="3" itemPrintTitles="1" createdVersion="5" indent="0" compact="0" compactData="0" multipleFieldFilters="0">
  <location ref="A20:P24" firstHeaderRow="0" firstDataRow="1" firstDataCol="2"/>
  <pivotFields count="107">
    <pivotField compact="0" outline="0" showAll="0"/>
    <pivotField compact="0" outline="0" showAll="0"/>
    <pivotField compact="0" outline="0" showAll="0" defaultSubtotal="0"/>
    <pivotField compact="0" outline="0" showAll="0" defaultSubtotal="0"/>
    <pivotField axis="axisRow" compact="0" outline="0" showAll="0">
      <items count="4">
        <item x="2"/>
        <item x="1"/>
        <item h="1" x="0"/>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multipleItemSelectionAllowed="1" showAll="0">
      <items count="3">
        <item x="0"/>
        <item m="1" x="1"/>
        <item t="default"/>
      </items>
    </pivotField>
    <pivotField compact="0" outline="0" showAll="0"/>
    <pivotField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dataField="1" compact="0" outlin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2">
    <field x="17"/>
    <field x="4"/>
  </rowFields>
  <rowItems count="4">
    <i>
      <x/>
      <x/>
    </i>
    <i r="1">
      <x v="1"/>
    </i>
    <i t="default">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до 2016 г. вкл." fld="20" baseField="4" baseItem="0"/>
    <dataField name="2017 г." fld="35" baseField="4" baseItem="0" numFmtId="3"/>
    <dataField name="2019 г." fld="65" baseField="4" baseItem="0"/>
    <dataField name="2020 г." fld="80" baseField="4" baseItem="0"/>
    <dataField name="2018 г." fld="50" baseField="4" baseItem="0" numFmtId="3"/>
    <dataField name="2021 г." fld="95" baseField="4" baseItem="0"/>
    <dataField name="Всего руб. без НДС " fld="98" baseField="4" baseItem="0"/>
    <dataField name="до 2016 г. вкл. " fld="104" baseField="4" baseItem="0"/>
    <dataField name="2017 г. " fld="99" baseField="4" baseItem="0" numFmtId="3"/>
    <dataField name="2018 г. " fld="100" baseField="4" baseItem="0" numFmtId="3"/>
    <dataField name="2019 г. " fld="102" baseField="4" baseItem="0"/>
    <dataField name="2020 г. " fld="105" baseField="4" baseItem="0"/>
    <dataField name="2021 г. " fld="106" baseField="4" baseItem="0"/>
    <dataField name="Всего руб. с НДС" fld="101" baseField="4" baseItem="0"/>
  </dataFields>
  <formats count="31">
    <format dxfId="62">
      <pivotArea dataOnly="0" labelOnly="1" outline="0" fieldPosition="0">
        <references count="1">
          <reference field="4294967294" count="4">
            <x v="1"/>
            <x v="4"/>
            <x v="8"/>
            <x v="9"/>
          </reference>
        </references>
      </pivotArea>
    </format>
    <format dxfId="61">
      <pivotArea outline="0" collapsedLevelsAreSubtotals="1" fieldPosition="0"/>
    </format>
    <format dxfId="60">
      <pivotArea dataOnly="0" labelOnly="1" outline="0" fieldPosition="0">
        <references count="1">
          <reference field="17" count="0" defaultSubtotal="1"/>
        </references>
      </pivotArea>
    </format>
    <format dxfId="59">
      <pivotArea dataOnly="0" labelOnly="1" grandRow="1" outline="0" fieldPosition="0"/>
    </format>
    <format dxfId="58">
      <pivotArea dataOnly="0" labelOnly="1" outline="0" fieldPosition="0">
        <references count="2">
          <reference field="4" count="0"/>
          <reference field="17" count="0" selected="0"/>
        </references>
      </pivotArea>
    </format>
    <format dxfId="57">
      <pivotArea outline="0" collapsedLevelsAreSubtotals="1" fieldPosition="0"/>
    </format>
    <format dxfId="56">
      <pivotArea dataOnly="0" labelOnly="1" outline="0" fieldPosition="0">
        <references count="1">
          <reference field="4294967294" count="10">
            <x v="0"/>
            <x v="1"/>
            <x v="2"/>
            <x v="3"/>
            <x v="4"/>
            <x v="5"/>
            <x v="8"/>
            <x v="9"/>
            <x v="10"/>
            <x v="13"/>
          </reference>
        </references>
      </pivotArea>
    </format>
    <format dxfId="55">
      <pivotArea dataOnly="0" labelOnly="1" outline="0" fieldPosition="0">
        <references count="1">
          <reference field="4294967294" count="10">
            <x v="0"/>
            <x v="1"/>
            <x v="2"/>
            <x v="3"/>
            <x v="4"/>
            <x v="5"/>
            <x v="8"/>
            <x v="9"/>
            <x v="10"/>
            <x v="13"/>
          </reference>
        </references>
      </pivotArea>
    </format>
    <format dxfId="54">
      <pivotArea dataOnly="0" labelOnly="1" outline="0" fieldPosition="0">
        <references count="2">
          <reference field="4" count="0"/>
          <reference field="17" count="0" selected="0"/>
        </references>
      </pivotArea>
    </format>
    <format dxfId="53">
      <pivotArea dataOnly="0" labelOnly="1" outline="0" fieldPosition="0">
        <references count="1">
          <reference field="4294967294" count="1">
            <x v="7"/>
          </reference>
        </references>
      </pivotArea>
    </format>
    <format dxfId="52">
      <pivotArea dataOnly="0" labelOnly="1" outline="0" fieldPosition="0">
        <references count="1">
          <reference field="4294967294" count="1">
            <x v="11"/>
          </reference>
        </references>
      </pivotArea>
    </format>
    <format dxfId="51">
      <pivotArea dataOnly="0" labelOnly="1" outline="0" fieldPosition="0">
        <references count="1">
          <reference field="4294967294" count="1">
            <x v="11"/>
          </reference>
        </references>
      </pivotArea>
    </format>
    <format dxfId="50">
      <pivotArea dataOnly="0" labelOnly="1" outline="0" fieldPosition="0">
        <references count="1">
          <reference field="4294967294" count="1">
            <x v="12"/>
          </reference>
        </references>
      </pivotArea>
    </format>
    <format dxfId="49">
      <pivotArea outline="0" collapsedLevelsAreSubtotals="1" fieldPosition="0">
        <references count="1">
          <reference field="4294967294" count="7" selected="0">
            <x v="0"/>
            <x v="1"/>
            <x v="2"/>
            <x v="3"/>
            <x v="4"/>
            <x v="5"/>
            <x v="13"/>
          </reference>
        </references>
      </pivotArea>
    </format>
    <format dxfId="48">
      <pivotArea dataOnly="0" labelOnly="1" outline="0" fieldPosition="0">
        <references count="1">
          <reference field="4294967294" count="7">
            <x v="0"/>
            <x v="1"/>
            <x v="2"/>
            <x v="3"/>
            <x v="4"/>
            <x v="5"/>
            <x v="13"/>
          </reference>
        </references>
      </pivotArea>
    </format>
    <format dxfId="47">
      <pivotArea outline="0" collapsedLevelsAreSubtotals="1" fieldPosition="0">
        <references count="1">
          <reference field="4294967294" count="6" selected="0">
            <x v="7"/>
            <x v="8"/>
            <x v="9"/>
            <x v="10"/>
            <x v="11"/>
            <x v="12"/>
          </reference>
        </references>
      </pivotArea>
    </format>
    <format dxfId="46">
      <pivotArea dataOnly="0" labelOnly="1" outline="0" fieldPosition="0">
        <references count="1">
          <reference field="4294967294" count="6">
            <x v="7"/>
            <x v="8"/>
            <x v="9"/>
            <x v="10"/>
            <x v="11"/>
            <x v="12"/>
          </reference>
        </references>
      </pivotArea>
    </format>
    <format dxfId="45">
      <pivotArea dataOnly="0" labelOnly="1" outline="0" fieldPosition="0">
        <references count="1">
          <reference field="4294967294" count="7">
            <x v="0"/>
            <x v="1"/>
            <x v="2"/>
            <x v="3"/>
            <x v="4"/>
            <x v="5"/>
            <x v="13"/>
          </reference>
        </references>
      </pivotArea>
    </format>
    <format dxfId="44">
      <pivotArea dataOnly="0" labelOnly="1" outline="0" fieldPosition="0">
        <references count="1">
          <reference field="4294967294" count="6">
            <x v="7"/>
            <x v="8"/>
            <x v="9"/>
            <x v="10"/>
            <x v="11"/>
            <x v="12"/>
          </reference>
        </references>
      </pivotArea>
    </format>
    <format dxfId="43">
      <pivotArea field="4" type="button" dataOnly="0" labelOnly="1" outline="0" axis="axisRow" fieldPosition="1"/>
    </format>
    <format dxfId="42">
      <pivotArea dataOnly="0" labelOnly="1" outline="0" offset="IV256" fieldPosition="0">
        <references count="1">
          <reference field="17" count="0" defaultSubtotal="1"/>
        </references>
      </pivotArea>
    </format>
    <format dxfId="41">
      <pivotArea dataOnly="0" labelOnly="1" grandRow="1" outline="0" offset="IV256" fieldPosition="0"/>
    </format>
    <format dxfId="40">
      <pivotArea dataOnly="0" labelOnly="1" outline="0" fieldPosition="0">
        <references count="2">
          <reference field="4" count="0"/>
          <reference field="17" count="0" selected="0"/>
        </references>
      </pivotArea>
    </format>
    <format dxfId="39">
      <pivotArea field="4" type="button" dataOnly="0" labelOnly="1" outline="0" axis="axisRow" fieldPosition="1"/>
    </format>
    <format dxfId="38">
      <pivotArea field="4" type="button" dataOnly="0" labelOnly="1" outline="0" axis="axisRow" fieldPosition="1"/>
    </format>
    <format dxfId="37">
      <pivotArea dataOnly="0" labelOnly="1" outline="0" fieldPosition="0">
        <references count="1">
          <reference field="4294967294" count="1">
            <x v="6"/>
          </reference>
        </references>
      </pivotArea>
    </format>
    <format dxfId="36">
      <pivotArea outline="0" collapsedLevelsAreSubtotals="1" fieldPosition="0">
        <references count="1">
          <reference field="4294967294" count="7" selected="0">
            <x v="0"/>
            <x v="1"/>
            <x v="2"/>
            <x v="3"/>
            <x v="4"/>
            <x v="5"/>
            <x v="6"/>
          </reference>
        </references>
      </pivotArea>
    </format>
    <format dxfId="35">
      <pivotArea dataOnly="0" labelOnly="1" outline="0" fieldPosition="0">
        <references count="1">
          <reference field="4294967294" count="7">
            <x v="0"/>
            <x v="1"/>
            <x v="2"/>
            <x v="3"/>
            <x v="4"/>
            <x v="5"/>
            <x v="6"/>
          </reference>
        </references>
      </pivotArea>
    </format>
    <format dxfId="34">
      <pivotArea field="17" grandRow="1" outline="0" collapsedLevelsAreSubtotals="1" axis="axisRow" fieldPosition="0">
        <references count="1">
          <reference field="4294967294" count="13" selected="0">
            <x v="1"/>
            <x v="2"/>
            <x v="3"/>
            <x v="4"/>
            <x v="5"/>
            <x v="6"/>
            <x v="7"/>
            <x v="8"/>
            <x v="9"/>
            <x v="10"/>
            <x v="11"/>
            <x v="12"/>
            <x v="13"/>
          </reference>
        </references>
      </pivotArea>
    </format>
    <format dxfId="33">
      <pivotArea field="17" grandRow="1" outline="0" collapsedLevelsAreSubtotals="1" axis="axisRow" fieldPosition="0">
        <references count="1">
          <reference field="4294967294" count="1" selected="0">
            <x v="0"/>
          </reference>
        </references>
      </pivotArea>
    </format>
    <format dxfId="32">
      <pivotArea dataOnly="0" labelOnly="1"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СводнаяТаблица6" cacheId="2" applyNumberFormats="0" applyBorderFormats="0" applyFontFormats="0" applyPatternFormats="0" applyAlignmentFormats="0" applyWidthHeightFormats="1" dataCaption="Значения" updatedVersion="6" minRefreshableVersion="3" itemPrintTitles="1" createdVersion="5" indent="0" compact="0" compactData="0" multipleFieldFilters="0">
  <location ref="B4:P7" firstHeaderRow="0" firstDataRow="1" firstDataCol="1"/>
  <pivotFields count="99">
    <pivotField compact="0" outline="0" showAll="0" defaultSubtotal="0"/>
    <pivotField compact="0" outline="0" showAll="0" defaultSubtotal="0"/>
    <pivotField compact="0" outline="0" showAll="0" defaultSubtotal="0"/>
    <pivotField compact="0" outline="0" showAll="0" defaultSubtotal="0"/>
    <pivotField axis="axisRow" compact="0" outline="0" showAll="0">
      <items count="4">
        <item x="2"/>
        <item x="1"/>
        <item h="1"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name="Стоимость 2019 руб. без НДС"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dataField="1" compact="0" outlin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1">
    <field x="4"/>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до 2016 г. вкл." fld="13" baseField="4" baseItem="0"/>
    <dataField name="2017 г." fld="28" baseField="4" baseItem="0" numFmtId="3"/>
    <dataField name="2018 г." fld="43" baseField="4" baseItem="0"/>
    <dataField name="2019 г." fld="58" baseField="4" baseItem="0"/>
    <dataField name="2020 г." fld="73" baseField="4" baseItem="0"/>
    <dataField name="2021 г." fld="88" baseField="4" baseItem="0"/>
    <dataField name="Всего руб. без НДС." fld="91" baseField="4" baseItem="0" numFmtId="3"/>
    <dataField name="до 2016 г. вкл. " fld="98" baseField="4" baseItem="0"/>
    <dataField name="2017 г. " fld="92" baseField="4" baseItem="0" numFmtId="3"/>
    <dataField name="2018 г. " fld="93" baseField="4" baseItem="0"/>
    <dataField name="2019 г. " fld="95" baseField="4" baseItem="0"/>
    <dataField name="2020 г. " fld="96" baseField="4" baseItem="0"/>
    <dataField name="2021 г. " fld="97" baseField="4" baseItem="0"/>
    <dataField name="Всего руб. с НДС" fld="94" baseField="0" baseItem="0" numFmtId="3"/>
  </dataFields>
  <formats count="28">
    <format dxfId="90">
      <pivotArea outline="0" collapsedLevelsAreSubtotals="1" fieldPosition="0">
        <references count="1">
          <reference field="4294967294" count="1" selected="0">
            <x v="1"/>
          </reference>
        </references>
      </pivotArea>
    </format>
    <format dxfId="89">
      <pivotArea outline="0" collapsedLevelsAreSubtotals="1" fieldPosition="0">
        <references count="1">
          <reference field="4294967294" count="1" selected="0">
            <x v="6"/>
          </reference>
        </references>
      </pivotArea>
    </format>
    <format dxfId="88">
      <pivotArea outline="0" collapsedLevelsAreSubtotals="1" fieldPosition="0">
        <references count="1">
          <reference field="4294967294" count="1" selected="0">
            <x v="8"/>
          </reference>
        </references>
      </pivotArea>
    </format>
    <format dxfId="87">
      <pivotArea outline="0" collapsedLevelsAreSubtotals="1" fieldPosition="0">
        <references count="1">
          <reference field="4294967294" count="1" selected="0">
            <x v="13"/>
          </reference>
        </references>
      </pivotArea>
    </format>
    <format dxfId="86">
      <pivotArea field="4" type="button" dataOnly="0" labelOnly="1" outline="0" axis="axisRow" fieldPosition="0"/>
    </format>
    <format dxfId="85">
      <pivotArea dataOnly="0" labelOnly="1" outline="0" fieldPosition="0">
        <references count="1">
          <reference field="4294967294" count="6">
            <x v="1"/>
            <x v="2"/>
            <x v="6"/>
            <x v="8"/>
            <x v="9"/>
            <x v="13"/>
          </reference>
        </references>
      </pivotArea>
    </format>
    <format dxfId="84">
      <pivotArea outline="0" collapsedLevelsAreSubtotals="1" fieldPosition="0"/>
    </format>
    <format dxfId="83">
      <pivotArea outline="0" collapsedLevelsAreSubtotals="1" fieldPosition="0">
        <references count="1">
          <reference field="4294967294" count="7" selected="0">
            <x v="0"/>
            <x v="1"/>
            <x v="2"/>
            <x v="3"/>
            <x v="4"/>
            <x v="5"/>
            <x v="6"/>
          </reference>
        </references>
      </pivotArea>
    </format>
    <format dxfId="82">
      <pivotArea dataOnly="0" labelOnly="1" outline="0" fieldPosition="0">
        <references count="1">
          <reference field="4294967294" count="7">
            <x v="0"/>
            <x v="1"/>
            <x v="2"/>
            <x v="3"/>
            <x v="4"/>
            <x v="5"/>
            <x v="6"/>
          </reference>
        </references>
      </pivotArea>
    </format>
    <format dxfId="81">
      <pivotArea outline="0" collapsedLevelsAreSubtotals="1" fieldPosition="0">
        <references count="1">
          <reference field="4294967294" count="7" selected="0">
            <x v="7"/>
            <x v="8"/>
            <x v="9"/>
            <x v="10"/>
            <x v="11"/>
            <x v="12"/>
            <x v="13"/>
          </reference>
        </references>
      </pivotArea>
    </format>
    <format dxfId="80">
      <pivotArea dataOnly="0" labelOnly="1" outline="0" fieldPosition="0">
        <references count="1">
          <reference field="4294967294" count="7">
            <x v="7"/>
            <x v="8"/>
            <x v="9"/>
            <x v="10"/>
            <x v="11"/>
            <x v="12"/>
            <x v="13"/>
          </reference>
        </references>
      </pivotArea>
    </format>
    <format dxfId="79">
      <pivotArea field="4" type="button" dataOnly="0" labelOnly="1" outline="0" axis="axisRow" fieldPosition="0"/>
    </format>
    <format dxfId="78">
      <pivotArea dataOnly="0" labelOnly="1" outline="0" fieldPosition="0">
        <references count="1">
          <reference field="4" count="0"/>
        </references>
      </pivotArea>
    </format>
    <format dxfId="77">
      <pivotArea dataOnly="0" labelOnly="1" grandRow="1" outline="0" fieldPosition="0"/>
    </format>
    <format dxfId="76">
      <pivotArea type="all" dataOnly="0" outline="0" fieldPosition="0"/>
    </format>
    <format dxfId="75">
      <pivotArea outline="0" collapsedLevelsAreSubtotals="1" fieldPosition="0"/>
    </format>
    <format dxfId="74">
      <pivotArea dataOnly="0" labelOnly="1" outline="0" fieldPosition="0">
        <references count="1">
          <reference field="4" count="0"/>
        </references>
      </pivotArea>
    </format>
    <format dxfId="73">
      <pivotArea field="4" type="button" dataOnly="0" labelOnly="1" outline="0" axis="axisRow" fieldPosition="0"/>
    </format>
    <format dxfId="72">
      <pivotArea dataOnly="0" labelOnly="1" outline="0" fieldPosition="0">
        <references count="1">
          <reference field="4294967294" count="14">
            <x v="0"/>
            <x v="1"/>
            <x v="2"/>
            <x v="3"/>
            <x v="4"/>
            <x v="5"/>
            <x v="6"/>
            <x v="7"/>
            <x v="8"/>
            <x v="9"/>
            <x v="10"/>
            <x v="11"/>
            <x v="12"/>
            <x v="13"/>
          </reference>
        </references>
      </pivotArea>
    </format>
    <format dxfId="71">
      <pivotArea dataOnly="0" labelOnly="1" outline="0" fieldPosition="0">
        <references count="1">
          <reference field="4294967294" count="6">
            <x v="0"/>
            <x v="1"/>
            <x v="2"/>
            <x v="3"/>
            <x v="4"/>
            <x v="5"/>
          </reference>
        </references>
      </pivotArea>
    </format>
    <format dxfId="70">
      <pivotArea dataOnly="0" labelOnly="1" outline="0" fieldPosition="0">
        <references count="1">
          <reference field="4294967294" count="6">
            <x v="7"/>
            <x v="8"/>
            <x v="9"/>
            <x v="10"/>
            <x v="11"/>
            <x v="12"/>
          </reference>
        </references>
      </pivotArea>
    </format>
    <format dxfId="69">
      <pivotArea grandRow="1" outline="0" collapsedLevelsAreSubtotals="1" fieldPosition="0"/>
    </format>
    <format dxfId="68">
      <pivotArea dataOnly="0" labelOnly="1" grandRow="1" outline="0" fieldPosition="0"/>
    </format>
    <format dxfId="67">
      <pivotArea outline="0" collapsedLevelsAreSubtotals="1" fieldPosition="0">
        <references count="2">
          <reference field="4294967294" count="1" selected="0">
            <x v="6"/>
          </reference>
          <reference field="4" count="0" selected="0"/>
        </references>
      </pivotArea>
    </format>
    <format dxfId="66">
      <pivotArea outline="0" collapsedLevelsAreSubtotals="1" fieldPosition="0">
        <references count="2">
          <reference field="4294967294" count="1" selected="0">
            <x v="13"/>
          </reference>
          <reference field="4" count="0" selected="0"/>
        </references>
      </pivotArea>
    </format>
    <format dxfId="65">
      <pivotArea outline="0" collapsedLevelsAreSubtotals="1" fieldPosition="0">
        <references count="1">
          <reference field="4294967294" count="1" selected="0">
            <x v="6"/>
          </reference>
        </references>
      </pivotArea>
    </format>
    <format dxfId="64">
      <pivotArea dataOnly="0" labelOnly="1" outline="0" fieldPosition="0">
        <references count="1">
          <reference field="4294967294" count="1">
            <x v="6"/>
          </reference>
        </references>
      </pivotArea>
    </format>
    <format dxfId="63">
      <pivotArea dataOnly="0" outline="0" fieldPosition="0">
        <references count="1">
          <reference field="4294967294" count="1">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СводнаяТаблица3" cacheId="5" applyNumberFormats="0" applyBorderFormats="0" applyFontFormats="0" applyPatternFormats="0" applyAlignmentFormats="0" applyWidthHeightFormats="1" dataCaption="Значения" updatedVersion="6" minRefreshableVersion="3" useAutoFormatting="1" itemPrintTitles="1" createdVersion="5" indent="0" outline="1" outlineData="1" multipleFieldFilters="0">
  <location ref="A4:C9" firstHeaderRow="1" firstDataRow="2" firstDataCol="1"/>
  <pivotFields count="102">
    <pivotField showAll="0"/>
    <pivotField showAll="0"/>
    <pivotField showAll="0"/>
    <pivotField showAll="0"/>
    <pivotField axis="axisRow" showAll="0">
      <items count="4">
        <item x="2"/>
        <item x="1"/>
        <item x="0"/>
        <item t="default"/>
      </items>
    </pivotField>
    <pivotField axis="axisRow" showAll="0">
      <items count="2">
        <item x="0"/>
        <item t="default"/>
      </items>
    </pivotField>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1"/>
        <item h="1" x="0"/>
        <item h="1" x="2"/>
        <item h="1" x="3"/>
        <item t="default"/>
      </items>
    </pivotField>
    <pivotField dataField="1" showAll="0"/>
  </pivotFields>
  <rowFields count="2">
    <field x="5"/>
    <field x="4"/>
  </rowFields>
  <rowItems count="4">
    <i>
      <x/>
    </i>
    <i r="1">
      <x/>
    </i>
    <i r="1">
      <x v="1"/>
    </i>
    <i t="grand">
      <x/>
    </i>
  </rowItems>
  <colFields count="1">
    <field x="100"/>
  </colFields>
  <colItems count="2">
    <i>
      <x/>
    </i>
    <i t="grand">
      <x/>
    </i>
  </colItems>
  <dataFields count="1">
    <dataField name="Бюджет по оплатам, руб. без НДС " fld="101" baseField="5" baseItem="0" numFmtId="4"/>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9.bin"/><Relationship Id="rId4"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9.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7">
    <tabColor rgb="FFFFFF00"/>
  </sheetPr>
  <dimension ref="A1:C49"/>
  <sheetViews>
    <sheetView workbookViewId="0"/>
  </sheetViews>
  <sheetFormatPr defaultRowHeight="12.75"/>
  <cols>
    <col min="1" max="1" width="128.28515625" style="632" customWidth="1"/>
    <col min="2" max="2" width="15.42578125" customWidth="1"/>
    <col min="3" max="3" width="59.5703125" style="631" customWidth="1"/>
  </cols>
  <sheetData>
    <row r="1" spans="1:3">
      <c r="A1" s="633" t="s">
        <v>1920</v>
      </c>
      <c r="B1" s="634"/>
      <c r="C1" s="635"/>
    </row>
    <row r="2" spans="1:3" s="8" customFormat="1">
      <c r="A2" s="636"/>
      <c r="B2" s="634"/>
      <c r="C2" s="635"/>
    </row>
    <row r="3" spans="1:3" s="8" customFormat="1" ht="191.25">
      <c r="A3" s="637" t="s">
        <v>1944</v>
      </c>
      <c r="B3" s="634"/>
      <c r="C3" s="635" t="s">
        <v>1924</v>
      </c>
    </row>
    <row r="4" spans="1:3" s="8" customFormat="1" ht="24" customHeight="1">
      <c r="A4" s="638"/>
      <c r="B4" s="634"/>
      <c r="C4" s="635"/>
    </row>
    <row r="5" spans="1:3" s="8" customFormat="1" ht="25.5">
      <c r="A5" s="638" t="s">
        <v>1921</v>
      </c>
      <c r="B5" s="634"/>
      <c r="C5" s="635" t="s">
        <v>1924</v>
      </c>
    </row>
    <row r="6" spans="1:3" ht="15.75" customHeight="1">
      <c r="A6" s="639"/>
      <c r="B6" s="634"/>
      <c r="C6" s="635"/>
    </row>
    <row r="7" spans="1:3" ht="171.75" customHeight="1">
      <c r="A7" s="640" t="s">
        <v>1923</v>
      </c>
      <c r="B7" s="634"/>
      <c r="C7" s="635" t="s">
        <v>1924</v>
      </c>
    </row>
    <row r="8" spans="1:3" ht="13.5" customHeight="1">
      <c r="A8" s="641" t="s">
        <v>1922</v>
      </c>
      <c r="B8" s="634"/>
      <c r="C8" s="635"/>
    </row>
    <row r="9" spans="1:3" ht="104.25" customHeight="1">
      <c r="A9" s="641" t="s">
        <v>1943</v>
      </c>
      <c r="B9" s="634"/>
      <c r="C9" s="635" t="s">
        <v>1925</v>
      </c>
    </row>
    <row r="10" spans="1:3">
      <c r="A10" s="639"/>
      <c r="B10" s="634"/>
      <c r="C10" s="635"/>
    </row>
    <row r="11" spans="1:3" ht="36.75" customHeight="1">
      <c r="A11" s="641" t="s">
        <v>1927</v>
      </c>
      <c r="B11" s="634"/>
      <c r="C11" s="635" t="s">
        <v>1924</v>
      </c>
    </row>
    <row r="12" spans="1:3">
      <c r="A12" s="639"/>
      <c r="B12" s="634"/>
      <c r="C12" s="635"/>
    </row>
    <row r="13" spans="1:3" ht="33" customHeight="1">
      <c r="A13" s="641" t="s">
        <v>1928</v>
      </c>
      <c r="B13" s="634"/>
      <c r="C13" s="635" t="s">
        <v>1924</v>
      </c>
    </row>
    <row r="14" spans="1:3">
      <c r="A14" s="639"/>
      <c r="B14" s="634"/>
      <c r="C14" s="635"/>
    </row>
    <row r="15" spans="1:3">
      <c r="A15" s="639"/>
      <c r="B15" s="634"/>
      <c r="C15" s="635"/>
    </row>
    <row r="16" spans="1:3">
      <c r="A16" s="633" t="s">
        <v>1930</v>
      </c>
      <c r="B16" s="634"/>
      <c r="C16" s="635" t="s">
        <v>1929</v>
      </c>
    </row>
    <row r="17" spans="1:3">
      <c r="A17" s="639"/>
      <c r="B17" s="634"/>
      <c r="C17" s="635"/>
    </row>
    <row r="18" spans="1:3" ht="127.5">
      <c r="A18" s="641" t="s">
        <v>1942</v>
      </c>
      <c r="B18" s="634"/>
      <c r="C18" s="635"/>
    </row>
    <row r="19" spans="1:3" ht="32.25" customHeight="1">
      <c r="A19" s="639"/>
      <c r="B19" s="634"/>
      <c r="C19" s="635"/>
    </row>
    <row r="20" spans="1:3" ht="25.5">
      <c r="A20" s="633" t="s">
        <v>1931</v>
      </c>
      <c r="B20" s="634"/>
      <c r="C20" s="635" t="s">
        <v>1952</v>
      </c>
    </row>
    <row r="21" spans="1:3" ht="38.25">
      <c r="A21" s="641" t="s">
        <v>1946</v>
      </c>
      <c r="B21" s="634"/>
      <c r="C21" s="635"/>
    </row>
    <row r="22" spans="1:3" ht="201.75" customHeight="1">
      <c r="A22" s="641" t="s">
        <v>1932</v>
      </c>
      <c r="B22" s="634"/>
      <c r="C22" s="635" t="s">
        <v>1935</v>
      </c>
    </row>
    <row r="23" spans="1:3" ht="105.75" customHeight="1">
      <c r="A23" s="641" t="s">
        <v>1934</v>
      </c>
      <c r="B23" s="634"/>
      <c r="C23" s="635" t="s">
        <v>1935</v>
      </c>
    </row>
    <row r="24" spans="1:3" ht="114.75">
      <c r="A24" s="641" t="s">
        <v>1933</v>
      </c>
      <c r="B24" s="634"/>
      <c r="C24" s="635" t="s">
        <v>1935</v>
      </c>
    </row>
    <row r="25" spans="1:3" ht="140.25">
      <c r="A25" s="641" t="s">
        <v>1936</v>
      </c>
      <c r="B25" s="634"/>
      <c r="C25" s="635" t="s">
        <v>1935</v>
      </c>
    </row>
    <row r="26" spans="1:3">
      <c r="A26" s="639"/>
      <c r="B26" s="634"/>
      <c r="C26" s="635"/>
    </row>
    <row r="27" spans="1:3" ht="25.5">
      <c r="A27" s="641" t="s">
        <v>1941</v>
      </c>
      <c r="B27" s="634"/>
      <c r="C27" s="635" t="s">
        <v>1951</v>
      </c>
    </row>
    <row r="28" spans="1:3">
      <c r="A28" s="639"/>
      <c r="B28" s="634"/>
      <c r="C28" s="635"/>
    </row>
    <row r="29" spans="1:3" ht="25.5">
      <c r="A29" s="641" t="s">
        <v>1940</v>
      </c>
      <c r="B29" s="634"/>
      <c r="C29" s="635" t="s">
        <v>1937</v>
      </c>
    </row>
    <row r="30" spans="1:3">
      <c r="A30" s="639"/>
      <c r="B30" s="634"/>
      <c r="C30" s="635"/>
    </row>
    <row r="31" spans="1:3">
      <c r="A31" s="639"/>
      <c r="B31" s="634"/>
      <c r="C31" s="635"/>
    </row>
    <row r="32" spans="1:3" ht="12.75" customHeight="1">
      <c r="A32" s="642" t="s">
        <v>1938</v>
      </c>
      <c r="B32" s="634"/>
      <c r="C32" s="635" t="s">
        <v>1952</v>
      </c>
    </row>
    <row r="33" spans="1:3" ht="84.75" customHeight="1">
      <c r="A33" s="641" t="s">
        <v>1939</v>
      </c>
      <c r="B33" s="634"/>
      <c r="C33" s="635"/>
    </row>
    <row r="34" spans="1:3" ht="25.5">
      <c r="A34" s="641" t="s">
        <v>1941</v>
      </c>
      <c r="B34" s="634"/>
      <c r="C34" s="635" t="s">
        <v>1951</v>
      </c>
    </row>
    <row r="35" spans="1:3">
      <c r="A35" s="639"/>
      <c r="B35" s="634"/>
      <c r="C35" s="635"/>
    </row>
    <row r="36" spans="1:3" ht="25.5">
      <c r="A36" s="641" t="s">
        <v>1940</v>
      </c>
      <c r="B36" s="634"/>
      <c r="C36" s="635" t="s">
        <v>1937</v>
      </c>
    </row>
    <row r="37" spans="1:3">
      <c r="A37" s="639"/>
      <c r="B37" s="634"/>
      <c r="C37" s="635"/>
    </row>
    <row r="38" spans="1:3">
      <c r="A38" s="633" t="s">
        <v>1945</v>
      </c>
      <c r="B38" s="634"/>
      <c r="C38" s="635"/>
    </row>
    <row r="39" spans="1:3" ht="25.5">
      <c r="A39" s="641" t="s">
        <v>1947</v>
      </c>
      <c r="B39" s="634"/>
      <c r="C39" s="635" t="s">
        <v>1935</v>
      </c>
    </row>
    <row r="40" spans="1:3">
      <c r="A40" s="639"/>
      <c r="B40" s="634"/>
      <c r="C40" s="635"/>
    </row>
    <row r="41" spans="1:3">
      <c r="A41" s="633" t="s">
        <v>1948</v>
      </c>
      <c r="B41" s="634"/>
      <c r="C41" s="635"/>
    </row>
    <row r="42" spans="1:3" ht="229.5">
      <c r="A42" s="641" t="s">
        <v>1957</v>
      </c>
      <c r="B42" s="634"/>
      <c r="C42" s="635"/>
    </row>
    <row r="43" spans="1:3" ht="51">
      <c r="A43" s="641" t="s">
        <v>1949</v>
      </c>
      <c r="B43" s="634"/>
      <c r="C43" s="635" t="s">
        <v>1950</v>
      </c>
    </row>
    <row r="44" spans="1:3" ht="25.5">
      <c r="A44" s="641" t="s">
        <v>1954</v>
      </c>
      <c r="B44" s="634"/>
      <c r="C44" s="635" t="s">
        <v>1953</v>
      </c>
    </row>
    <row r="45" spans="1:3">
      <c r="A45" s="639"/>
      <c r="B45" s="634"/>
      <c r="C45" s="635"/>
    </row>
    <row r="46" spans="1:3">
      <c r="A46" s="633" t="s">
        <v>1955</v>
      </c>
      <c r="B46" s="634"/>
      <c r="C46" s="635"/>
    </row>
    <row r="47" spans="1:3" ht="229.5">
      <c r="A47" s="641" t="s">
        <v>1956</v>
      </c>
      <c r="B47" s="634"/>
      <c r="C47" s="635" t="s">
        <v>1935</v>
      </c>
    </row>
    <row r="48" spans="1:3" s="8" customFormat="1" ht="42.75" customHeight="1">
      <c r="A48" s="641" t="s">
        <v>1959</v>
      </c>
      <c r="B48" s="634"/>
      <c r="C48" s="635" t="s">
        <v>1958</v>
      </c>
    </row>
    <row r="49" spans="1:3" ht="51">
      <c r="A49" s="641" t="s">
        <v>1960</v>
      </c>
      <c r="B49" s="634"/>
      <c r="C49" s="635" t="s">
        <v>1937</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6">
    <tabColor rgb="FF92D050"/>
    <pageSetUpPr fitToPage="1"/>
  </sheetPr>
  <dimension ref="A1:N65"/>
  <sheetViews>
    <sheetView view="pageBreakPreview" topLeftCell="A19" zoomScale="70" zoomScaleNormal="100" zoomScaleSheetLayoutView="70" workbookViewId="0">
      <selection activeCell="D37" sqref="D37"/>
    </sheetView>
  </sheetViews>
  <sheetFormatPr defaultColWidth="9.140625" defaultRowHeight="12.75"/>
  <cols>
    <col min="1" max="1" width="7" style="181" customWidth="1"/>
    <col min="2" max="2" width="61.5703125" style="181" customWidth="1"/>
    <col min="3" max="3" width="14.42578125" style="181" customWidth="1"/>
    <col min="4" max="4" width="25.7109375" style="181" customWidth="1"/>
    <col min="5" max="5" width="24" style="181" customWidth="1"/>
    <col min="6" max="6" width="12.28515625" style="181" customWidth="1"/>
    <col min="7" max="7" width="25.42578125" style="181" customWidth="1"/>
    <col min="8" max="8" width="48.85546875" style="181" customWidth="1"/>
    <col min="9" max="9" width="26.5703125" style="181" customWidth="1"/>
    <col min="10" max="10" width="27.28515625" style="181" customWidth="1"/>
    <col min="11" max="16384" width="9.140625" style="181"/>
  </cols>
  <sheetData>
    <row r="1" spans="1:10" ht="6.75" customHeight="1">
      <c r="A1" s="46"/>
      <c r="B1" s="16"/>
      <c r="C1" s="16"/>
      <c r="D1" s="16"/>
      <c r="E1" s="16"/>
      <c r="F1" s="16"/>
      <c r="G1" s="16"/>
      <c r="H1" s="18"/>
      <c r="I1" s="18"/>
      <c r="J1" s="18"/>
    </row>
    <row r="2" spans="1:10" ht="24" customHeight="1">
      <c r="A2" s="1024" t="s">
        <v>67</v>
      </c>
      <c r="B2" s="1024"/>
      <c r="C2" s="1024"/>
      <c r="D2" s="1024"/>
      <c r="E2" s="1024"/>
      <c r="F2" s="1024"/>
      <c r="G2" s="1024"/>
      <c r="H2" s="1024"/>
      <c r="I2" s="1024"/>
      <c r="J2" s="1024"/>
    </row>
    <row r="3" spans="1:10" ht="54" customHeight="1">
      <c r="A3" s="1040" t="s">
        <v>2013</v>
      </c>
      <c r="B3" s="1040"/>
      <c r="C3" s="1040"/>
      <c r="D3" s="1040"/>
      <c r="E3" s="1040"/>
      <c r="F3" s="1040"/>
      <c r="G3" s="1040"/>
      <c r="H3" s="1040"/>
      <c r="I3" s="1040"/>
      <c r="J3" s="1040"/>
    </row>
    <row r="4" spans="1:10" ht="24" customHeight="1" thickBot="1">
      <c r="E4" s="189"/>
      <c r="F4" s="189"/>
      <c r="G4" s="190" t="s">
        <v>19</v>
      </c>
      <c r="H4" s="191"/>
      <c r="I4" s="191"/>
      <c r="J4" s="191"/>
    </row>
    <row r="5" spans="1:10" ht="24" customHeight="1">
      <c r="A5" s="1026" t="s">
        <v>1686</v>
      </c>
      <c r="B5" s="1027"/>
      <c r="C5" s="1020" t="s">
        <v>1990</v>
      </c>
      <c r="D5" s="1021"/>
      <c r="E5" s="189"/>
      <c r="F5" s="189"/>
      <c r="G5" s="192" t="s">
        <v>69</v>
      </c>
      <c r="H5" s="193"/>
      <c r="I5" s="193"/>
      <c r="J5" s="193"/>
    </row>
    <row r="6" spans="1:10" ht="24" customHeight="1">
      <c r="A6" s="1028" t="s">
        <v>1687</v>
      </c>
      <c r="B6" s="1029"/>
      <c r="C6" s="1018" t="s">
        <v>2014</v>
      </c>
      <c r="D6" s="1019"/>
      <c r="E6" s="194"/>
      <c r="F6" s="194"/>
      <c r="G6" s="195"/>
      <c r="H6" s="195"/>
    </row>
    <row r="7" spans="1:10" ht="26.25" customHeight="1">
      <c r="A7" s="1030" t="s">
        <v>1688</v>
      </c>
      <c r="B7" s="1031"/>
      <c r="C7" s="1022" t="s">
        <v>2015</v>
      </c>
      <c r="D7" s="1023"/>
      <c r="E7" s="194"/>
      <c r="F7" s="194"/>
      <c r="G7" s="821" t="s">
        <v>2019</v>
      </c>
      <c r="H7" s="810"/>
      <c r="I7" s="811"/>
      <c r="J7" s="823" t="s">
        <v>2020</v>
      </c>
    </row>
    <row r="8" spans="1:10" ht="24" customHeight="1">
      <c r="A8" s="1028" t="s">
        <v>110</v>
      </c>
      <c r="B8" s="1029"/>
      <c r="C8" s="1018" t="s">
        <v>2016</v>
      </c>
      <c r="D8" s="1019"/>
      <c r="E8" s="198"/>
      <c r="F8" s="194"/>
      <c r="G8" s="822"/>
      <c r="H8" s="813"/>
      <c r="I8" s="814" t="s">
        <v>20</v>
      </c>
      <c r="J8" s="823"/>
    </row>
    <row r="9" spans="1:10" ht="24" customHeight="1">
      <c r="A9" s="1028" t="s">
        <v>1712</v>
      </c>
      <c r="B9" s="1029"/>
      <c r="C9" s="1018" t="s">
        <v>2017</v>
      </c>
      <c r="D9" s="1019"/>
      <c r="E9" s="194"/>
      <c r="F9" s="200"/>
      <c r="G9" s="821" t="s">
        <v>2021</v>
      </c>
      <c r="H9" s="813"/>
      <c r="I9" s="815"/>
      <c r="J9" s="823" t="s">
        <v>2014</v>
      </c>
    </row>
    <row r="10" spans="1:10" ht="24" customHeight="1">
      <c r="A10" s="1028" t="s">
        <v>1692</v>
      </c>
      <c r="B10" s="1029"/>
      <c r="C10" s="1018" t="s">
        <v>2018</v>
      </c>
      <c r="D10" s="1019"/>
      <c r="E10" s="194"/>
      <c r="F10" s="200"/>
      <c r="G10" s="822"/>
      <c r="H10" s="813"/>
      <c r="I10" s="814" t="s">
        <v>20</v>
      </c>
      <c r="J10" s="823"/>
    </row>
    <row r="11" spans="1:10" ht="24" customHeight="1">
      <c r="A11" s="1036" t="s">
        <v>1629</v>
      </c>
      <c r="B11" s="1037"/>
      <c r="C11" s="1018" t="s">
        <v>1726</v>
      </c>
      <c r="D11" s="1019"/>
      <c r="E11" s="194"/>
      <c r="F11" s="200"/>
      <c r="G11" s="821" t="s">
        <v>2022</v>
      </c>
      <c r="H11" s="813"/>
      <c r="I11" s="815"/>
      <c r="J11" s="823" t="s">
        <v>2015</v>
      </c>
    </row>
    <row r="12" spans="1:10" ht="24" customHeight="1">
      <c r="A12" s="203"/>
      <c r="E12" s="194"/>
      <c r="F12" s="204"/>
      <c r="G12" s="822"/>
      <c r="H12" s="813"/>
      <c r="I12" s="814" t="s">
        <v>20</v>
      </c>
      <c r="J12" s="823"/>
    </row>
    <row r="13" spans="1:10" ht="24" customHeight="1" thickBot="1">
      <c r="A13" s="205"/>
      <c r="B13" s="206" t="s">
        <v>1716</v>
      </c>
      <c r="C13" s="206"/>
      <c r="D13" s="207"/>
      <c r="E13" s="194"/>
      <c r="F13" s="204"/>
      <c r="G13" s="821" t="s">
        <v>2023</v>
      </c>
      <c r="H13" s="813"/>
      <c r="I13" s="815"/>
      <c r="J13" s="823" t="s">
        <v>2024</v>
      </c>
    </row>
    <row r="14" spans="1:10" ht="24" customHeight="1">
      <c r="A14" s="1032" t="s">
        <v>10</v>
      </c>
      <c r="B14" s="1033"/>
      <c r="C14" s="808">
        <v>43101</v>
      </c>
      <c r="D14" s="208"/>
      <c r="E14" s="194"/>
      <c r="F14" s="204"/>
      <c r="G14" s="813"/>
      <c r="H14" s="813"/>
      <c r="I14" s="814" t="s">
        <v>20</v>
      </c>
      <c r="J14" s="816"/>
    </row>
    <row r="15" spans="1:10" ht="24" customHeight="1" thickBot="1">
      <c r="A15" s="1034" t="s">
        <v>11</v>
      </c>
      <c r="B15" s="1035"/>
      <c r="C15" s="809">
        <v>43830</v>
      </c>
      <c r="D15" s="209"/>
      <c r="E15" s="200"/>
      <c r="F15" s="194"/>
      <c r="G15" s="818" t="s">
        <v>1825</v>
      </c>
      <c r="H15" s="813"/>
      <c r="I15" s="815"/>
      <c r="J15" s="819" t="s">
        <v>1826</v>
      </c>
    </row>
    <row r="16" spans="1:10" ht="24" customHeight="1">
      <c r="A16" s="212"/>
      <c r="B16" s="213"/>
      <c r="C16" s="213"/>
      <c r="D16" s="213"/>
      <c r="E16" s="214"/>
      <c r="F16" s="194"/>
      <c r="G16" s="813"/>
      <c r="H16" s="813"/>
      <c r="I16" s="814" t="s">
        <v>20</v>
      </c>
      <c r="J16" s="812"/>
    </row>
    <row r="17" spans="1:14" ht="24" customHeight="1" thickBot="1">
      <c r="A17" s="205"/>
      <c r="B17" s="215" t="s">
        <v>1838</v>
      </c>
      <c r="C17" s="215"/>
      <c r="D17" s="216"/>
      <c r="E17" s="214"/>
      <c r="F17" s="194"/>
      <c r="G17" s="818" t="s">
        <v>1827</v>
      </c>
      <c r="H17" s="813"/>
      <c r="I17" s="815"/>
      <c r="J17" s="819" t="s">
        <v>1828</v>
      </c>
    </row>
    <row r="18" spans="1:14" ht="24" customHeight="1" thickBot="1">
      <c r="A18" s="729" t="s">
        <v>56</v>
      </c>
      <c r="B18" s="730" t="s">
        <v>1</v>
      </c>
      <c r="C18" s="731" t="s">
        <v>1691</v>
      </c>
      <c r="D18" s="732" t="s">
        <v>21</v>
      </c>
      <c r="E18" s="722"/>
      <c r="F18" s="200"/>
      <c r="G18" s="810"/>
      <c r="H18" s="820"/>
      <c r="I18" s="814" t="s">
        <v>20</v>
      </c>
      <c r="J18" s="812"/>
    </row>
    <row r="19" spans="1:14" ht="24" customHeight="1">
      <c r="A19" s="733" t="s">
        <v>14</v>
      </c>
      <c r="B19" s="734" t="s">
        <v>1698</v>
      </c>
      <c r="C19" s="735" t="s">
        <v>1699</v>
      </c>
      <c r="D19" s="243">
        <f>D20+D24+D27+D30</f>
        <v>33496.153859999999</v>
      </c>
      <c r="E19" s="245"/>
      <c r="F19" s="214"/>
      <c r="G19" s="818" t="s">
        <v>1829</v>
      </c>
      <c r="H19" s="820"/>
      <c r="I19" s="815"/>
      <c r="J19" s="819" t="s">
        <v>1722</v>
      </c>
    </row>
    <row r="20" spans="1:14" ht="24" customHeight="1">
      <c r="A20" s="736" t="s">
        <v>22</v>
      </c>
      <c r="B20" s="737" t="s">
        <v>1702</v>
      </c>
      <c r="C20" s="738"/>
      <c r="D20" s="244">
        <f>SUM(D21:D23)</f>
        <v>18786.153859999999</v>
      </c>
      <c r="E20" s="245"/>
      <c r="F20" s="214"/>
      <c r="G20" s="810"/>
      <c r="H20" s="820"/>
      <c r="I20" s="814" t="s">
        <v>20</v>
      </c>
      <c r="J20" s="812"/>
    </row>
    <row r="21" spans="1:14" ht="24" customHeight="1">
      <c r="A21" s="736"/>
      <c r="B21" s="739"/>
      <c r="C21" s="738" t="s">
        <v>1714</v>
      </c>
      <c r="D21" s="244">
        <f>'Бюджет проекта по оплатам'!J9</f>
        <v>0</v>
      </c>
      <c r="E21" s="245"/>
      <c r="F21" s="194"/>
      <c r="G21" s="818" t="s">
        <v>1684</v>
      </c>
      <c r="H21" s="820"/>
      <c r="I21" s="815"/>
      <c r="J21" s="819" t="s">
        <v>1833</v>
      </c>
    </row>
    <row r="22" spans="1:14" ht="24" customHeight="1">
      <c r="A22" s="736"/>
      <c r="B22" s="739"/>
      <c r="C22" s="738" t="s">
        <v>1706</v>
      </c>
      <c r="D22" s="244">
        <f>'Бюджет проекта по оплатам'!J10</f>
        <v>18786.153859999999</v>
      </c>
      <c r="E22" s="245"/>
      <c r="F22" s="194"/>
      <c r="G22" s="817"/>
      <c r="H22" s="817"/>
      <c r="I22" s="814" t="s">
        <v>20</v>
      </c>
      <c r="J22" s="817"/>
    </row>
    <row r="23" spans="1:14" ht="24" customHeight="1">
      <c r="A23" s="736"/>
      <c r="B23" s="739"/>
      <c r="C23" s="740" t="s">
        <v>1700</v>
      </c>
      <c r="D23" s="244">
        <f>'Бюджет проекта по оплатам'!J11</f>
        <v>0</v>
      </c>
      <c r="E23" s="245"/>
      <c r="F23" s="194"/>
      <c r="G23" s="196"/>
      <c r="H23" s="217"/>
      <c r="J23" s="197"/>
    </row>
    <row r="24" spans="1:14" ht="24" customHeight="1">
      <c r="A24" s="736" t="s">
        <v>23</v>
      </c>
      <c r="B24" s="737" t="s">
        <v>1701</v>
      </c>
      <c r="C24" s="740"/>
      <c r="D24" s="244">
        <f>D25+D26</f>
        <v>12860</v>
      </c>
      <c r="E24" s="245"/>
      <c r="F24" s="194"/>
      <c r="G24" s="192" t="s">
        <v>68</v>
      </c>
      <c r="H24" s="219"/>
      <c r="I24" s="220"/>
      <c r="J24" s="221"/>
    </row>
    <row r="25" spans="1:14" ht="24" customHeight="1">
      <c r="A25" s="736"/>
      <c r="B25" s="739"/>
      <c r="C25" s="738" t="s">
        <v>1706</v>
      </c>
      <c r="D25" s="244">
        <f>'Бюджет проекта по оплатам'!J13</f>
        <v>12860</v>
      </c>
      <c r="E25" s="245"/>
      <c r="F25" s="194"/>
      <c r="G25" s="222"/>
      <c r="H25" s="222"/>
      <c r="I25" s="199"/>
      <c r="J25" s="222"/>
    </row>
    <row r="26" spans="1:14" ht="24" customHeight="1">
      <c r="A26" s="736"/>
      <c r="B26" s="739"/>
      <c r="C26" s="740" t="s">
        <v>1700</v>
      </c>
      <c r="D26" s="244">
        <f>'Бюджет проекта по оплатам'!J14</f>
        <v>0</v>
      </c>
      <c r="E26" s="245"/>
      <c r="F26" s="194"/>
      <c r="G26" s="827" t="s">
        <v>2025</v>
      </c>
      <c r="H26" s="829"/>
      <c r="I26" s="830"/>
      <c r="J26" s="837" t="s">
        <v>2026</v>
      </c>
      <c r="K26" s="225"/>
      <c r="L26" s="191"/>
      <c r="N26" s="226"/>
    </row>
    <row r="27" spans="1:14" ht="24" customHeight="1">
      <c r="A27" s="736" t="s">
        <v>24</v>
      </c>
      <c r="B27" s="737" t="s">
        <v>1703</v>
      </c>
      <c r="C27" s="740"/>
      <c r="D27" s="244">
        <f>SUM(D28:D29)</f>
        <v>1850</v>
      </c>
      <c r="E27" s="245"/>
      <c r="F27" s="194"/>
      <c r="G27" s="828"/>
      <c r="H27" s="828"/>
      <c r="I27" s="825" t="s">
        <v>20</v>
      </c>
      <c r="J27" s="835"/>
    </row>
    <row r="28" spans="1:14" ht="24" customHeight="1">
      <c r="A28" s="736"/>
      <c r="B28" s="739"/>
      <c r="C28" s="738" t="s">
        <v>1706</v>
      </c>
      <c r="D28" s="244">
        <f>'Бюджет проекта по оплатам'!J16</f>
        <v>1500</v>
      </c>
      <c r="E28" s="245"/>
      <c r="F28" s="194"/>
      <c r="G28" s="834" t="s">
        <v>2027</v>
      </c>
      <c r="H28" s="824"/>
      <c r="I28" s="830"/>
      <c r="J28" s="837" t="s">
        <v>2028</v>
      </c>
    </row>
    <row r="29" spans="1:14" ht="24" customHeight="1">
      <c r="A29" s="736"/>
      <c r="B29" s="739"/>
      <c r="C29" s="740" t="s">
        <v>1700</v>
      </c>
      <c r="D29" s="244">
        <f>'Бюджет проекта по оплатам'!J17</f>
        <v>350</v>
      </c>
      <c r="E29" s="245"/>
      <c r="F29" s="194"/>
      <c r="G29" s="835"/>
      <c r="H29" s="828"/>
      <c r="I29" s="825" t="s">
        <v>20</v>
      </c>
      <c r="J29" s="835"/>
      <c r="K29" s="225"/>
      <c r="L29" s="191"/>
      <c r="N29" s="226"/>
    </row>
    <row r="30" spans="1:14" ht="24" customHeight="1" thickBot="1">
      <c r="A30" s="741" t="s">
        <v>1705</v>
      </c>
      <c r="B30" s="742" t="s">
        <v>1704</v>
      </c>
      <c r="C30" s="743"/>
      <c r="D30" s="572">
        <f>'Бюджет проекта по оплатам'!J18</f>
        <v>0</v>
      </c>
      <c r="E30" s="245"/>
      <c r="F30" s="194"/>
      <c r="G30" s="834" t="s">
        <v>1723</v>
      </c>
      <c r="H30" s="829"/>
      <c r="I30" s="826"/>
      <c r="J30" s="837" t="s">
        <v>1690</v>
      </c>
    </row>
    <row r="31" spans="1:14" ht="24" customHeight="1">
      <c r="A31" s="733" t="s">
        <v>15</v>
      </c>
      <c r="B31" s="744" t="s">
        <v>1707</v>
      </c>
      <c r="C31" s="745"/>
      <c r="D31" s="243">
        <f>D32+D36+D40</f>
        <v>14705.724620000003</v>
      </c>
      <c r="E31" s="245"/>
      <c r="F31" s="194"/>
      <c r="G31" s="836"/>
      <c r="H31" s="831"/>
      <c r="I31" s="825" t="s">
        <v>20</v>
      </c>
      <c r="J31" s="835"/>
    </row>
    <row r="32" spans="1:14" ht="24" customHeight="1">
      <c r="A32" s="736" t="s">
        <v>25</v>
      </c>
      <c r="B32" s="739" t="s">
        <v>1708</v>
      </c>
      <c r="C32" s="746"/>
      <c r="D32" s="244">
        <f>SUM(D33:D35)</f>
        <v>14705.724620000003</v>
      </c>
      <c r="E32" s="245"/>
      <c r="F32" s="194"/>
      <c r="G32" s="834" t="s">
        <v>1926</v>
      </c>
      <c r="H32" s="832"/>
      <c r="I32" s="826"/>
      <c r="J32" s="837" t="s">
        <v>2029</v>
      </c>
      <c r="K32" s="225"/>
      <c r="L32" s="191"/>
      <c r="N32" s="226"/>
    </row>
    <row r="33" spans="1:14" ht="24" customHeight="1">
      <c r="A33" s="736"/>
      <c r="B33" s="739"/>
      <c r="C33" s="738" t="s">
        <v>1714</v>
      </c>
      <c r="D33" s="244">
        <f>'Бюджет проекта по оплатам'!J21</f>
        <v>12298.340000000002</v>
      </c>
      <c r="E33" s="245"/>
      <c r="F33" s="194"/>
      <c r="G33" s="828"/>
      <c r="H33" s="833"/>
      <c r="I33" s="825" t="s">
        <v>20</v>
      </c>
      <c r="J33" s="828"/>
    </row>
    <row r="34" spans="1:14" ht="24" customHeight="1">
      <c r="A34" s="736"/>
      <c r="B34" s="739"/>
      <c r="C34" s="738" t="s">
        <v>1706</v>
      </c>
      <c r="D34" s="244">
        <f>'Бюджет проекта по оплатам'!J22</f>
        <v>2407.3846200000003</v>
      </c>
      <c r="E34" s="245"/>
      <c r="F34" s="214"/>
      <c r="G34" s="196"/>
      <c r="H34" s="223"/>
      <c r="I34" s="201"/>
      <c r="J34" s="197"/>
      <c r="K34" s="227"/>
      <c r="L34" s="228"/>
      <c r="N34" s="229"/>
    </row>
    <row r="35" spans="1:14" ht="24" customHeight="1">
      <c r="A35" s="736"/>
      <c r="B35" s="739"/>
      <c r="C35" s="740" t="s">
        <v>1700</v>
      </c>
      <c r="D35" s="244">
        <f>'Бюджет проекта по оплатам'!J23</f>
        <v>0</v>
      </c>
      <c r="E35" s="245"/>
      <c r="F35" s="214"/>
      <c r="G35" s="210"/>
      <c r="H35" s="204"/>
      <c r="I35" s="199"/>
      <c r="J35" s="211"/>
      <c r="K35" s="231"/>
      <c r="L35" s="228"/>
      <c r="N35" s="232"/>
    </row>
    <row r="36" spans="1:14" ht="24" customHeight="1">
      <c r="A36" s="736" t="s">
        <v>18</v>
      </c>
      <c r="B36" s="739" t="s">
        <v>1709</v>
      </c>
      <c r="C36" s="740"/>
      <c r="D36" s="244">
        <f>SUM(D37:D39)</f>
        <v>0</v>
      </c>
      <c r="E36" s="245"/>
      <c r="F36" s="214"/>
      <c r="G36" s="204"/>
      <c r="H36" s="204"/>
      <c r="I36" s="230"/>
      <c r="J36" s="204"/>
      <c r="K36" s="231"/>
      <c r="L36" s="228"/>
      <c r="N36" s="232"/>
    </row>
    <row r="37" spans="1:14" ht="24" customHeight="1">
      <c r="A37" s="736"/>
      <c r="B37" s="739"/>
      <c r="C37" s="738" t="s">
        <v>1714</v>
      </c>
      <c r="D37" s="244">
        <f>'Бюджет проекта по оплатам'!J25</f>
        <v>0</v>
      </c>
      <c r="E37" s="245"/>
      <c r="F37" s="214"/>
      <c r="G37" s="192" t="s">
        <v>1711</v>
      </c>
      <c r="H37" s="219"/>
      <c r="I37" s="220"/>
      <c r="J37" s="221"/>
      <c r="K37" s="231"/>
      <c r="L37" s="228"/>
      <c r="N37" s="232"/>
    </row>
    <row r="38" spans="1:14" ht="24" customHeight="1">
      <c r="A38" s="736"/>
      <c r="B38" s="739"/>
      <c r="C38" s="738" t="s">
        <v>1706</v>
      </c>
      <c r="D38" s="244">
        <f>'Бюджет проекта по оплатам'!J26</f>
        <v>0</v>
      </c>
      <c r="E38" s="245"/>
      <c r="F38" s="214"/>
      <c r="G38" s="1038" t="s">
        <v>1713</v>
      </c>
      <c r="H38" s="1039"/>
      <c r="I38" s="233" t="s">
        <v>21</v>
      </c>
      <c r="J38" s="218" t="s">
        <v>16</v>
      </c>
      <c r="K38" s="231"/>
      <c r="L38" s="228"/>
      <c r="N38" s="232"/>
    </row>
    <row r="39" spans="1:14" ht="24" customHeight="1">
      <c r="A39" s="736"/>
      <c r="B39" s="739"/>
      <c r="C39" s="740" t="s">
        <v>1700</v>
      </c>
      <c r="D39" s="244">
        <f>'Бюджет проекта по оплатам'!J27</f>
        <v>0</v>
      </c>
      <c r="E39" s="245"/>
      <c r="F39" s="214"/>
      <c r="G39" s="1038"/>
      <c r="H39" s="1039"/>
      <c r="I39" s="233"/>
      <c r="J39" s="218"/>
      <c r="K39" s="231"/>
      <c r="L39" s="228"/>
      <c r="N39" s="232"/>
    </row>
    <row r="40" spans="1:14" ht="24" customHeight="1" thickBot="1">
      <c r="A40" s="747" t="s">
        <v>1717</v>
      </c>
      <c r="B40" s="748" t="s">
        <v>1715</v>
      </c>
      <c r="C40" s="749"/>
      <c r="D40" s="573">
        <f>'Бюджет проекта по оплатам'!J28</f>
        <v>0</v>
      </c>
      <c r="E40" s="245"/>
      <c r="F40" s="214"/>
      <c r="G40" s="1038"/>
      <c r="H40" s="1039"/>
      <c r="I40" s="233"/>
      <c r="J40" s="218"/>
      <c r="K40" s="231"/>
      <c r="L40" s="228"/>
      <c r="N40" s="232"/>
    </row>
    <row r="41" spans="1:14" ht="24" customHeight="1">
      <c r="A41" s="234"/>
      <c r="B41" s="235" t="s">
        <v>2</v>
      </c>
      <c r="C41" s="235"/>
      <c r="D41" s="245">
        <f>D19+D31</f>
        <v>48201.878479999999</v>
      </c>
      <c r="E41" s="245"/>
      <c r="F41" s="214"/>
      <c r="G41" s="1038"/>
      <c r="H41" s="1039"/>
      <c r="I41" s="233"/>
      <c r="J41" s="218"/>
      <c r="K41" s="231"/>
      <c r="L41" s="228"/>
      <c r="N41" s="232"/>
    </row>
    <row r="42" spans="1:14" ht="24" customHeight="1">
      <c r="A42" s="234"/>
      <c r="B42" s="235" t="s">
        <v>1710</v>
      </c>
      <c r="C42" s="235"/>
      <c r="D42" s="245">
        <f>D21+D33+D37</f>
        <v>12298.340000000002</v>
      </c>
      <c r="E42" s="245"/>
      <c r="F42" s="214"/>
      <c r="G42" s="204"/>
      <c r="H42" s="204"/>
      <c r="I42" s="230"/>
      <c r="J42" s="204"/>
      <c r="K42" s="231"/>
      <c r="L42" s="228"/>
      <c r="N42" s="232"/>
    </row>
    <row r="43" spans="1:14" ht="24" customHeight="1">
      <c r="A43" s="234"/>
      <c r="B43" s="235"/>
      <c r="C43" s="235"/>
      <c r="D43" s="236"/>
      <c r="E43" s="237"/>
      <c r="F43" s="214"/>
      <c r="G43" s="204"/>
      <c r="H43" s="204"/>
      <c r="I43" s="230"/>
      <c r="J43" s="204"/>
      <c r="K43" s="231"/>
      <c r="L43" s="228"/>
      <c r="N43" s="232"/>
    </row>
    <row r="44" spans="1:14" ht="24" customHeight="1">
      <c r="F44" s="214"/>
      <c r="G44" s="210" t="s">
        <v>1689</v>
      </c>
      <c r="H44" s="217"/>
      <c r="I44" s="201"/>
      <c r="J44" s="197" t="s">
        <v>1685</v>
      </c>
      <c r="K44" s="231"/>
      <c r="L44" s="228"/>
      <c r="N44" s="232"/>
    </row>
    <row r="45" spans="1:14" ht="24" customHeight="1">
      <c r="A45" s="213"/>
      <c r="F45" s="214"/>
      <c r="G45" s="204"/>
      <c r="H45" s="204"/>
      <c r="I45" s="199" t="s">
        <v>20</v>
      </c>
      <c r="J45" s="204"/>
      <c r="K45" s="225"/>
      <c r="L45" s="228"/>
      <c r="N45" s="229"/>
    </row>
    <row r="46" spans="1:14" ht="24" customHeight="1">
      <c r="A46" s="239"/>
      <c r="F46" s="214"/>
      <c r="G46" s="204"/>
      <c r="H46" s="204"/>
      <c r="I46" s="230"/>
      <c r="J46" s="204"/>
      <c r="K46" s="225"/>
      <c r="L46" s="228"/>
      <c r="N46" s="229"/>
    </row>
    <row r="47" spans="1:14" ht="24" customHeight="1">
      <c r="F47" s="214"/>
      <c r="G47" s="204"/>
      <c r="H47" s="204"/>
      <c r="I47" s="230"/>
      <c r="J47" s="204"/>
      <c r="K47" s="225"/>
      <c r="L47" s="228"/>
    </row>
    <row r="48" spans="1:14" ht="24" customHeight="1">
      <c r="F48" s="238"/>
      <c r="G48" s="196"/>
      <c r="H48" s="217"/>
      <c r="I48" s="197"/>
      <c r="J48" s="197"/>
    </row>
    <row r="49" spans="1:10" ht="24" customHeight="1">
      <c r="F49" s="238"/>
      <c r="G49" s="192" t="s">
        <v>65</v>
      </c>
      <c r="H49" s="192"/>
      <c r="I49" s="192"/>
      <c r="J49" s="192"/>
    </row>
    <row r="50" spans="1:10" ht="24" customHeight="1">
      <c r="A50" s="16"/>
      <c r="F50" s="238"/>
      <c r="H50" s="239"/>
      <c r="I50" s="239"/>
      <c r="J50" s="239"/>
    </row>
    <row r="51" spans="1:10" ht="24" customHeight="1">
      <c r="A51" s="16"/>
      <c r="F51" s="238"/>
      <c r="G51" s="843" t="s">
        <v>2030</v>
      </c>
      <c r="H51" s="838"/>
      <c r="I51" s="842"/>
      <c r="J51" s="844" t="s">
        <v>2031</v>
      </c>
    </row>
    <row r="52" spans="1:10" ht="24" customHeight="1">
      <c r="A52" s="1025" t="s">
        <v>1531</v>
      </c>
      <c r="B52" s="1025"/>
      <c r="C52" s="1025"/>
      <c r="D52" s="1025"/>
      <c r="E52" s="1025"/>
      <c r="F52" s="213"/>
      <c r="G52" s="841"/>
      <c r="H52" s="838"/>
      <c r="I52" s="839" t="s">
        <v>20</v>
      </c>
      <c r="J52" s="840"/>
    </row>
    <row r="53" spans="1:10" ht="24" customHeight="1">
      <c r="A53" s="1025"/>
      <c r="B53" s="1025"/>
      <c r="C53" s="1025"/>
      <c r="D53" s="1025"/>
      <c r="E53" s="1025"/>
      <c r="F53" s="213"/>
      <c r="G53" s="196"/>
      <c r="I53" s="224"/>
      <c r="J53" s="197"/>
    </row>
    <row r="54" spans="1:10" ht="21.75" customHeight="1">
      <c r="A54" s="240"/>
      <c r="F54" s="213"/>
      <c r="G54" s="222"/>
      <c r="I54" s="199"/>
      <c r="J54" s="202"/>
    </row>
    <row r="55" spans="1:10" ht="18.75">
      <c r="A55" s="16" t="s">
        <v>66</v>
      </c>
      <c r="F55" s="213"/>
      <c r="G55" s="196"/>
      <c r="I55" s="224"/>
      <c r="J55" s="197"/>
    </row>
    <row r="56" spans="1:10" s="16" customFormat="1" ht="18">
      <c r="A56" s="240"/>
      <c r="B56" s="181"/>
      <c r="C56" s="181"/>
      <c r="D56" s="181"/>
      <c r="E56" s="181"/>
      <c r="G56" s="181"/>
      <c r="H56" s="239"/>
      <c r="I56" s="199"/>
      <c r="J56" s="239"/>
    </row>
    <row r="57" spans="1:10" s="16" customFormat="1" ht="15.75">
      <c r="A57" s="240"/>
      <c r="B57" s="181"/>
      <c r="C57" s="181"/>
      <c r="D57" s="181"/>
      <c r="E57" s="181"/>
      <c r="G57" s="181"/>
      <c r="H57" s="181"/>
      <c r="I57" s="181"/>
      <c r="J57" s="181"/>
    </row>
    <row r="58" spans="1:10" s="16" customFormat="1" ht="15.75">
      <c r="A58" s="241"/>
      <c r="B58" s="181"/>
      <c r="C58" s="181"/>
      <c r="D58" s="181"/>
      <c r="E58" s="181"/>
      <c r="G58" s="181"/>
      <c r="H58" s="181"/>
      <c r="I58" s="181"/>
      <c r="J58" s="181"/>
    </row>
    <row r="59" spans="1:10" s="16" customFormat="1" ht="15.75">
      <c r="A59" s="242"/>
      <c r="B59" s="181"/>
      <c r="C59" s="181"/>
      <c r="D59" s="181"/>
      <c r="E59" s="181"/>
      <c r="G59" s="181"/>
      <c r="H59" s="181"/>
      <c r="I59" s="181"/>
      <c r="J59" s="181"/>
    </row>
    <row r="60" spans="1:10" s="16" customFormat="1" ht="15.75">
      <c r="A60" s="181"/>
      <c r="B60" s="181"/>
      <c r="C60" s="181"/>
      <c r="D60" s="181"/>
      <c r="E60" s="181"/>
      <c r="G60" s="181"/>
      <c r="H60" s="181"/>
      <c r="I60" s="181"/>
      <c r="J60" s="181"/>
    </row>
    <row r="61" spans="1:10" s="16" customFormat="1" ht="15.75">
      <c r="A61" s="181"/>
      <c r="B61" s="181"/>
      <c r="C61" s="181"/>
      <c r="D61" s="181"/>
      <c r="E61" s="181"/>
      <c r="G61" s="181"/>
      <c r="H61" s="181"/>
      <c r="I61" s="181"/>
      <c r="J61" s="181"/>
    </row>
    <row r="62" spans="1:10" s="16" customFormat="1" ht="15.75">
      <c r="A62" s="181"/>
      <c r="B62" s="181"/>
      <c r="C62" s="181"/>
      <c r="D62" s="181"/>
      <c r="E62" s="181"/>
      <c r="G62" s="181"/>
      <c r="H62" s="181"/>
      <c r="I62" s="181"/>
      <c r="J62" s="181"/>
    </row>
    <row r="63" spans="1:10" s="16" customFormat="1" ht="15.75">
      <c r="A63" s="181"/>
      <c r="B63" s="181"/>
      <c r="C63" s="181"/>
      <c r="D63" s="181"/>
      <c r="E63" s="181"/>
      <c r="G63" s="181"/>
      <c r="H63" s="181"/>
      <c r="I63" s="181"/>
      <c r="J63" s="181"/>
    </row>
    <row r="64" spans="1:10" s="16" customFormat="1" ht="15.75">
      <c r="A64" s="181"/>
      <c r="B64" s="181"/>
      <c r="C64" s="181"/>
      <c r="D64" s="181"/>
      <c r="E64" s="181"/>
      <c r="G64" s="181"/>
      <c r="H64" s="181"/>
      <c r="I64" s="181"/>
      <c r="J64" s="181"/>
    </row>
    <row r="65" spans="6:6" ht="15.75">
      <c r="F65" s="16"/>
    </row>
  </sheetData>
  <mergeCells count="23">
    <mergeCell ref="A2:J2"/>
    <mergeCell ref="A52:E53"/>
    <mergeCell ref="A5:B5"/>
    <mergeCell ref="A6:B6"/>
    <mergeCell ref="A7:B7"/>
    <mergeCell ref="A14:B14"/>
    <mergeCell ref="A15:B15"/>
    <mergeCell ref="A11:B11"/>
    <mergeCell ref="G38:H38"/>
    <mergeCell ref="G39:H39"/>
    <mergeCell ref="G40:H40"/>
    <mergeCell ref="G41:H41"/>
    <mergeCell ref="A8:B8"/>
    <mergeCell ref="A9:B9"/>
    <mergeCell ref="A10:B10"/>
    <mergeCell ref="A3:J3"/>
    <mergeCell ref="C11:D11"/>
    <mergeCell ref="C5:D5"/>
    <mergeCell ref="C6:D6"/>
    <mergeCell ref="C7:D7"/>
    <mergeCell ref="C8:D8"/>
    <mergeCell ref="C9:D9"/>
    <mergeCell ref="C10:D10"/>
  </mergeCells>
  <dataValidations count="1">
    <dataValidation type="list" allowBlank="1" showInputMessage="1" showErrorMessage="1" sqref="C11:D11" xr:uid="{00000000-0002-0000-0100-000000000000}">
      <formula1>"да,нет"</formula1>
    </dataValidation>
  </dataValidations>
  <printOptions horizontalCentered="1"/>
  <pageMargins left="0.59055118110236227" right="0.59055118110236227" top="0.39370078740157483" bottom="0.39370078740157483" header="0.31496062992125984" footer="0.31496062992125984"/>
  <pageSetup paperSize="9" scale="39" orientation="landscape" r:id="rId1"/>
  <rowBreaks count="1" manualBreakCount="1">
    <brk id="45" max="16383" man="1"/>
  </rowBreaks>
  <extLst>
    <ext xmlns:x14="http://schemas.microsoft.com/office/spreadsheetml/2009/9/main" uri="{78C0D931-6437-407d-A8EE-F0AAD7539E65}">
      <x14:conditionalFormattings>
        <x14:conditionalFormatting xmlns:xm="http://schemas.microsoft.com/office/excel/2006/main">
          <x14:cfRule type="iconSet" priority="5" id="{83CC3BF0-7D32-4502-B59F-5A947D3643A5}">
            <x14:iconSet custom="1">
              <x14:cfvo type="percent">
                <xm:f>0</xm:f>
              </x14:cfvo>
              <x14:cfvo type="num">
                <xm:f>0</xm:f>
              </x14:cfvo>
              <x14:cfvo type="num" gte="0">
                <xm:f>0</xm:f>
              </x14:cfvo>
              <x14:cfIcon iconSet="NoIcons" iconId="0"/>
              <x14:cfIcon iconSet="3TrafficLights1" iconId="2"/>
              <x14:cfIcon iconSet="3Symbols" iconId="1"/>
            </x14:iconSet>
          </x14:cfRule>
          <xm:sqref>D43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1">
    <tabColor rgb="FF00B0F0"/>
    <pageSetUpPr fitToPage="1"/>
  </sheetPr>
  <dimension ref="A2:R30"/>
  <sheetViews>
    <sheetView workbookViewId="0">
      <selection activeCell="F10" sqref="F10"/>
    </sheetView>
  </sheetViews>
  <sheetFormatPr defaultRowHeight="12.75"/>
  <cols>
    <col min="1" max="1" width="9.140625" style="13"/>
    <col min="2" max="2" width="18" style="13" customWidth="1"/>
    <col min="3" max="3" width="37.28515625" style="13" customWidth="1"/>
    <col min="4" max="10" width="19.140625" style="13" customWidth="1"/>
    <col min="11" max="16384" width="9.140625" style="13"/>
  </cols>
  <sheetData>
    <row r="2" spans="1:18" ht="18.75">
      <c r="A2" s="215" t="s">
        <v>1840</v>
      </c>
    </row>
    <row r="3" spans="1:18" ht="18.75">
      <c r="A3" s="215"/>
    </row>
    <row r="4" spans="1:18" ht="13.5" thickBot="1">
      <c r="A4" s="403"/>
      <c r="B4" s="404"/>
      <c r="C4" s="404"/>
    </row>
    <row r="5" spans="1:18" s="489" customFormat="1" ht="24.75" customHeight="1" thickBot="1">
      <c r="A5" s="1041" t="s">
        <v>56</v>
      </c>
      <c r="B5" s="1043" t="s">
        <v>1761</v>
      </c>
      <c r="C5" s="1044"/>
      <c r="D5" s="1047" t="s">
        <v>1762</v>
      </c>
      <c r="E5" s="1047"/>
      <c r="F5" s="1047"/>
      <c r="G5" s="1047"/>
      <c r="H5" s="1047"/>
      <c r="I5" s="1047"/>
      <c r="J5" s="1047"/>
    </row>
    <row r="6" spans="1:18" s="489" customFormat="1" ht="13.5" thickBot="1">
      <c r="A6" s="1042"/>
      <c r="B6" s="1045"/>
      <c r="C6" s="1046"/>
      <c r="D6" s="507" t="s">
        <v>1806</v>
      </c>
      <c r="E6" s="507" t="s">
        <v>1788</v>
      </c>
      <c r="F6" s="507" t="s">
        <v>1789</v>
      </c>
      <c r="G6" s="507" t="s">
        <v>1790</v>
      </c>
      <c r="H6" s="507" t="s">
        <v>1791</v>
      </c>
      <c r="I6" s="507" t="s">
        <v>1819</v>
      </c>
      <c r="J6" s="405" t="s">
        <v>1763</v>
      </c>
    </row>
    <row r="7" spans="1:18" s="488" customFormat="1" ht="24" customHeight="1">
      <c r="A7" s="503" t="s">
        <v>14</v>
      </c>
      <c r="B7" s="695" t="s">
        <v>1821</v>
      </c>
      <c r="C7" s="696"/>
      <c r="D7" s="506">
        <f>D8+D12+D15+D18</f>
        <v>0</v>
      </c>
      <c r="E7" s="506">
        <f t="shared" ref="E7:J7" si="0">E8+E12+E15+E18</f>
        <v>0</v>
      </c>
      <c r="F7" s="506">
        <f t="shared" si="0"/>
        <v>25498</v>
      </c>
      <c r="G7" s="506">
        <f t="shared" si="0"/>
        <v>7998.1538600000003</v>
      </c>
      <c r="H7" s="506">
        <f t="shared" si="0"/>
        <v>0</v>
      </c>
      <c r="I7" s="506">
        <f t="shared" si="0"/>
        <v>0</v>
      </c>
      <c r="J7" s="506">
        <f t="shared" si="0"/>
        <v>33496.153859999999</v>
      </c>
    </row>
    <row r="8" spans="1:18">
      <c r="A8" s="406" t="s">
        <v>22</v>
      </c>
      <c r="B8" s="723" t="s">
        <v>2009</v>
      </c>
      <c r="C8" s="593" t="s">
        <v>2008</v>
      </c>
      <c r="D8" s="501">
        <f>SUM(D9:D11)</f>
        <v>0</v>
      </c>
      <c r="E8" s="501">
        <f t="shared" ref="E8:I8" si="1">SUM(E9:E11)</f>
        <v>0</v>
      </c>
      <c r="F8" s="501">
        <f t="shared" si="1"/>
        <v>13448</v>
      </c>
      <c r="G8" s="501">
        <f t="shared" si="1"/>
        <v>5338.1538600000003</v>
      </c>
      <c r="H8" s="501">
        <f t="shared" si="1"/>
        <v>0</v>
      </c>
      <c r="I8" s="501">
        <f t="shared" si="1"/>
        <v>0</v>
      </c>
      <c r="J8" s="502">
        <f>SUM(D8:I8)</f>
        <v>18786.153859999999</v>
      </c>
      <c r="P8" s="510"/>
      <c r="Q8" s="510"/>
      <c r="R8" s="510"/>
    </row>
    <row r="9" spans="1:18">
      <c r="A9" s="406"/>
      <c r="B9" s="407"/>
      <c r="C9" s="408" t="s">
        <v>1807</v>
      </c>
      <c r="D9" s="410">
        <f>'Работы - НН-ОЦО'!N239+'Командировочные расходы'!G96</f>
        <v>0</v>
      </c>
      <c r="E9" s="410">
        <f>'Работы - НН-ОЦО'!AC239+'Командировочные расходы'!T96</f>
        <v>0</v>
      </c>
      <c r="F9" s="410">
        <v>0</v>
      </c>
      <c r="G9" s="411">
        <v>0</v>
      </c>
      <c r="H9" s="411">
        <v>0</v>
      </c>
      <c r="I9" s="411">
        <v>0</v>
      </c>
      <c r="J9" s="411">
        <f t="shared" ref="J9:J28" si="2">SUM(D9:I9)</f>
        <v>0</v>
      </c>
      <c r="P9" s="510"/>
      <c r="Q9" s="510"/>
      <c r="R9" s="510"/>
    </row>
    <row r="10" spans="1:18">
      <c r="A10" s="406"/>
      <c r="B10" s="407"/>
      <c r="C10" s="408" t="s">
        <v>1706</v>
      </c>
      <c r="D10" s="410">
        <f>'Стоимость подрядных работ'!$U$121-'Бюджет проекта по оплатам'!D11</f>
        <v>0</v>
      </c>
      <c r="E10" s="410">
        <f>'Стоимость подрядных работ'!$AJ$121-'Бюджет проекта по оплатам'!E11</f>
        <v>0</v>
      </c>
      <c r="F10" s="410">
        <f>'Стоимость подрядных работ'!$AY$121-'Бюджет проекта по оплатам'!F11</f>
        <v>13448</v>
      </c>
      <c r="G10" s="411">
        <f>'Стоимость подрядных работ'!$BN$121-'Бюджет проекта по оплатам'!G11</f>
        <v>5338.1538600000003</v>
      </c>
      <c r="H10" s="411">
        <f>'Стоимость подрядных работ'!$CC$121-'Бюджет проекта по оплатам'!H11</f>
        <v>0</v>
      </c>
      <c r="I10" s="411">
        <f>'Стоимость подрядных работ'!$CR$121-'Бюджет проекта по оплатам'!I11</f>
        <v>0</v>
      </c>
      <c r="J10" s="411">
        <f t="shared" si="2"/>
        <v>18786.153859999999</v>
      </c>
      <c r="K10" s="495"/>
    </row>
    <row r="11" spans="1:18">
      <c r="A11" s="406"/>
      <c r="B11" s="407"/>
      <c r="C11" s="409" t="s">
        <v>1700</v>
      </c>
      <c r="D11" s="410">
        <f>SUMIFS('Стоимость подрядных работ'!$U$7:$U$115,'Стоимость подрядных работ'!$R$7:$R$115,"&gt;D4",'Стоимость подрядных работ'!$E$7:$E$115,"=К")/1000</f>
        <v>0</v>
      </c>
      <c r="E11" s="410">
        <f>SUMIFS('Стоимость подрядных работ'!$AJ$7:$AJ$115,'Стоимость подрядных работ'!$R$7:$R$115,"&gt;D4",'Стоимость подрядных работ'!$E$7:$E$115,"=К")/1000</f>
        <v>0</v>
      </c>
      <c r="F11" s="410">
        <f>SUMIFS('Стоимость подрядных работ'!$AY$7:$AY$115,'Стоимость подрядных работ'!$R$7:$R$115,"&gt;D4",'Стоимость подрядных работ'!$E$7:$E$115,"=К")/1000</f>
        <v>0</v>
      </c>
      <c r="G11" s="411">
        <f>SUMIFS('Стоимость подрядных работ'!$BN$7:$BN$115,'Стоимость подрядных работ'!$R$7:$R$115,"&gt;D4",'Стоимость подрядных работ'!$E$7:$E$115,"=К")/1000</f>
        <v>0</v>
      </c>
      <c r="H11" s="411">
        <f>SUMIFS('Стоимость подрядных работ'!$CC$7:$CC$115,'Стоимость подрядных работ'!$R$7:$R$115,"&gt;D4",'Стоимость подрядных работ'!$E$7:$E$115,"=К")/1000</f>
        <v>0</v>
      </c>
      <c r="I11" s="411">
        <f>SUMIFS('Стоимость подрядных работ'!$CR$7:$CR$115,'Стоимость подрядных работ'!$R$7:$R$115,"&gt;D4",'Стоимость подрядных работ'!$E$7:$E$115,"=К")/1000</f>
        <v>0</v>
      </c>
      <c r="J11" s="411">
        <f t="shared" si="2"/>
        <v>0</v>
      </c>
    </row>
    <row r="12" spans="1:18">
      <c r="A12" s="406" t="s">
        <v>23</v>
      </c>
      <c r="B12" s="723" t="s">
        <v>1983</v>
      </c>
      <c r="C12" s="594" t="s">
        <v>2006</v>
      </c>
      <c r="D12" s="501">
        <f>D13+D14</f>
        <v>0</v>
      </c>
      <c r="E12" s="501">
        <f t="shared" ref="E12:I12" si="3">E13+E14</f>
        <v>0</v>
      </c>
      <c r="F12" s="501">
        <f t="shared" si="3"/>
        <v>10200</v>
      </c>
      <c r="G12" s="501">
        <f t="shared" si="3"/>
        <v>2660</v>
      </c>
      <c r="H12" s="501">
        <f t="shared" si="3"/>
        <v>0</v>
      </c>
      <c r="I12" s="501">
        <f t="shared" si="3"/>
        <v>0</v>
      </c>
      <c r="J12" s="502">
        <f t="shared" si="2"/>
        <v>12860</v>
      </c>
      <c r="K12" s="495"/>
    </row>
    <row r="13" spans="1:18">
      <c r="A13" s="406"/>
      <c r="B13" s="407"/>
      <c r="C13" s="408" t="s">
        <v>1706</v>
      </c>
      <c r="D13" s="410">
        <f>SUMIFS(Оборудование_ПО!$K$5:$K$11,Оборудование_ПО!$C$5:$C$11,$C$13,Оборудование_ПО!$B$5:$B$11,$B$12)/1000</f>
        <v>0</v>
      </c>
      <c r="E13" s="410">
        <f>SUMIFS(Оборудование_ПО!$X$5:$X$11,Оборудование_ПО!$C$5:$C$11,$C$13,Оборудование_ПО!$B$5:$B$11,$B$12)/1000</f>
        <v>0</v>
      </c>
      <c r="F13" s="410">
        <f>SUMIFS(Оборудование_ПО!$AK$5:$AK$11,Оборудование_ПО!$C$5:$C$11,$C$13,Оборудование_ПО!$B$5:$B$11,$B$12)/1000</f>
        <v>10200</v>
      </c>
      <c r="G13" s="411">
        <f>SUMIFS(Оборудование_ПО!$AX$5:$AX$11,Оборудование_ПО!$C$5:$C$11,$C$13,Оборудование_ПО!$B$5:$B$11,$B$12)/1000</f>
        <v>2660</v>
      </c>
      <c r="H13" s="411">
        <f>SUMIFS(Оборудование_ПО!$BK$5:$BK$11,Оборудование_ПО!$C$5:$C$11,$C$13,Оборудование_ПО!$B$5:$B$11,$B$12)/1000</f>
        <v>0</v>
      </c>
      <c r="I13" s="411">
        <f>SUMIFS(Оборудование_ПО!$BX$5:$BX$11,Оборудование_ПО!$C$5:$C$11,$C$13,Оборудование_ПО!$B$5:$B$11,$B$12)/1000</f>
        <v>0</v>
      </c>
      <c r="J13" s="411">
        <f t="shared" si="2"/>
        <v>12860</v>
      </c>
    </row>
    <row r="14" spans="1:18">
      <c r="A14" s="406"/>
      <c r="B14" s="407"/>
      <c r="C14" s="409" t="s">
        <v>1700</v>
      </c>
      <c r="D14" s="410">
        <f>SUMIFS(Оборудование_ПО!$K$5:$K$11,Оборудование_ПО!$C$5:$C$11,$C$14,Оборудование_ПО!$B$5:$B$11,$B$12)/1000</f>
        <v>0</v>
      </c>
      <c r="E14" s="410">
        <f>SUMIFS(Оборудование_ПО!$X$5:$X$11,Оборудование_ПО!$C$5:$C$11,$C$14,Оборудование_ПО!$B$5:$B$11,$B$12)/1000</f>
        <v>0</v>
      </c>
      <c r="F14" s="410">
        <f>SUMIFS(Оборудование_ПО!$AK$5:$AK$11,Оборудование_ПО!$C$5:$C$11,$C$14,Оборудование_ПО!$B$5:$B$11,$B$12)/1000</f>
        <v>0</v>
      </c>
      <c r="G14" s="411">
        <f>SUMIFS(Оборудование_ПО!$AX$5:$AX$11,Оборудование_ПО!$C$5:$C$11,$C$14,Оборудование_ПО!$B$5:$B$11,$B$12)/1000</f>
        <v>0</v>
      </c>
      <c r="H14" s="411">
        <f>SUMIFS(Оборудование_ПО!$BK$5:$BK$11,Оборудование_ПО!$C$5:$C$11,$C$14,Оборудование_ПО!$B$5:$B$11,$B$12)/1000</f>
        <v>0</v>
      </c>
      <c r="I14" s="411">
        <f>SUMIFS(Оборудование_ПО!$BX$5:$BX$11,Оборудование_ПО!$C$5:$C$11,$C$14,Оборудование_ПО!$B$5:$B$11,$B$12)/1000</f>
        <v>0</v>
      </c>
      <c r="J14" s="411">
        <f t="shared" si="2"/>
        <v>0</v>
      </c>
    </row>
    <row r="15" spans="1:18" ht="18" customHeight="1">
      <c r="A15" s="406" t="s">
        <v>24</v>
      </c>
      <c r="B15" s="725" t="s">
        <v>1984</v>
      </c>
      <c r="C15" s="594" t="s">
        <v>2007</v>
      </c>
      <c r="D15" s="501">
        <f>D16+D17</f>
        <v>0</v>
      </c>
      <c r="E15" s="501">
        <f t="shared" ref="E15:I15" si="4">E16+E17</f>
        <v>0</v>
      </c>
      <c r="F15" s="501">
        <f t="shared" si="4"/>
        <v>1850</v>
      </c>
      <c r="G15" s="501">
        <f t="shared" si="4"/>
        <v>0</v>
      </c>
      <c r="H15" s="501">
        <f t="shared" si="4"/>
        <v>0</v>
      </c>
      <c r="I15" s="501">
        <f t="shared" si="4"/>
        <v>0</v>
      </c>
      <c r="J15" s="502">
        <f t="shared" si="2"/>
        <v>1850</v>
      </c>
    </row>
    <row r="16" spans="1:18">
      <c r="A16" s="406"/>
      <c r="B16" s="407"/>
      <c r="C16" s="408" t="s">
        <v>1706</v>
      </c>
      <c r="D16" s="410">
        <f>SUMIFS(Оборудование_ПО!$K$5:$K$11,Оборудование_ПО!$C$5:$C$11,$C16,Оборудование_ПО!$B$5:$B$11,$B$15)/1000</f>
        <v>0</v>
      </c>
      <c r="E16" s="410">
        <f>SUMIFS(Оборудование_ПО!$X$5:$X$11,Оборудование_ПО!$C$5:$C$11,$C16,Оборудование_ПО!$B$5:$B$11,$B$15)/1000</f>
        <v>0</v>
      </c>
      <c r="F16" s="410">
        <f>SUMIFS(Оборудование_ПО!$AK$5:$AK$11,Оборудование_ПО!$C$5:$C$11,$C16,Оборудование_ПО!$B$5:$B$11,$B$15)/1000</f>
        <v>1500</v>
      </c>
      <c r="G16" s="411">
        <f>SUMIFS(Оборудование_ПО!$AX$5:$AX$11,Оборудование_ПО!$C$5:$C$11,$C16,Оборудование_ПО!$B$5:$B$11,$B$15)/1000</f>
        <v>0</v>
      </c>
      <c r="H16" s="411">
        <f>SUMIFS(Оборудование_ПО!$BK$5:$BK$11,Оборудование_ПО!$C$5:$C$11,$C16,Оборудование_ПО!$B$5:$B$11,$B$15)/1000</f>
        <v>0</v>
      </c>
      <c r="I16" s="411">
        <f>SUMIFS(Оборудование_ПО!$BX$5:$BX$11,Оборудование_ПО!$C$5:$C$11,$C16,Оборудование_ПО!$B$5:$B$11,$B$15)/1000</f>
        <v>0</v>
      </c>
      <c r="J16" s="727">
        <f t="shared" si="2"/>
        <v>1500</v>
      </c>
    </row>
    <row r="17" spans="1:10">
      <c r="A17" s="406"/>
      <c r="B17" s="407"/>
      <c r="C17" s="409" t="s">
        <v>1700</v>
      </c>
      <c r="D17" s="410">
        <f>SUMIFS(Оборудование_ПО!$K$5:$K$11,Оборудование_ПО!$C$5:$C$11,$C17,Оборудование_ПО!$B$5:$B$11,$B$15)/1000</f>
        <v>0</v>
      </c>
      <c r="E17" s="410">
        <f>SUMIFS(Оборудование_ПО!$X$5:$X$11,Оборудование_ПО!$C$5:$C$11,$C17,Оборудование_ПО!$B$5:$B$11,$B$15)/1000</f>
        <v>0</v>
      </c>
      <c r="F17" s="410">
        <f>SUMIFS(Оборудование_ПО!$AK$5:$AK$11,Оборудование_ПО!$C$5:$C$11,$C17,Оборудование_ПО!$B$5:$B$11,$B$15)/1000</f>
        <v>350</v>
      </c>
      <c r="G17" s="411">
        <f>SUMIFS(Оборудование_ПО!$AX$5:$AX$11,Оборудование_ПО!$C$5:$C$11,$C17,Оборудование_ПО!$B$5:$B$11,$B$15)/1000</f>
        <v>0</v>
      </c>
      <c r="H17" s="411">
        <f>SUMIFS(Оборудование_ПО!$BK$5:$BK$11,Оборудование_ПО!$C$5:$C$11,$C17,Оборудование_ПО!$B$5:$B$11,$B$15)/1000</f>
        <v>0</v>
      </c>
      <c r="I17" s="411">
        <f>SUMIFS(Оборудование_ПО!$BX$5:$BX$11,Оборудование_ПО!$C$5:$C$11,$C17,Оборудование_ПО!$B$5:$B$11,$B$15)/1000</f>
        <v>0</v>
      </c>
      <c r="J17" s="411">
        <f t="shared" si="2"/>
        <v>350</v>
      </c>
    </row>
    <row r="18" spans="1:10" ht="14.25" customHeight="1" thickBot="1">
      <c r="A18" s="406" t="s">
        <v>1705</v>
      </c>
      <c r="B18" s="671" t="s">
        <v>1985</v>
      </c>
      <c r="C18" s="594"/>
      <c r="D18" s="501">
        <f>Оборудование_ПО!K17/1000-'Бюджет проекта по оплатам'!D15-'Бюджет проекта по оплатам'!D12</f>
        <v>0</v>
      </c>
      <c r="E18" s="501">
        <f>Оборудование_ПО!X17/1000-'Бюджет проекта по оплатам'!E15-'Бюджет проекта по оплатам'!E12</f>
        <v>0</v>
      </c>
      <c r="F18" s="501">
        <f>Оборудование_ПО!AK17/1000-'Бюджет проекта по оплатам'!F15-'Бюджет проекта по оплатам'!F12</f>
        <v>0</v>
      </c>
      <c r="G18" s="501">
        <f>Оборудование_ПО!AX17/1000-'Бюджет проекта по оплатам'!G15-'Бюджет проекта по оплатам'!G12</f>
        <v>0</v>
      </c>
      <c r="H18" s="501">
        <f>Оборудование_ПО!BK17/1000-'Бюджет проекта по оплатам'!H15-'Бюджет проекта по оплатам'!H12</f>
        <v>0</v>
      </c>
      <c r="I18" s="501">
        <f>Оборудование_ПО!BX17/1000-'Бюджет проекта по оплатам'!I15-'Бюджет проекта по оплатам'!I12</f>
        <v>0</v>
      </c>
      <c r="J18" s="728">
        <f>SUM(D18:I18)</f>
        <v>0</v>
      </c>
    </row>
    <row r="19" spans="1:10" s="487" customFormat="1" ht="24.75" customHeight="1">
      <c r="A19" s="503" t="s">
        <v>15</v>
      </c>
      <c r="B19" s="504" t="s">
        <v>1822</v>
      </c>
      <c r="C19" s="505"/>
      <c r="D19" s="506">
        <f>D20+D24+D28</f>
        <v>0</v>
      </c>
      <c r="E19" s="506">
        <f t="shared" ref="E19:I19" si="5">E20+E24+E28</f>
        <v>0</v>
      </c>
      <c r="F19" s="506">
        <f t="shared" si="5"/>
        <v>2022.88</v>
      </c>
      <c r="G19" s="506">
        <f t="shared" si="5"/>
        <v>12070.584620000001</v>
      </c>
      <c r="H19" s="506">
        <f t="shared" si="5"/>
        <v>612.26</v>
      </c>
      <c r="I19" s="506">
        <f t="shared" si="5"/>
        <v>0</v>
      </c>
      <c r="J19" s="506">
        <f t="shared" si="2"/>
        <v>14705.724620000003</v>
      </c>
    </row>
    <row r="20" spans="1:10">
      <c r="A20" s="406" t="s">
        <v>25</v>
      </c>
      <c r="B20" s="723" t="s">
        <v>2011</v>
      </c>
      <c r="C20" s="595" t="s">
        <v>2010</v>
      </c>
      <c r="D20" s="501">
        <f>SUM(D21:D23)</f>
        <v>0</v>
      </c>
      <c r="E20" s="501">
        <f t="shared" ref="E20:I20" si="6">SUM(E21:E23)</f>
        <v>0</v>
      </c>
      <c r="F20" s="501">
        <f t="shared" si="6"/>
        <v>2022.88</v>
      </c>
      <c r="G20" s="501">
        <f t="shared" si="6"/>
        <v>12070.584620000001</v>
      </c>
      <c r="H20" s="501">
        <f t="shared" si="6"/>
        <v>612.26</v>
      </c>
      <c r="I20" s="501">
        <f t="shared" si="6"/>
        <v>0</v>
      </c>
      <c r="J20" s="502">
        <f t="shared" si="2"/>
        <v>14705.724620000003</v>
      </c>
    </row>
    <row r="21" spans="1:10">
      <c r="A21" s="406"/>
      <c r="B21" s="407"/>
      <c r="C21" s="408" t="s">
        <v>1714</v>
      </c>
      <c r="D21" s="410">
        <f>'Работы - НН-ОЦО'!N238+'Командировочные расходы'!G95</f>
        <v>0</v>
      </c>
      <c r="E21" s="410">
        <f>'Работы - НН-ОЦО'!AC238+'Командировочные расходы'!T95</f>
        <v>0</v>
      </c>
      <c r="F21" s="410">
        <f>'Работы - НН-ОЦО'!AR238+'Командировочные расходы'!AG95</f>
        <v>2022.88</v>
      </c>
      <c r="G21" s="411">
        <f>'Работы - НН-ОЦО'!BG238+'Командировочные расходы'!AT95</f>
        <v>9663.2000000000007</v>
      </c>
      <c r="H21" s="411">
        <f>'Работы - НН-ОЦО'!BV238+'Командировочные расходы'!BG95</f>
        <v>612.26</v>
      </c>
      <c r="I21" s="411">
        <f>'Работы - НН-ОЦО'!CK238+'Командировочные расходы'!BT95</f>
        <v>0</v>
      </c>
      <c r="J21" s="411">
        <f t="shared" si="2"/>
        <v>12298.340000000002</v>
      </c>
    </row>
    <row r="22" spans="1:10">
      <c r="A22" s="406"/>
      <c r="B22" s="407"/>
      <c r="C22" s="408" t="s">
        <v>1706</v>
      </c>
      <c r="D22" s="410">
        <f>'Стоимость подрядных работ'!$U$120-'Бюджет проекта по оплатам'!D23</f>
        <v>0</v>
      </c>
      <c r="E22" s="410">
        <f>'Стоимость подрядных работ'!$AJ$120-'Бюджет проекта по оплатам'!E23</f>
        <v>0</v>
      </c>
      <c r="F22" s="410">
        <f>'Стоимость подрядных работ'!$AY$120-'Бюджет проекта по оплатам'!F23</f>
        <v>0</v>
      </c>
      <c r="G22" s="411">
        <f>'Стоимость подрядных работ'!$BN$120-'Бюджет проекта по оплатам'!G23</f>
        <v>2407.3846200000003</v>
      </c>
      <c r="H22" s="411">
        <f>'Стоимость подрядных работ'!$CC$120-'Бюджет проекта по оплатам'!H23</f>
        <v>0</v>
      </c>
      <c r="I22" s="411">
        <f>'Стоимость подрядных работ'!$CR$120-'Бюджет проекта по оплатам'!I23</f>
        <v>0</v>
      </c>
      <c r="J22" s="411">
        <f t="shared" si="2"/>
        <v>2407.3846200000003</v>
      </c>
    </row>
    <row r="23" spans="1:10">
      <c r="A23" s="406"/>
      <c r="B23" s="407"/>
      <c r="C23" s="409" t="s">
        <v>1700</v>
      </c>
      <c r="D23" s="410">
        <f>SUMIFS('Стоимость подрядных работ'!$U$7:$U$115,'Стоимость подрядных работ'!$R$7:$R$115,"&gt;D4",'Стоимость подрядных работ'!$E$7:$E$115,"=О")/1000</f>
        <v>0</v>
      </c>
      <c r="E23" s="410">
        <f>SUMIFS('Стоимость подрядных работ'!$AJ$7:$AJ$115,'Стоимость подрядных работ'!$R$7:$R$115,"&gt;D4",'Стоимость подрядных работ'!$E$7:$E$115,"=О")/1000</f>
        <v>0</v>
      </c>
      <c r="F23" s="410">
        <f>SUMIFS('Стоимость подрядных работ'!$AY$7:$AY$115,'Стоимость подрядных работ'!$R$7:$R$115,"&gt;D4",'Стоимость подрядных работ'!$E$7:$E$115,"=О")/1000</f>
        <v>0</v>
      </c>
      <c r="G23" s="411">
        <f>SUMIFS('Стоимость подрядных работ'!$BN$7:$BN$115,'Стоимость подрядных работ'!$R$7:$R$115,"&gt;D4",'Стоимость подрядных работ'!$E$7:$E$115,"=О")/1000</f>
        <v>0</v>
      </c>
      <c r="H23" s="411">
        <f>SUMIFS('Стоимость подрядных работ'!$CC$7:$CC$115,'Стоимость подрядных работ'!$R$7:$R$115,"&gt;D4",'Стоимость подрядных работ'!$E$7:$E$115,"=О")/1000</f>
        <v>0</v>
      </c>
      <c r="I23" s="411">
        <f>SUMIFS('Стоимость подрядных работ'!$CR$7:$CR$115,'Стоимость подрядных работ'!$R$7:$R$115,"&gt;D4",'Стоимость подрядных работ'!$E$7:$E$115,"=О")/1000</f>
        <v>0</v>
      </c>
      <c r="J23" s="411">
        <f t="shared" si="2"/>
        <v>0</v>
      </c>
    </row>
    <row r="24" spans="1:10">
      <c r="A24" s="406" t="s">
        <v>18</v>
      </c>
      <c r="B24" s="723" t="s">
        <v>1986</v>
      </c>
      <c r="C24" s="595" t="s">
        <v>2012</v>
      </c>
      <c r="D24" s="501">
        <f>SUM(D25:D27)</f>
        <v>0</v>
      </c>
      <c r="E24" s="501">
        <f t="shared" ref="E24:I24" si="7">SUM(E25:E27)</f>
        <v>0</v>
      </c>
      <c r="F24" s="501">
        <f t="shared" si="7"/>
        <v>0</v>
      </c>
      <c r="G24" s="501">
        <f t="shared" si="7"/>
        <v>0</v>
      </c>
      <c r="H24" s="501">
        <f t="shared" si="7"/>
        <v>0</v>
      </c>
      <c r="I24" s="501">
        <f t="shared" si="7"/>
        <v>0</v>
      </c>
      <c r="J24" s="502">
        <f t="shared" si="2"/>
        <v>0</v>
      </c>
    </row>
    <row r="25" spans="1:10">
      <c r="A25" s="406"/>
      <c r="B25" s="407"/>
      <c r="C25" s="408" t="s">
        <v>1714</v>
      </c>
      <c r="D25" s="410">
        <f>SUMIFS(Оборудование_ПО!$K$5:$K$11,Оборудование_ПО!$C$5:$C$11,$C25,Оборудование_ПО!$B$5:$B$11,$B$24)/1000</f>
        <v>0</v>
      </c>
      <c r="E25" s="410">
        <f>SUMIFS(Оборудование_ПО!$X$5:$X$11,Оборудование_ПО!$C$5:$C$11,$C25,Оборудование_ПО!$B$5:$B$11,$B$24)/1000</f>
        <v>0</v>
      </c>
      <c r="F25" s="410">
        <f>SUMIFS(Оборудование_ПО!$AK$5:$AK$11,Оборудование_ПО!$C$5:$C$11,$C25,Оборудование_ПО!$B$5:$B$11,$B$24)/1000</f>
        <v>0</v>
      </c>
      <c r="G25" s="411">
        <f>SUMIFS(Оборудование_ПО!$AX$5:$AX$11,Оборудование_ПО!$C$5:$C$11,$C25,Оборудование_ПО!$B$5:$B$11,$B$24)/1000</f>
        <v>0</v>
      </c>
      <c r="H25" s="411">
        <f>SUMIFS(Оборудование_ПО!$BK$5:$BK$11,Оборудование_ПО!$C$5:$C$11,$C25,Оборудование_ПО!$B$5:$B$11,$B$24)/1000</f>
        <v>0</v>
      </c>
      <c r="I25" s="411">
        <f>SUMIFS(Оборудование_ПО!$BX$5:$BX$11,Оборудование_ПО!$C$5:$C$11,$C25,Оборудование_ПО!$B$5:$B$11,$B$24)/1000</f>
        <v>0</v>
      </c>
      <c r="J25" s="411">
        <f t="shared" si="2"/>
        <v>0</v>
      </c>
    </row>
    <row r="26" spans="1:10">
      <c r="A26" s="406"/>
      <c r="B26" s="407"/>
      <c r="C26" s="408" t="s">
        <v>1706</v>
      </c>
      <c r="D26" s="410">
        <f>SUMIFS(Оборудование_ПО!$K$5:$K$11,Оборудование_ПО!$C$5:$C$11,$C26,Оборудование_ПО!$B$5:$B$11,$B$24)/1000</f>
        <v>0</v>
      </c>
      <c r="E26" s="410">
        <f>SUMIFS(Оборудование_ПО!$X$5:$X$11,Оборудование_ПО!$C$5:$C$11,$C26,Оборудование_ПО!$B$5:$B$11,$B$24)/1000</f>
        <v>0</v>
      </c>
      <c r="F26" s="410">
        <f>SUMIFS(Оборудование_ПО!$AK$5:$AK$11,Оборудование_ПО!$C$5:$C$11,$C26,Оборудование_ПО!$B$5:$B$11,$B$24)/1000</f>
        <v>0</v>
      </c>
      <c r="G26" s="411">
        <f>SUMIFS(Оборудование_ПО!$AX$5:$AX$11,Оборудование_ПО!$C$5:$C$11,$C26,Оборудование_ПО!$B$5:$B$11,$B$24)/1000</f>
        <v>0</v>
      </c>
      <c r="H26" s="411">
        <f>SUMIFS(Оборудование_ПО!$BK$5:$BK$11,Оборудование_ПО!$C$5:$C$11,$C26,Оборудование_ПО!$B$5:$B$11,$B$24)/1000</f>
        <v>0</v>
      </c>
      <c r="I26" s="411">
        <f>SUMIFS(Оборудование_ПО!$BX$5:$BX$11,Оборудование_ПО!$C$5:$C$11,$C26,Оборудование_ПО!$B$5:$B$11,$B$24)/1000</f>
        <v>0</v>
      </c>
      <c r="J26" s="411">
        <f t="shared" si="2"/>
        <v>0</v>
      </c>
    </row>
    <row r="27" spans="1:10">
      <c r="A27" s="406"/>
      <c r="B27" s="407"/>
      <c r="C27" s="409" t="s">
        <v>1700</v>
      </c>
      <c r="D27" s="410">
        <f>SUMIFS(Оборудование_ПО!$K$5:$K$11,Оборудование_ПО!$C$5:$C$11,$C27,Оборудование_ПО!$B$5:$B$11,$B$24)/1000</f>
        <v>0</v>
      </c>
      <c r="E27" s="410">
        <f>SUMIFS(Оборудование_ПО!$X$5:$X$11,Оборудование_ПО!$C$5:$C$11,$C27,Оборудование_ПО!$B$5:$B$11,$B$24)/1000</f>
        <v>0</v>
      </c>
      <c r="F27" s="410">
        <f>SUMIFS(Оборудование_ПО!$AK$5:$AK$11,Оборудование_ПО!$C$5:$C$11,$C27,Оборудование_ПО!$B$5:$B$11,$B$24)/1000</f>
        <v>0</v>
      </c>
      <c r="G27" s="411">
        <f>SUMIFS(Оборудование_ПО!$AX$5:$AX$11,Оборудование_ПО!$C$5:$C$11,$C27,Оборудование_ПО!$B$5:$B$11,$B$24)/1000</f>
        <v>0</v>
      </c>
      <c r="H27" s="411">
        <f>SUMIFS(Оборудование_ПО!$BK$5:$BK$11,Оборудование_ПО!$C$5:$C$11,$C27,Оборудование_ПО!$B$5:$B$11,$B$24)/1000</f>
        <v>0</v>
      </c>
      <c r="I27" s="411">
        <f>SUMIFS(Оборудование_ПО!$BX$5:$BX$11,Оборудование_ПО!$C$5:$C$11,$C27,Оборудование_ПО!$B$5:$B$11,$B$24)/1000</f>
        <v>0</v>
      </c>
      <c r="J27" s="411">
        <f t="shared" si="2"/>
        <v>0</v>
      </c>
    </row>
    <row r="28" spans="1:10">
      <c r="A28" s="406" t="s">
        <v>26</v>
      </c>
      <c r="B28" s="671" t="s">
        <v>1985</v>
      </c>
      <c r="C28" s="594"/>
      <c r="D28" s="501">
        <f>Оборудование_ПО!K$16/1000-'Бюджет проекта по оплатам'!D$24</f>
        <v>0</v>
      </c>
      <c r="E28" s="501">
        <f>Оборудование_ПО!X$16/1000-'Бюджет проекта по оплатам'!E$24</f>
        <v>0</v>
      </c>
      <c r="F28" s="501">
        <f>Оборудование_ПО!AK$16/1000-'Бюджет проекта по оплатам'!F$24</f>
        <v>0</v>
      </c>
      <c r="G28" s="501">
        <f>Оборудование_ПО!AX$16/1000-'Бюджет проекта по оплатам'!G$24</f>
        <v>0</v>
      </c>
      <c r="H28" s="501">
        <f>Оборудование_ПО!BK$16/1000-'Бюджет проекта по оплатам'!H$24</f>
        <v>0</v>
      </c>
      <c r="I28" s="501">
        <f>Оборудование_ПО!BX$16/1000-'Бюджет проекта по оплатам'!I$24</f>
        <v>0</v>
      </c>
      <c r="J28" s="502">
        <f t="shared" si="2"/>
        <v>0</v>
      </c>
    </row>
    <row r="29" spans="1:10">
      <c r="A29" s="412"/>
      <c r="B29" s="413" t="s">
        <v>2</v>
      </c>
      <c r="C29" s="413"/>
      <c r="D29" s="414">
        <f>D7+D19</f>
        <v>0</v>
      </c>
      <c r="E29" s="414">
        <f t="shared" ref="E29:I29" si="8">E7+E19</f>
        <v>0</v>
      </c>
      <c r="F29" s="414">
        <f t="shared" si="8"/>
        <v>27520.880000000001</v>
      </c>
      <c r="G29" s="414">
        <f t="shared" si="8"/>
        <v>20068.73848</v>
      </c>
      <c r="H29" s="414">
        <f t="shared" si="8"/>
        <v>612.26</v>
      </c>
      <c r="I29" s="414">
        <f t="shared" si="8"/>
        <v>0</v>
      </c>
      <c r="J29" s="414">
        <f>SUM(D29:I29)</f>
        <v>48201.878480000007</v>
      </c>
    </row>
    <row r="30" spans="1:10" ht="25.5">
      <c r="A30" s="412"/>
      <c r="B30" s="413" t="s">
        <v>1710</v>
      </c>
      <c r="C30" s="413"/>
      <c r="D30" s="414">
        <f>D9+D21+D25</f>
        <v>0</v>
      </c>
      <c r="E30" s="414">
        <f t="shared" ref="E30:I30" si="9">E9+E21+E25</f>
        <v>0</v>
      </c>
      <c r="F30" s="414">
        <f t="shared" si="9"/>
        <v>2022.88</v>
      </c>
      <c r="G30" s="414">
        <f t="shared" si="9"/>
        <v>9663.2000000000007</v>
      </c>
      <c r="H30" s="414">
        <f t="shared" si="9"/>
        <v>612.26</v>
      </c>
      <c r="I30" s="414">
        <f t="shared" si="9"/>
        <v>0</v>
      </c>
      <c r="J30" s="414">
        <f>SUM(D30:I30)</f>
        <v>12298.340000000002</v>
      </c>
    </row>
  </sheetData>
  <mergeCells count="3">
    <mergeCell ref="A5:A6"/>
    <mergeCell ref="B5:C6"/>
    <mergeCell ref="D5:J5"/>
  </mergeCells>
  <pageMargins left="0.7" right="0.7" top="0.75" bottom="0.75" header="0.3" footer="0.3"/>
  <pageSetup paperSize="8" scale="97"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2">
    <tabColor rgb="FFFF0000"/>
    <pageSetUpPr fitToPage="1"/>
  </sheetPr>
  <dimension ref="A1:DV246"/>
  <sheetViews>
    <sheetView zoomScale="70" zoomScaleNormal="70" workbookViewId="0">
      <pane xSplit="3" ySplit="8" topLeftCell="W210" activePane="bottomRight" state="frozen"/>
      <selection pane="topRight" activeCell="D1" sqref="D1"/>
      <selection pane="bottomLeft" activeCell="A9" sqref="A9"/>
      <selection pane="bottomRight" activeCell="AS1" sqref="A1:AS1048576"/>
    </sheetView>
  </sheetViews>
  <sheetFormatPr defaultColWidth="9.140625" defaultRowHeight="15.75"/>
  <cols>
    <col min="1" max="1" width="9.5703125" style="263" customWidth="1"/>
    <col min="2" max="2" width="33.28515625" style="116" customWidth="1"/>
    <col min="3" max="3" width="100.5703125" style="16" customWidth="1"/>
    <col min="4" max="4" width="27.28515625" style="16" customWidth="1"/>
    <col min="5" max="5" width="12.85546875" style="16" customWidth="1"/>
    <col min="6" max="6" width="34.28515625" style="48" customWidth="1"/>
    <col min="7" max="7" width="13.5703125" style="17" customWidth="1"/>
    <col min="8" max="8" width="13.28515625" style="18" customWidth="1"/>
    <col min="9" max="9" width="31.5703125" style="17" customWidth="1"/>
    <col min="10" max="10" width="15.140625" style="17" customWidth="1"/>
    <col min="11" max="11" width="21.7109375" style="46" customWidth="1"/>
    <col min="12" max="12" width="5" style="16" customWidth="1"/>
    <col min="13" max="13" width="8.42578125" style="16" customWidth="1"/>
    <col min="14" max="14" width="17.5703125" style="270" customWidth="1"/>
    <col min="15" max="15" width="5" style="288" customWidth="1"/>
    <col min="16" max="16" width="5" style="20" customWidth="1"/>
    <col min="17" max="17" width="5.7109375" style="16" customWidth="1"/>
    <col min="18" max="18" width="5" style="16" customWidth="1"/>
    <col min="19" max="19" width="5.85546875" style="16" customWidth="1"/>
    <col min="20" max="23" width="5" style="16" customWidth="1"/>
    <col min="24" max="24" width="5.85546875" style="16" customWidth="1"/>
    <col min="25" max="27" width="5" style="16" customWidth="1"/>
    <col min="28" max="28" width="5.7109375" style="16" customWidth="1"/>
    <col min="29" max="29" width="15.7109375" style="270" customWidth="1"/>
    <col min="30" max="42" width="5.42578125" style="16" customWidth="1"/>
    <col min="43" max="43" width="7.5703125" style="16" customWidth="1"/>
    <col min="44" max="44" width="18.7109375" style="270" customWidth="1"/>
    <col min="45" max="57" width="5.42578125" style="16" customWidth="1"/>
    <col min="58" max="58" width="10.28515625" style="16" customWidth="1"/>
    <col min="59" max="59" width="21.140625" style="270" customWidth="1"/>
    <col min="60" max="72" width="5.42578125" style="270" customWidth="1"/>
    <col min="73" max="73" width="9.28515625" style="270" customWidth="1"/>
    <col min="74" max="74" width="16.85546875" style="270" customWidth="1"/>
    <col min="75" max="87" width="5.42578125" style="270" customWidth="1"/>
    <col min="88" max="88" width="9.28515625" style="270" customWidth="1"/>
    <col min="89" max="89" width="16.140625" style="270" customWidth="1"/>
    <col min="90" max="90" width="5.7109375" style="288" customWidth="1"/>
    <col min="91" max="91" width="7.7109375" style="288" customWidth="1"/>
    <col min="92" max="92" width="18.7109375" style="270" customWidth="1"/>
    <col min="93" max="93" width="14.28515625" style="16" customWidth="1"/>
    <col min="94" max="94" width="19.7109375" style="16" customWidth="1"/>
    <col min="95" max="95" width="9.5703125" style="478" customWidth="1"/>
    <col min="96" max="16384" width="9.140625" style="16"/>
  </cols>
  <sheetData>
    <row r="1" spans="1:95" ht="10.5" customHeight="1">
      <c r="BH1" s="16"/>
      <c r="BI1" s="16"/>
      <c r="BJ1" s="16"/>
      <c r="BK1" s="16"/>
      <c r="BL1" s="16"/>
      <c r="BM1" s="16"/>
      <c r="BN1" s="16"/>
      <c r="BO1" s="16"/>
      <c r="BP1" s="16"/>
      <c r="BQ1" s="16"/>
      <c r="BR1" s="16"/>
      <c r="BS1" s="16"/>
      <c r="BT1" s="16"/>
      <c r="BU1" s="16"/>
      <c r="BW1" s="16"/>
      <c r="BX1" s="16"/>
      <c r="BY1" s="16"/>
      <c r="BZ1" s="16"/>
      <c r="CA1" s="16"/>
      <c r="CB1" s="16"/>
      <c r="CC1" s="16"/>
      <c r="CD1" s="16"/>
      <c r="CE1" s="16"/>
      <c r="CF1" s="16"/>
      <c r="CG1" s="16"/>
      <c r="CH1" s="16"/>
      <c r="CI1" s="16"/>
      <c r="CJ1" s="16"/>
    </row>
    <row r="2" spans="1:95">
      <c r="C2" s="15"/>
      <c r="O2" s="322" t="s">
        <v>64</v>
      </c>
      <c r="AD2" s="19" t="s">
        <v>64</v>
      </c>
      <c r="AE2" s="20"/>
      <c r="AS2" s="19" t="s">
        <v>64</v>
      </c>
      <c r="AT2" s="20"/>
      <c r="BH2" s="19" t="s">
        <v>64</v>
      </c>
      <c r="BI2" s="20"/>
      <c r="BJ2" s="16"/>
      <c r="BK2" s="16"/>
      <c r="BL2" s="16"/>
      <c r="BM2" s="16"/>
      <c r="BN2" s="16"/>
      <c r="BO2" s="16"/>
      <c r="BP2" s="16"/>
      <c r="BQ2" s="16"/>
      <c r="BR2" s="16"/>
      <c r="BS2" s="16"/>
      <c r="BT2" s="16"/>
      <c r="BU2" s="16"/>
      <c r="BW2" s="19" t="s">
        <v>64</v>
      </c>
      <c r="BX2" s="20"/>
      <c r="BY2" s="16"/>
      <c r="BZ2" s="16"/>
      <c r="CA2" s="16"/>
      <c r="CB2" s="16"/>
      <c r="CC2" s="16"/>
      <c r="CD2" s="16"/>
      <c r="CE2" s="16"/>
      <c r="CF2" s="16"/>
      <c r="CG2" s="16"/>
      <c r="CH2" s="16"/>
      <c r="CI2" s="16"/>
      <c r="CJ2" s="16"/>
    </row>
    <row r="3" spans="1:95">
      <c r="B3" s="111"/>
      <c r="C3" s="15"/>
      <c r="AD3" s="19"/>
      <c r="AE3" s="20"/>
      <c r="AS3" s="19"/>
      <c r="AT3" s="20"/>
      <c r="BH3" s="19"/>
      <c r="BI3" s="20"/>
      <c r="BJ3" s="16"/>
      <c r="BK3" s="16"/>
      <c r="BL3" s="16"/>
      <c r="BM3" s="16"/>
      <c r="BN3" s="16"/>
      <c r="BO3" s="16"/>
      <c r="BP3" s="16"/>
      <c r="BQ3" s="16"/>
      <c r="BR3" s="16"/>
      <c r="BS3" s="16"/>
      <c r="BT3" s="16"/>
      <c r="BU3" s="16"/>
      <c r="BW3" s="19"/>
      <c r="BX3" s="20"/>
      <c r="BY3" s="16"/>
      <c r="BZ3" s="16"/>
      <c r="CA3" s="16"/>
      <c r="CB3" s="16"/>
      <c r="CC3" s="16"/>
      <c r="CD3" s="16"/>
      <c r="CE3" s="16"/>
      <c r="CF3" s="16"/>
      <c r="CG3" s="16"/>
      <c r="CH3" s="16"/>
      <c r="CI3" s="16"/>
      <c r="CJ3" s="16"/>
    </row>
    <row r="4" spans="1:95" s="22" customFormat="1">
      <c r="A4" s="264"/>
      <c r="B4" s="112"/>
      <c r="C4" s="246"/>
      <c r="D4" s="23"/>
      <c r="E4" s="23"/>
      <c r="F4" s="119"/>
      <c r="I4" s="323"/>
      <c r="J4" s="323"/>
      <c r="K4" s="21"/>
      <c r="L4" s="26"/>
      <c r="M4" s="26"/>
      <c r="N4" s="271"/>
      <c r="O4" s="321">
        <v>17</v>
      </c>
      <c r="P4" s="24">
        <v>18</v>
      </c>
      <c r="Q4" s="24">
        <v>22</v>
      </c>
      <c r="R4" s="25">
        <v>20</v>
      </c>
      <c r="S4" s="25">
        <v>20</v>
      </c>
      <c r="T4" s="25">
        <v>21</v>
      </c>
      <c r="U4" s="25">
        <v>21</v>
      </c>
      <c r="V4" s="25">
        <v>23</v>
      </c>
      <c r="W4" s="25">
        <v>21</v>
      </c>
      <c r="X4" s="25">
        <v>22</v>
      </c>
      <c r="Y4" s="25">
        <v>21</v>
      </c>
      <c r="Z4" s="25">
        <v>21</v>
      </c>
      <c r="AA4" s="26"/>
      <c r="AB4" s="26"/>
      <c r="AC4" s="271"/>
      <c r="AD4" s="24">
        <v>17</v>
      </c>
      <c r="AE4" s="24">
        <v>19</v>
      </c>
      <c r="AF4" s="24">
        <v>20</v>
      </c>
      <c r="AG4" s="25">
        <v>21</v>
      </c>
      <c r="AH4" s="25">
        <v>20</v>
      </c>
      <c r="AI4" s="25">
        <v>20</v>
      </c>
      <c r="AJ4" s="25">
        <v>22</v>
      </c>
      <c r="AK4" s="25">
        <v>23</v>
      </c>
      <c r="AL4" s="25">
        <v>20</v>
      </c>
      <c r="AM4" s="25">
        <v>23</v>
      </c>
      <c r="AN4" s="25">
        <v>21</v>
      </c>
      <c r="AO4" s="25">
        <v>21</v>
      </c>
      <c r="AP4" s="27"/>
      <c r="AQ4" s="27"/>
      <c r="AR4" s="276"/>
      <c r="AS4" s="24">
        <v>17</v>
      </c>
      <c r="AT4" s="24">
        <v>19</v>
      </c>
      <c r="AU4" s="24">
        <v>20</v>
      </c>
      <c r="AV4" s="25">
        <v>22</v>
      </c>
      <c r="AW4" s="25">
        <v>21</v>
      </c>
      <c r="AX4" s="25">
        <v>19</v>
      </c>
      <c r="AY4" s="25">
        <v>23</v>
      </c>
      <c r="AZ4" s="25">
        <v>22</v>
      </c>
      <c r="BA4" s="25">
        <v>21</v>
      </c>
      <c r="BB4" s="25">
        <v>23</v>
      </c>
      <c r="BC4" s="25">
        <v>20</v>
      </c>
      <c r="BD4" s="25">
        <v>22</v>
      </c>
      <c r="BE4" s="27"/>
      <c r="BF4" s="27"/>
      <c r="BG4" s="276"/>
      <c r="BH4" s="24">
        <v>17</v>
      </c>
      <c r="BI4" s="24">
        <v>19</v>
      </c>
      <c r="BJ4" s="24">
        <v>21</v>
      </c>
      <c r="BK4" s="25">
        <v>22</v>
      </c>
      <c r="BL4" s="25">
        <v>19</v>
      </c>
      <c r="BM4" s="25">
        <v>21</v>
      </c>
      <c r="BN4" s="25">
        <v>23</v>
      </c>
      <c r="BO4" s="25">
        <v>21</v>
      </c>
      <c r="BP4" s="25">
        <v>22</v>
      </c>
      <c r="BQ4" s="25">
        <v>22</v>
      </c>
      <c r="BR4" s="25">
        <v>20</v>
      </c>
      <c r="BS4" s="25">
        <v>23</v>
      </c>
      <c r="BT4" s="27"/>
      <c r="BU4" s="27"/>
      <c r="BV4" s="276"/>
      <c r="BW4" s="24">
        <v>14</v>
      </c>
      <c r="BX4" s="24">
        <v>19</v>
      </c>
      <c r="BY4" s="24">
        <v>22</v>
      </c>
      <c r="BZ4" s="25">
        <v>22</v>
      </c>
      <c r="CA4" s="25">
        <v>19</v>
      </c>
      <c r="CB4" s="25">
        <v>21</v>
      </c>
      <c r="CC4" s="25">
        <v>22</v>
      </c>
      <c r="CD4" s="25">
        <v>22</v>
      </c>
      <c r="CE4" s="25">
        <v>22</v>
      </c>
      <c r="CF4" s="25">
        <v>21</v>
      </c>
      <c r="CG4" s="25">
        <v>21</v>
      </c>
      <c r="CH4" s="25">
        <v>23</v>
      </c>
      <c r="CI4" s="27"/>
      <c r="CJ4" s="27"/>
      <c r="CK4" s="276"/>
      <c r="CL4" s="289"/>
      <c r="CM4" s="289"/>
      <c r="CN4" s="280"/>
      <c r="CQ4" s="479"/>
    </row>
    <row r="5" spans="1:95" s="716" customFormat="1" ht="16.5" thickBot="1">
      <c r="A5" s="712"/>
      <c r="B5" s="713"/>
      <c r="C5" s="713"/>
      <c r="D5" s="714"/>
      <c r="E5" s="714"/>
      <c r="F5" s="715"/>
      <c r="I5" s="717"/>
      <c r="J5" s="288"/>
      <c r="K5" s="718"/>
      <c r="L5" s="718"/>
      <c r="M5" s="288"/>
      <c r="N5" s="288"/>
      <c r="O5" s="719"/>
      <c r="P5" s="718"/>
      <c r="Q5" s="718"/>
      <c r="R5" s="718"/>
      <c r="S5" s="718"/>
      <c r="T5" s="718"/>
      <c r="U5" s="718"/>
      <c r="V5" s="718"/>
      <c r="W5" s="718"/>
      <c r="X5" s="718"/>
      <c r="Y5" s="718"/>
      <c r="Z5" s="718"/>
      <c r="AA5" s="718"/>
      <c r="AC5" s="288">
        <v>2017</v>
      </c>
      <c r="AD5" s="719"/>
      <c r="AE5" s="718"/>
      <c r="AF5" s="718"/>
      <c r="AG5" s="718"/>
      <c r="AH5" s="718"/>
      <c r="AI5" s="718"/>
      <c r="AJ5" s="718"/>
      <c r="AK5" s="718"/>
      <c r="AL5" s="718"/>
      <c r="AM5" s="718"/>
      <c r="AN5" s="718"/>
      <c r="AO5" s="718"/>
      <c r="AP5" s="718"/>
      <c r="AQ5" s="718"/>
      <c r="AR5" s="288">
        <v>2018</v>
      </c>
      <c r="AS5" s="720"/>
      <c r="AT5" s="719"/>
      <c r="AU5" s="718"/>
      <c r="AV5" s="718"/>
      <c r="AW5" s="718"/>
      <c r="AX5" s="718"/>
      <c r="AY5" s="718"/>
      <c r="AZ5" s="718"/>
      <c r="BA5" s="718"/>
      <c r="BB5" s="718"/>
      <c r="BC5" s="718"/>
      <c r="BD5" s="718"/>
      <c r="BE5" s="718"/>
      <c r="BF5" s="718"/>
      <c r="BG5" s="288">
        <v>2019</v>
      </c>
      <c r="BH5" s="720"/>
      <c r="BI5" s="719"/>
      <c r="BJ5" s="718"/>
      <c r="BK5" s="718"/>
      <c r="BL5" s="718"/>
      <c r="BM5" s="718"/>
      <c r="BN5" s="718"/>
      <c r="BO5" s="718"/>
      <c r="BP5" s="718"/>
      <c r="BQ5" s="718"/>
      <c r="BR5" s="718"/>
      <c r="BS5" s="718"/>
      <c r="BT5" s="718"/>
      <c r="BU5" s="718"/>
      <c r="BV5" s="288">
        <v>2020</v>
      </c>
      <c r="BW5" s="720"/>
      <c r="BX5" s="719"/>
      <c r="BY5" s="718"/>
      <c r="BZ5" s="718"/>
      <c r="CA5" s="718"/>
      <c r="CB5" s="718"/>
      <c r="CC5" s="718"/>
      <c r="CD5" s="718"/>
      <c r="CE5" s="718"/>
      <c r="CF5" s="718"/>
      <c r="CG5" s="718"/>
      <c r="CH5" s="718"/>
      <c r="CI5" s="718"/>
      <c r="CJ5" s="718"/>
      <c r="CK5" s="288">
        <v>2021</v>
      </c>
      <c r="CL5" s="288"/>
      <c r="CM5" s="288"/>
      <c r="CN5" s="288"/>
      <c r="CP5" s="721"/>
    </row>
    <row r="6" spans="1:95" s="33" customFormat="1" ht="21.75" customHeight="1" thickBot="1">
      <c r="A6" s="262" t="s">
        <v>105</v>
      </c>
      <c r="B6" s="262"/>
      <c r="C6" s="262"/>
      <c r="D6" s="282"/>
      <c r="E6" s="282"/>
      <c r="F6" s="283"/>
      <c r="G6" s="283"/>
      <c r="H6" s="284"/>
      <c r="I6" s="283"/>
      <c r="J6" s="283"/>
      <c r="K6" s="285"/>
      <c r="L6" s="1065" t="s">
        <v>1748</v>
      </c>
      <c r="M6" s="1066"/>
      <c r="N6" s="1067"/>
      <c r="O6" s="1060">
        <v>2017</v>
      </c>
      <c r="P6" s="1060"/>
      <c r="Q6" s="1060"/>
      <c r="R6" s="1060"/>
      <c r="S6" s="1060"/>
      <c r="T6" s="1060"/>
      <c r="U6" s="1060"/>
      <c r="V6" s="1060"/>
      <c r="W6" s="1060"/>
      <c r="X6" s="1060"/>
      <c r="Y6" s="1060"/>
      <c r="Z6" s="1060"/>
      <c r="AA6" s="1060"/>
      <c r="AB6" s="1060"/>
      <c r="AC6" s="1061"/>
      <c r="AD6" s="1062">
        <v>2018</v>
      </c>
      <c r="AE6" s="1060"/>
      <c r="AF6" s="1060"/>
      <c r="AG6" s="1060"/>
      <c r="AH6" s="1060"/>
      <c r="AI6" s="1060"/>
      <c r="AJ6" s="1060"/>
      <c r="AK6" s="1060"/>
      <c r="AL6" s="1060"/>
      <c r="AM6" s="1060"/>
      <c r="AN6" s="1060"/>
      <c r="AO6" s="1060"/>
      <c r="AP6" s="1060"/>
      <c r="AQ6" s="1060"/>
      <c r="AR6" s="1061"/>
      <c r="AS6" s="1062">
        <v>2019</v>
      </c>
      <c r="AT6" s="1060"/>
      <c r="AU6" s="1060"/>
      <c r="AV6" s="1060"/>
      <c r="AW6" s="1060"/>
      <c r="AX6" s="1060"/>
      <c r="AY6" s="1060"/>
      <c r="AZ6" s="1060"/>
      <c r="BA6" s="1060"/>
      <c r="BB6" s="1060"/>
      <c r="BC6" s="1060"/>
      <c r="BD6" s="1060"/>
      <c r="BE6" s="1060"/>
      <c r="BF6" s="1060"/>
      <c r="BG6" s="1061"/>
      <c r="BH6" s="1062">
        <v>2020</v>
      </c>
      <c r="BI6" s="1060"/>
      <c r="BJ6" s="1060"/>
      <c r="BK6" s="1060"/>
      <c r="BL6" s="1060"/>
      <c r="BM6" s="1060"/>
      <c r="BN6" s="1060"/>
      <c r="BO6" s="1060"/>
      <c r="BP6" s="1060"/>
      <c r="BQ6" s="1060"/>
      <c r="BR6" s="1060"/>
      <c r="BS6" s="1060"/>
      <c r="BT6" s="1060"/>
      <c r="BU6" s="1060"/>
      <c r="BV6" s="1061"/>
      <c r="BW6" s="1062">
        <v>2021</v>
      </c>
      <c r="BX6" s="1060"/>
      <c r="BY6" s="1060"/>
      <c r="BZ6" s="1060"/>
      <c r="CA6" s="1060"/>
      <c r="CB6" s="1060"/>
      <c r="CC6" s="1060"/>
      <c r="CD6" s="1060"/>
      <c r="CE6" s="1060"/>
      <c r="CF6" s="1060"/>
      <c r="CG6" s="1060"/>
      <c r="CH6" s="1060"/>
      <c r="CI6" s="1060"/>
      <c r="CJ6" s="1060"/>
      <c r="CK6" s="1061"/>
      <c r="CL6" s="1057" t="s">
        <v>34</v>
      </c>
      <c r="CM6" s="1058"/>
      <c r="CN6" s="1059"/>
      <c r="CQ6" s="480"/>
    </row>
    <row r="7" spans="1:95" ht="66.75" customHeight="1">
      <c r="A7" s="151" t="s">
        <v>1532</v>
      </c>
      <c r="B7" s="152" t="s">
        <v>1533</v>
      </c>
      <c r="C7" s="153" t="s">
        <v>1744</v>
      </c>
      <c r="D7" s="153" t="s">
        <v>1740</v>
      </c>
      <c r="E7" s="153" t="s">
        <v>74</v>
      </c>
      <c r="F7" s="153" t="s">
        <v>75</v>
      </c>
      <c r="G7" s="153" t="s">
        <v>3</v>
      </c>
      <c r="H7" s="153" t="s">
        <v>76</v>
      </c>
      <c r="I7" s="153" t="s">
        <v>13</v>
      </c>
      <c r="J7" s="686" t="s">
        <v>1989</v>
      </c>
      <c r="K7" s="154" t="s">
        <v>1741</v>
      </c>
      <c r="L7" s="156" t="s">
        <v>54</v>
      </c>
      <c r="M7" s="706">
        <v>42735</v>
      </c>
      <c r="N7" s="158" t="s">
        <v>1749</v>
      </c>
      <c r="O7" s="155">
        <v>42736</v>
      </c>
      <c r="P7" s="155">
        <v>42767</v>
      </c>
      <c r="Q7" s="155">
        <v>42795</v>
      </c>
      <c r="R7" s="155">
        <v>42826</v>
      </c>
      <c r="S7" s="155">
        <v>42856</v>
      </c>
      <c r="T7" s="155">
        <v>42887</v>
      </c>
      <c r="U7" s="155">
        <v>42917</v>
      </c>
      <c r="V7" s="155">
        <v>42948</v>
      </c>
      <c r="W7" s="155">
        <v>42979</v>
      </c>
      <c r="X7" s="155">
        <v>43009</v>
      </c>
      <c r="Y7" s="155">
        <v>43040</v>
      </c>
      <c r="Z7" s="155">
        <v>43070</v>
      </c>
      <c r="AA7" s="156" t="s">
        <v>54</v>
      </c>
      <c r="AB7" s="157" t="s">
        <v>53</v>
      </c>
      <c r="AC7" s="158" t="s">
        <v>1526</v>
      </c>
      <c r="AD7" s="155">
        <v>43101</v>
      </c>
      <c r="AE7" s="155">
        <v>43132</v>
      </c>
      <c r="AF7" s="155">
        <v>43160</v>
      </c>
      <c r="AG7" s="155">
        <v>43191</v>
      </c>
      <c r="AH7" s="155">
        <v>43221</v>
      </c>
      <c r="AI7" s="155">
        <v>43252</v>
      </c>
      <c r="AJ7" s="155">
        <v>43282</v>
      </c>
      <c r="AK7" s="155">
        <v>43313</v>
      </c>
      <c r="AL7" s="155">
        <v>43344</v>
      </c>
      <c r="AM7" s="155">
        <v>43374</v>
      </c>
      <c r="AN7" s="155">
        <v>43405</v>
      </c>
      <c r="AO7" s="155">
        <v>43435</v>
      </c>
      <c r="AP7" s="156" t="s">
        <v>55</v>
      </c>
      <c r="AQ7" s="157" t="s">
        <v>53</v>
      </c>
      <c r="AR7" s="159" t="s">
        <v>1527</v>
      </c>
      <c r="AS7" s="155">
        <v>43466</v>
      </c>
      <c r="AT7" s="155">
        <v>43497</v>
      </c>
      <c r="AU7" s="155">
        <v>43525</v>
      </c>
      <c r="AV7" s="155">
        <v>43556</v>
      </c>
      <c r="AW7" s="155">
        <v>43586</v>
      </c>
      <c r="AX7" s="155">
        <v>43617</v>
      </c>
      <c r="AY7" s="155">
        <v>43647</v>
      </c>
      <c r="AZ7" s="155">
        <v>43678</v>
      </c>
      <c r="BA7" s="155">
        <v>43709</v>
      </c>
      <c r="BB7" s="155">
        <v>43739</v>
      </c>
      <c r="BC7" s="155">
        <v>43770</v>
      </c>
      <c r="BD7" s="155">
        <v>43800</v>
      </c>
      <c r="BE7" s="156" t="s">
        <v>55</v>
      </c>
      <c r="BF7" s="157" t="s">
        <v>53</v>
      </c>
      <c r="BG7" s="159" t="s">
        <v>1750</v>
      </c>
      <c r="BH7" s="155">
        <v>43831</v>
      </c>
      <c r="BI7" s="155">
        <v>43862</v>
      </c>
      <c r="BJ7" s="155">
        <v>43891</v>
      </c>
      <c r="BK7" s="155">
        <v>43922</v>
      </c>
      <c r="BL7" s="155">
        <v>43952</v>
      </c>
      <c r="BM7" s="155">
        <v>43983</v>
      </c>
      <c r="BN7" s="155">
        <v>44013</v>
      </c>
      <c r="BO7" s="155">
        <v>44044</v>
      </c>
      <c r="BP7" s="155">
        <v>44075</v>
      </c>
      <c r="BQ7" s="155">
        <v>44105</v>
      </c>
      <c r="BR7" s="155">
        <v>44136</v>
      </c>
      <c r="BS7" s="155">
        <v>44166</v>
      </c>
      <c r="BT7" s="156" t="s">
        <v>55</v>
      </c>
      <c r="BU7" s="157" t="s">
        <v>53</v>
      </c>
      <c r="BV7" s="159" t="s">
        <v>1754</v>
      </c>
      <c r="BW7" s="155">
        <v>44197</v>
      </c>
      <c r="BX7" s="155">
        <v>44228</v>
      </c>
      <c r="BY7" s="155">
        <v>44256</v>
      </c>
      <c r="BZ7" s="155">
        <v>44287</v>
      </c>
      <c r="CA7" s="155">
        <v>44317</v>
      </c>
      <c r="CB7" s="155">
        <v>44348</v>
      </c>
      <c r="CC7" s="155">
        <v>44378</v>
      </c>
      <c r="CD7" s="155">
        <v>44409</v>
      </c>
      <c r="CE7" s="155">
        <v>44440</v>
      </c>
      <c r="CF7" s="155">
        <v>44470</v>
      </c>
      <c r="CG7" s="155">
        <v>44501</v>
      </c>
      <c r="CH7" s="155">
        <v>44531</v>
      </c>
      <c r="CI7" s="156" t="s">
        <v>55</v>
      </c>
      <c r="CJ7" s="157" t="s">
        <v>53</v>
      </c>
      <c r="CK7" s="159" t="s">
        <v>1755</v>
      </c>
      <c r="CL7" s="286" t="s">
        <v>54</v>
      </c>
      <c r="CM7" s="287" t="s">
        <v>53</v>
      </c>
      <c r="CN7" s="162" t="s">
        <v>1528</v>
      </c>
    </row>
    <row r="8" spans="1:95" ht="17.25" customHeight="1">
      <c r="A8" s="265" t="s">
        <v>0</v>
      </c>
      <c r="B8" s="1063" t="s">
        <v>1916</v>
      </c>
      <c r="C8" s="1064"/>
      <c r="D8" s="133"/>
      <c r="E8" s="136"/>
      <c r="F8" s="136"/>
      <c r="G8" s="137"/>
      <c r="H8" s="136"/>
      <c r="I8" s="137"/>
      <c r="J8" s="137"/>
      <c r="K8" s="373"/>
      <c r="L8" s="132"/>
      <c r="M8" s="132"/>
      <c r="N8" s="272"/>
      <c r="O8" s="139"/>
      <c r="P8" s="136"/>
      <c r="Q8" s="136"/>
      <c r="R8" s="136"/>
      <c r="S8" s="136"/>
      <c r="T8" s="136"/>
      <c r="U8" s="136"/>
      <c r="V8" s="136"/>
      <c r="W8" s="136"/>
      <c r="X8" s="136"/>
      <c r="Y8" s="136"/>
      <c r="Z8" s="150"/>
      <c r="AA8" s="132"/>
      <c r="AB8" s="132"/>
      <c r="AC8" s="272"/>
      <c r="AD8" s="132"/>
      <c r="AE8" s="132"/>
      <c r="AF8" s="132"/>
      <c r="AG8" s="132"/>
      <c r="AH8" s="132"/>
      <c r="AI8" s="140"/>
      <c r="AJ8" s="132"/>
      <c r="AK8" s="132"/>
      <c r="AL8" s="132"/>
      <c r="AM8" s="132"/>
      <c r="AN8" s="132"/>
      <c r="AO8" s="132"/>
      <c r="AP8" s="277"/>
      <c r="AQ8" s="277"/>
      <c r="AR8" s="277"/>
      <c r="AS8" s="132"/>
      <c r="AT8" s="132"/>
      <c r="AU8" s="132"/>
      <c r="AV8" s="132"/>
      <c r="AW8" s="132"/>
      <c r="AX8" s="140"/>
      <c r="AY8" s="132"/>
      <c r="AZ8" s="132"/>
      <c r="BA8" s="132"/>
      <c r="BB8" s="132"/>
      <c r="BC8" s="132"/>
      <c r="BD8" s="132"/>
      <c r="BE8" s="277"/>
      <c r="BF8" s="277"/>
      <c r="BG8" s="277"/>
      <c r="BH8" s="132"/>
      <c r="BI8" s="132"/>
      <c r="BJ8" s="132"/>
      <c r="BK8" s="132"/>
      <c r="BL8" s="132"/>
      <c r="BM8" s="140"/>
      <c r="BN8" s="132"/>
      <c r="BO8" s="132"/>
      <c r="BP8" s="132"/>
      <c r="BQ8" s="132"/>
      <c r="BR8" s="132"/>
      <c r="BS8" s="132"/>
      <c r="BT8" s="277"/>
      <c r="BU8" s="277"/>
      <c r="BV8" s="277"/>
      <c r="BW8" s="132"/>
      <c r="BX8" s="132"/>
      <c r="BY8" s="132"/>
      <c r="BZ8" s="132"/>
      <c r="CA8" s="132"/>
      <c r="CB8" s="140"/>
      <c r="CC8" s="132"/>
      <c r="CD8" s="132"/>
      <c r="CE8" s="132"/>
      <c r="CF8" s="132"/>
      <c r="CG8" s="132"/>
      <c r="CH8" s="132"/>
      <c r="CI8" s="277"/>
      <c r="CJ8" s="277"/>
      <c r="CK8" s="277"/>
      <c r="CL8" s="149"/>
      <c r="CM8" s="149"/>
      <c r="CN8" s="277"/>
    </row>
    <row r="9" spans="1:95" ht="25.5" customHeight="1">
      <c r="A9" s="1051" t="s">
        <v>1548</v>
      </c>
      <c r="B9" s="1048" t="s">
        <v>1456</v>
      </c>
      <c r="C9" s="1048" t="s">
        <v>1457</v>
      </c>
      <c r="D9" s="29"/>
      <c r="E9" s="125" t="s">
        <v>106</v>
      </c>
      <c r="F9" s="30"/>
      <c r="G9" s="31"/>
      <c r="H9" s="31"/>
      <c r="I9" s="32"/>
      <c r="J9" s="674" t="s">
        <v>1990</v>
      </c>
      <c r="K9" s="374" t="str">
        <f>IFERROR(VLOOKUP(H9,справочник!$A$3:$B$12,2,0),"нет данных")</f>
        <v>нет данных</v>
      </c>
      <c r="L9" s="326"/>
      <c r="M9" s="399"/>
      <c r="N9" s="333">
        <f>IFERROR(ROUND((K9*M9+K9*L9),2),0)</f>
        <v>0</v>
      </c>
      <c r="O9" s="394"/>
      <c r="P9" s="352"/>
      <c r="Q9" s="352"/>
      <c r="R9" s="352"/>
      <c r="S9" s="352"/>
      <c r="T9" s="352"/>
      <c r="U9" s="324"/>
      <c r="V9" s="324"/>
      <c r="W9" s="324"/>
      <c r="X9" s="324"/>
      <c r="Y9" s="324"/>
      <c r="Z9" s="325"/>
      <c r="AA9" s="326"/>
      <c r="AB9" s="327">
        <f>SUM(O9:Z9)</f>
        <v>0</v>
      </c>
      <c r="AC9" s="328">
        <f>IFERROR(ROUND(($K9*AB9+$K9*AA9),2),0)</f>
        <v>0</v>
      </c>
      <c r="AD9" s="329"/>
      <c r="AE9" s="330"/>
      <c r="AF9" s="330"/>
      <c r="AG9" s="330"/>
      <c r="AH9" s="330"/>
      <c r="AI9" s="330"/>
      <c r="AJ9" s="330"/>
      <c r="AK9" s="330"/>
      <c r="AL9" s="330"/>
      <c r="AM9" s="330"/>
      <c r="AN9" s="330"/>
      <c r="AO9" s="331"/>
      <c r="AP9" s="326"/>
      <c r="AQ9" s="332">
        <f>SUM(AD9:AO9)</f>
        <v>0</v>
      </c>
      <c r="AR9" s="333">
        <f>IFERROR(ROUND(($K9*AQ9+$K9*AP9),2),0)</f>
        <v>0</v>
      </c>
      <c r="AS9" s="329"/>
      <c r="AT9" s="330"/>
      <c r="AU9" s="330"/>
      <c r="AV9" s="330"/>
      <c r="AW9" s="330"/>
      <c r="AX9" s="330"/>
      <c r="AY9" s="330"/>
      <c r="AZ9" s="330"/>
      <c r="BA9" s="330"/>
      <c r="BB9" s="330"/>
      <c r="BC9" s="330"/>
      <c r="BD9" s="331"/>
      <c r="BE9" s="326"/>
      <c r="BF9" s="332">
        <f t="shared" ref="BF9:BF11" si="0">SUM(AS9:BD9)</f>
        <v>0</v>
      </c>
      <c r="BG9" s="333">
        <f>IFERROR(ROUND(($K9*BF9+$K9*BE9),2),0)</f>
        <v>0</v>
      </c>
      <c r="BH9" s="329"/>
      <c r="BI9" s="330"/>
      <c r="BJ9" s="330"/>
      <c r="BK9" s="330"/>
      <c r="BL9" s="330"/>
      <c r="BM9" s="330"/>
      <c r="BN9" s="330"/>
      <c r="BO9" s="330"/>
      <c r="BP9" s="330"/>
      <c r="BQ9" s="330"/>
      <c r="BR9" s="330"/>
      <c r="BS9" s="331"/>
      <c r="BT9" s="326"/>
      <c r="BU9" s="332">
        <f t="shared" ref="BU9" si="1">SUM(BH9:BS9)</f>
        <v>0</v>
      </c>
      <c r="BV9" s="333">
        <f>IFERROR(ROUND(($K9*BU9+$K9*BT9),2),0)</f>
        <v>0</v>
      </c>
      <c r="BW9" s="329"/>
      <c r="BX9" s="330"/>
      <c r="BY9" s="330"/>
      <c r="BZ9" s="330"/>
      <c r="CA9" s="330"/>
      <c r="CB9" s="330"/>
      <c r="CC9" s="330"/>
      <c r="CD9" s="330"/>
      <c r="CE9" s="330"/>
      <c r="CF9" s="330"/>
      <c r="CG9" s="330"/>
      <c r="CH9" s="331"/>
      <c r="CI9" s="326"/>
      <c r="CJ9" s="332">
        <f t="shared" ref="CJ9" si="2">SUM(BW9:CH9)</f>
        <v>0</v>
      </c>
      <c r="CK9" s="333">
        <f>IFERROR(ROUND(($K9*CJ9+$K9*CI9),2),0)</f>
        <v>0</v>
      </c>
      <c r="CL9" s="334">
        <f t="shared" ref="CL9:CN9" si="3">AA9+AP9+L9+BE9+BT9+CI9</f>
        <v>0</v>
      </c>
      <c r="CM9" s="335">
        <f t="shared" si="3"/>
        <v>0</v>
      </c>
      <c r="CN9" s="336">
        <f t="shared" si="3"/>
        <v>0</v>
      </c>
    </row>
    <row r="10" spans="1:95" ht="25.5" customHeight="1">
      <c r="A10" s="1052"/>
      <c r="B10" s="1050"/>
      <c r="C10" s="1050"/>
      <c r="D10" s="29"/>
      <c r="E10" s="125" t="s">
        <v>106</v>
      </c>
      <c r="F10" s="30"/>
      <c r="G10" s="31"/>
      <c r="H10" s="31"/>
      <c r="I10" s="32"/>
      <c r="J10" s="674" t="s">
        <v>1990</v>
      </c>
      <c r="K10" s="374" t="str">
        <f>IFERROR(VLOOKUP(H10,справочник!$A$3:$B$12,2,0),"нет данных")</f>
        <v>нет данных</v>
      </c>
      <c r="L10" s="326"/>
      <c r="M10" s="399"/>
      <c r="N10" s="346">
        <f t="shared" ref="N10:N12" si="4">IFERROR(ROUND((K10*M10+K10*L10),2),0)</f>
        <v>0</v>
      </c>
      <c r="O10" s="394"/>
      <c r="P10" s="352"/>
      <c r="Q10" s="352"/>
      <c r="R10" s="352"/>
      <c r="S10" s="352"/>
      <c r="T10" s="352"/>
      <c r="U10" s="324"/>
      <c r="V10" s="324"/>
      <c r="W10" s="324"/>
      <c r="X10" s="324"/>
      <c r="Y10" s="324"/>
      <c r="Z10" s="325"/>
      <c r="AA10" s="326"/>
      <c r="AB10" s="327">
        <f t="shared" ref="AB10:AB12" si="5">SUM(O10:Z10)</f>
        <v>0</v>
      </c>
      <c r="AC10" s="328">
        <f t="shared" ref="AC10:AC12" si="6">IFERROR(ROUND(($K10*AB10+$K10*AA10),2),0)</f>
        <v>0</v>
      </c>
      <c r="AD10" s="329"/>
      <c r="AE10" s="330"/>
      <c r="AF10" s="330"/>
      <c r="AG10" s="330"/>
      <c r="AH10" s="330"/>
      <c r="AI10" s="330"/>
      <c r="AJ10" s="330"/>
      <c r="AK10" s="330"/>
      <c r="AL10" s="330"/>
      <c r="AM10" s="330"/>
      <c r="AN10" s="330"/>
      <c r="AO10" s="331"/>
      <c r="AP10" s="326"/>
      <c r="AQ10" s="332">
        <f t="shared" ref="AQ10:AQ12" si="7">SUM(AD10:AO10)</f>
        <v>0</v>
      </c>
      <c r="AR10" s="333">
        <f t="shared" ref="AR10:AR12" si="8">IFERROR(ROUND(($K10*AQ10+$K10*AP10),2),0)</f>
        <v>0</v>
      </c>
      <c r="AS10" s="329"/>
      <c r="AT10" s="330"/>
      <c r="AU10" s="330"/>
      <c r="AV10" s="330"/>
      <c r="AW10" s="330"/>
      <c r="AX10" s="330"/>
      <c r="AY10" s="330"/>
      <c r="AZ10" s="330"/>
      <c r="BA10" s="330"/>
      <c r="BB10" s="330"/>
      <c r="BC10" s="330"/>
      <c r="BD10" s="331"/>
      <c r="BE10" s="326"/>
      <c r="BF10" s="332">
        <f t="shared" si="0"/>
        <v>0</v>
      </c>
      <c r="BG10" s="333">
        <f t="shared" ref="BG10:BG12" si="9">IFERROR(ROUND(($K10*BF10+$K10*BE10),2),0)</f>
        <v>0</v>
      </c>
      <c r="BH10" s="329"/>
      <c r="BI10" s="330"/>
      <c r="BJ10" s="330"/>
      <c r="BK10" s="330"/>
      <c r="BL10" s="330"/>
      <c r="BM10" s="330"/>
      <c r="BN10" s="330"/>
      <c r="BO10" s="330"/>
      <c r="BP10" s="330"/>
      <c r="BQ10" s="330"/>
      <c r="BR10" s="330"/>
      <c r="BS10" s="331"/>
      <c r="BT10" s="326"/>
      <c r="BU10" s="332">
        <f t="shared" ref="BU10:BU12" si="10">SUM(BH10:BS10)</f>
        <v>0</v>
      </c>
      <c r="BV10" s="333">
        <f t="shared" ref="BV10:BV12" si="11">IFERROR(ROUND(($K10*BU10+$K10*BT10),2),0)</f>
        <v>0</v>
      </c>
      <c r="BW10" s="329"/>
      <c r="BX10" s="330"/>
      <c r="BY10" s="330"/>
      <c r="BZ10" s="330"/>
      <c r="CA10" s="330"/>
      <c r="CB10" s="330"/>
      <c r="CC10" s="330"/>
      <c r="CD10" s="330"/>
      <c r="CE10" s="330"/>
      <c r="CF10" s="330"/>
      <c r="CG10" s="330"/>
      <c r="CH10" s="331"/>
      <c r="CI10" s="326"/>
      <c r="CJ10" s="332">
        <f t="shared" ref="CJ10:CJ12" si="12">SUM(BW10:CH10)</f>
        <v>0</v>
      </c>
      <c r="CK10" s="333">
        <f t="shared" ref="CK10:CK12" si="13">IFERROR(ROUND(($K10*CJ10+$K10*CI10),2),0)</f>
        <v>0</v>
      </c>
      <c r="CL10" s="334">
        <f t="shared" ref="CL10:CL12" si="14">AA10+AP10+L10+BE10+BT10+CI10</f>
        <v>0</v>
      </c>
      <c r="CM10" s="335">
        <f t="shared" ref="CM10:CM12" si="15">AB10+AQ10+M10+BF10+BU10+CJ10</f>
        <v>0</v>
      </c>
      <c r="CN10" s="336">
        <f t="shared" ref="CN10:CN12" si="16">AC10+AR10+N10+BG10+BV10+CK10</f>
        <v>0</v>
      </c>
    </row>
    <row r="11" spans="1:95" ht="25.5" customHeight="1">
      <c r="A11" s="1051" t="s">
        <v>1549</v>
      </c>
      <c r="B11" s="1048" t="s">
        <v>1462</v>
      </c>
      <c r="C11" s="1048" t="s">
        <v>1607</v>
      </c>
      <c r="D11" s="29"/>
      <c r="E11" s="125" t="s">
        <v>106</v>
      </c>
      <c r="F11" s="30"/>
      <c r="G11" s="31"/>
      <c r="H11" s="31"/>
      <c r="I11" s="32"/>
      <c r="J11" s="674" t="s">
        <v>1990</v>
      </c>
      <c r="K11" s="374" t="str">
        <f>IFERROR(VLOOKUP(H11,справочник!$A$3:$B$12,2,0),"нет данных")</f>
        <v>нет данных</v>
      </c>
      <c r="L11" s="326"/>
      <c r="M11" s="399"/>
      <c r="N11" s="346">
        <f t="shared" si="4"/>
        <v>0</v>
      </c>
      <c r="O11" s="394"/>
      <c r="P11" s="352"/>
      <c r="Q11" s="352"/>
      <c r="R11" s="352"/>
      <c r="S11" s="352"/>
      <c r="T11" s="352"/>
      <c r="U11" s="324"/>
      <c r="V11" s="324"/>
      <c r="W11" s="324"/>
      <c r="X11" s="324"/>
      <c r="Y11" s="324"/>
      <c r="Z11" s="325"/>
      <c r="AA11" s="326"/>
      <c r="AB11" s="327">
        <f t="shared" si="5"/>
        <v>0</v>
      </c>
      <c r="AC11" s="328">
        <f t="shared" si="6"/>
        <v>0</v>
      </c>
      <c r="AD11" s="329"/>
      <c r="AE11" s="330"/>
      <c r="AF11" s="330"/>
      <c r="AG11" s="330"/>
      <c r="AH11" s="330"/>
      <c r="AI11" s="330"/>
      <c r="AJ11" s="330"/>
      <c r="AK11" s="330"/>
      <c r="AL11" s="330"/>
      <c r="AM11" s="330"/>
      <c r="AN11" s="330"/>
      <c r="AO11" s="331"/>
      <c r="AP11" s="326"/>
      <c r="AQ11" s="332">
        <f t="shared" si="7"/>
        <v>0</v>
      </c>
      <c r="AR11" s="333">
        <f t="shared" si="8"/>
        <v>0</v>
      </c>
      <c r="AS11" s="329"/>
      <c r="AT11" s="330"/>
      <c r="AU11" s="330"/>
      <c r="AV11" s="330"/>
      <c r="AW11" s="330"/>
      <c r="AX11" s="330"/>
      <c r="AY11" s="330"/>
      <c r="AZ11" s="330"/>
      <c r="BA11" s="330"/>
      <c r="BB11" s="330"/>
      <c r="BC11" s="330"/>
      <c r="BD11" s="331"/>
      <c r="BE11" s="326"/>
      <c r="BF11" s="332">
        <f t="shared" si="0"/>
        <v>0</v>
      </c>
      <c r="BG11" s="333">
        <f t="shared" si="9"/>
        <v>0</v>
      </c>
      <c r="BH11" s="329"/>
      <c r="BI11" s="330"/>
      <c r="BJ11" s="330"/>
      <c r="BK11" s="330"/>
      <c r="BL11" s="330"/>
      <c r="BM11" s="330"/>
      <c r="BN11" s="330"/>
      <c r="BO11" s="330"/>
      <c r="BP11" s="330"/>
      <c r="BQ11" s="330"/>
      <c r="BR11" s="330"/>
      <c r="BS11" s="331"/>
      <c r="BT11" s="326"/>
      <c r="BU11" s="332">
        <f t="shared" si="10"/>
        <v>0</v>
      </c>
      <c r="BV11" s="333">
        <f t="shared" si="11"/>
        <v>0</v>
      </c>
      <c r="BW11" s="329"/>
      <c r="BX11" s="330"/>
      <c r="BY11" s="330"/>
      <c r="BZ11" s="330"/>
      <c r="CA11" s="330"/>
      <c r="CB11" s="330"/>
      <c r="CC11" s="330"/>
      <c r="CD11" s="330"/>
      <c r="CE11" s="330"/>
      <c r="CF11" s="330"/>
      <c r="CG11" s="330"/>
      <c r="CH11" s="331"/>
      <c r="CI11" s="326"/>
      <c r="CJ11" s="332">
        <f t="shared" si="12"/>
        <v>0</v>
      </c>
      <c r="CK11" s="333">
        <f t="shared" si="13"/>
        <v>0</v>
      </c>
      <c r="CL11" s="334">
        <f t="shared" si="14"/>
        <v>0</v>
      </c>
      <c r="CM11" s="335">
        <f t="shared" si="15"/>
        <v>0</v>
      </c>
      <c r="CN11" s="336">
        <f t="shared" si="16"/>
        <v>0</v>
      </c>
    </row>
    <row r="12" spans="1:95" ht="25.5" customHeight="1">
      <c r="A12" s="1052"/>
      <c r="B12" s="1050"/>
      <c r="C12" s="1050"/>
      <c r="D12" s="29"/>
      <c r="E12" s="125" t="s">
        <v>106</v>
      </c>
      <c r="F12" s="30"/>
      <c r="G12" s="31"/>
      <c r="H12" s="31"/>
      <c r="I12" s="32"/>
      <c r="J12" s="674" t="s">
        <v>1990</v>
      </c>
      <c r="K12" s="374" t="str">
        <f>IFERROR(VLOOKUP(H12,справочник!$A$3:$B$12,2,0),"нет данных")</f>
        <v>нет данных</v>
      </c>
      <c r="L12" s="326"/>
      <c r="M12" s="399"/>
      <c r="N12" s="346">
        <f t="shared" si="4"/>
        <v>0</v>
      </c>
      <c r="O12" s="394"/>
      <c r="P12" s="352"/>
      <c r="Q12" s="352"/>
      <c r="R12" s="352"/>
      <c r="S12" s="352"/>
      <c r="T12" s="352"/>
      <c r="U12" s="324"/>
      <c r="V12" s="324"/>
      <c r="W12" s="324"/>
      <c r="X12" s="324"/>
      <c r="Y12" s="324"/>
      <c r="Z12" s="325"/>
      <c r="AA12" s="326"/>
      <c r="AB12" s="327">
        <f t="shared" si="5"/>
        <v>0</v>
      </c>
      <c r="AC12" s="328">
        <f t="shared" si="6"/>
        <v>0</v>
      </c>
      <c r="AD12" s="329"/>
      <c r="AE12" s="330"/>
      <c r="AF12" s="330"/>
      <c r="AG12" s="330"/>
      <c r="AH12" s="330"/>
      <c r="AI12" s="330"/>
      <c r="AJ12" s="330"/>
      <c r="AK12" s="330"/>
      <c r="AL12" s="330"/>
      <c r="AM12" s="330"/>
      <c r="AN12" s="330"/>
      <c r="AO12" s="331"/>
      <c r="AP12" s="326"/>
      <c r="AQ12" s="332">
        <f t="shared" si="7"/>
        <v>0</v>
      </c>
      <c r="AR12" s="333">
        <f t="shared" si="8"/>
        <v>0</v>
      </c>
      <c r="AS12" s="329"/>
      <c r="AT12" s="330"/>
      <c r="AU12" s="330"/>
      <c r="AV12" s="330"/>
      <c r="AW12" s="330"/>
      <c r="AX12" s="330"/>
      <c r="AY12" s="330"/>
      <c r="AZ12" s="330"/>
      <c r="BA12" s="330"/>
      <c r="BB12" s="330"/>
      <c r="BC12" s="330"/>
      <c r="BD12" s="331"/>
      <c r="BE12" s="326"/>
      <c r="BF12" s="332">
        <f>SUM(AS12:BD12)</f>
        <v>0</v>
      </c>
      <c r="BG12" s="333">
        <f t="shared" si="9"/>
        <v>0</v>
      </c>
      <c r="BH12" s="329"/>
      <c r="BI12" s="330"/>
      <c r="BJ12" s="330"/>
      <c r="BK12" s="330"/>
      <c r="BL12" s="330"/>
      <c r="BM12" s="330"/>
      <c r="BN12" s="330"/>
      <c r="BO12" s="330"/>
      <c r="BP12" s="330"/>
      <c r="BQ12" s="330"/>
      <c r="BR12" s="330"/>
      <c r="BS12" s="331"/>
      <c r="BT12" s="326"/>
      <c r="BU12" s="332">
        <f t="shared" si="10"/>
        <v>0</v>
      </c>
      <c r="BV12" s="333">
        <f t="shared" si="11"/>
        <v>0</v>
      </c>
      <c r="BW12" s="329"/>
      <c r="BX12" s="330"/>
      <c r="BY12" s="330"/>
      <c r="BZ12" s="330"/>
      <c r="CA12" s="330"/>
      <c r="CB12" s="330"/>
      <c r="CC12" s="330"/>
      <c r="CD12" s="330"/>
      <c r="CE12" s="330"/>
      <c r="CF12" s="330"/>
      <c r="CG12" s="330"/>
      <c r="CH12" s="331"/>
      <c r="CI12" s="326"/>
      <c r="CJ12" s="332">
        <f t="shared" si="12"/>
        <v>0</v>
      </c>
      <c r="CK12" s="333">
        <f t="shared" si="13"/>
        <v>0</v>
      </c>
      <c r="CL12" s="334">
        <f t="shared" si="14"/>
        <v>0</v>
      </c>
      <c r="CM12" s="335">
        <f t="shared" si="15"/>
        <v>0</v>
      </c>
      <c r="CN12" s="336">
        <f t="shared" si="16"/>
        <v>0</v>
      </c>
    </row>
    <row r="13" spans="1:95" s="33" customFormat="1" ht="17.100000000000001" customHeight="1">
      <c r="A13" s="1055" t="s">
        <v>17</v>
      </c>
      <c r="B13" s="1056"/>
      <c r="C13" s="129"/>
      <c r="D13" s="133"/>
      <c r="E13" s="126"/>
      <c r="F13" s="126"/>
      <c r="G13" s="134"/>
      <c r="H13" s="135"/>
      <c r="I13" s="135"/>
      <c r="J13" s="687"/>
      <c r="K13" s="337"/>
      <c r="L13" s="355">
        <f t="shared" ref="L13:BG13" si="17">SUM(L9:L12)</f>
        <v>0</v>
      </c>
      <c r="M13" s="356">
        <f t="shared" si="17"/>
        <v>0</v>
      </c>
      <c r="N13" s="454">
        <f t="shared" si="17"/>
        <v>0</v>
      </c>
      <c r="O13" s="453">
        <f t="shared" si="17"/>
        <v>0</v>
      </c>
      <c r="P13" s="353">
        <f t="shared" si="17"/>
        <v>0</v>
      </c>
      <c r="Q13" s="353">
        <f t="shared" si="17"/>
        <v>0</v>
      </c>
      <c r="R13" s="353">
        <f t="shared" si="17"/>
        <v>0</v>
      </c>
      <c r="S13" s="353">
        <f t="shared" si="17"/>
        <v>0</v>
      </c>
      <c r="T13" s="353">
        <f t="shared" si="17"/>
        <v>0</v>
      </c>
      <c r="U13" s="353">
        <f t="shared" si="17"/>
        <v>0</v>
      </c>
      <c r="V13" s="353">
        <f t="shared" si="17"/>
        <v>0</v>
      </c>
      <c r="W13" s="353">
        <f t="shared" si="17"/>
        <v>0</v>
      </c>
      <c r="X13" s="353">
        <f t="shared" si="17"/>
        <v>0</v>
      </c>
      <c r="Y13" s="353">
        <f t="shared" si="17"/>
        <v>0</v>
      </c>
      <c r="Z13" s="354">
        <f t="shared" si="17"/>
        <v>0</v>
      </c>
      <c r="AA13" s="355">
        <f t="shared" si="17"/>
        <v>0</v>
      </c>
      <c r="AB13" s="356">
        <f t="shared" si="17"/>
        <v>0</v>
      </c>
      <c r="AC13" s="338">
        <f t="shared" si="17"/>
        <v>0</v>
      </c>
      <c r="AD13" s="357">
        <f t="shared" si="17"/>
        <v>0</v>
      </c>
      <c r="AE13" s="357">
        <f t="shared" si="17"/>
        <v>0</v>
      </c>
      <c r="AF13" s="358">
        <f t="shared" si="17"/>
        <v>0</v>
      </c>
      <c r="AG13" s="358">
        <f t="shared" si="17"/>
        <v>0</v>
      </c>
      <c r="AH13" s="358">
        <f t="shared" si="17"/>
        <v>0</v>
      </c>
      <c r="AI13" s="358">
        <f t="shared" si="17"/>
        <v>0</v>
      </c>
      <c r="AJ13" s="358">
        <f t="shared" si="17"/>
        <v>0</v>
      </c>
      <c r="AK13" s="358">
        <f t="shared" si="17"/>
        <v>0</v>
      </c>
      <c r="AL13" s="358">
        <f t="shared" si="17"/>
        <v>0</v>
      </c>
      <c r="AM13" s="358">
        <f t="shared" si="17"/>
        <v>0</v>
      </c>
      <c r="AN13" s="358">
        <f t="shared" si="17"/>
        <v>0</v>
      </c>
      <c r="AO13" s="358">
        <f t="shared" si="17"/>
        <v>0</v>
      </c>
      <c r="AP13" s="359">
        <f t="shared" si="17"/>
        <v>0</v>
      </c>
      <c r="AQ13" s="360">
        <f t="shared" si="17"/>
        <v>0</v>
      </c>
      <c r="AR13" s="361">
        <f t="shared" si="17"/>
        <v>0</v>
      </c>
      <c r="AS13" s="357">
        <f t="shared" si="17"/>
        <v>0</v>
      </c>
      <c r="AT13" s="357">
        <f t="shared" si="17"/>
        <v>0</v>
      </c>
      <c r="AU13" s="358">
        <f t="shared" si="17"/>
        <v>0</v>
      </c>
      <c r="AV13" s="358">
        <f t="shared" si="17"/>
        <v>0</v>
      </c>
      <c r="AW13" s="358">
        <f t="shared" si="17"/>
        <v>0</v>
      </c>
      <c r="AX13" s="358">
        <f t="shared" si="17"/>
        <v>0</v>
      </c>
      <c r="AY13" s="358">
        <f t="shared" si="17"/>
        <v>0</v>
      </c>
      <c r="AZ13" s="358">
        <f t="shared" si="17"/>
        <v>0</v>
      </c>
      <c r="BA13" s="358">
        <f t="shared" si="17"/>
        <v>0</v>
      </c>
      <c r="BB13" s="358">
        <f t="shared" si="17"/>
        <v>0</v>
      </c>
      <c r="BC13" s="358">
        <f t="shared" si="17"/>
        <v>0</v>
      </c>
      <c r="BD13" s="358">
        <f t="shared" si="17"/>
        <v>0</v>
      </c>
      <c r="BE13" s="359">
        <f t="shared" si="17"/>
        <v>0</v>
      </c>
      <c r="BF13" s="360">
        <f t="shared" si="17"/>
        <v>0</v>
      </c>
      <c r="BG13" s="361">
        <f t="shared" si="17"/>
        <v>0</v>
      </c>
      <c r="BH13" s="400"/>
      <c r="BI13" s="400"/>
      <c r="BJ13" s="400"/>
      <c r="BK13" s="400"/>
      <c r="BL13" s="400"/>
      <c r="BM13" s="400"/>
      <c r="BN13" s="400"/>
      <c r="BO13" s="400"/>
      <c r="BP13" s="400"/>
      <c r="BQ13" s="400"/>
      <c r="BR13" s="400"/>
      <c r="BS13" s="400"/>
      <c r="BT13" s="359">
        <f>SUM(BT9:BT12)</f>
        <v>0</v>
      </c>
      <c r="BU13" s="360">
        <f>SUM(BU9:BU12)</f>
        <v>0</v>
      </c>
      <c r="BV13" s="361">
        <f>SUM(BV9:BV12)</f>
        <v>0</v>
      </c>
      <c r="BW13" s="400"/>
      <c r="BX13" s="400"/>
      <c r="BY13" s="400"/>
      <c r="BZ13" s="400"/>
      <c r="CA13" s="400"/>
      <c r="CB13" s="400"/>
      <c r="CC13" s="400"/>
      <c r="CD13" s="400"/>
      <c r="CE13" s="400"/>
      <c r="CF13" s="400"/>
      <c r="CG13" s="400"/>
      <c r="CH13" s="400"/>
      <c r="CI13" s="359">
        <f t="shared" ref="CI13:CN13" si="18">SUM(CI9:CI12)</f>
        <v>0</v>
      </c>
      <c r="CJ13" s="360">
        <f t="shared" si="18"/>
        <v>0</v>
      </c>
      <c r="CK13" s="361">
        <f t="shared" si="18"/>
        <v>0</v>
      </c>
      <c r="CL13" s="362">
        <f t="shared" si="18"/>
        <v>0</v>
      </c>
      <c r="CM13" s="362">
        <f t="shared" si="18"/>
        <v>0</v>
      </c>
      <c r="CN13" s="339">
        <f t="shared" si="18"/>
        <v>0</v>
      </c>
      <c r="CQ13" s="480"/>
    </row>
    <row r="14" spans="1:95" ht="15.75" customHeight="1">
      <c r="A14" s="265" t="s">
        <v>9</v>
      </c>
      <c r="B14" s="1063" t="s">
        <v>1636</v>
      </c>
      <c r="C14" s="1064"/>
      <c r="D14" s="133"/>
      <c r="E14" s="127"/>
      <c r="F14" s="136"/>
      <c r="G14" s="137"/>
      <c r="H14" s="136"/>
      <c r="I14" s="137"/>
      <c r="J14" s="137"/>
      <c r="K14" s="375" t="str">
        <f>IFERROR(INDEX(#REF!,MATCH(#REF!&amp;F14&amp;H14,#REF!,0)),"")</f>
        <v/>
      </c>
      <c r="L14" s="364"/>
      <c r="M14" s="364"/>
      <c r="N14" s="364"/>
      <c r="O14" s="363"/>
      <c r="P14" s="364"/>
      <c r="Q14" s="364"/>
      <c r="R14" s="364"/>
      <c r="S14" s="364"/>
      <c r="T14" s="364"/>
      <c r="U14" s="364"/>
      <c r="V14" s="363"/>
      <c r="W14" s="363"/>
      <c r="X14" s="363"/>
      <c r="Y14" s="363"/>
      <c r="Z14" s="365"/>
      <c r="AA14" s="364"/>
      <c r="AB14" s="364"/>
      <c r="AC14" s="364"/>
      <c r="AD14" s="364"/>
      <c r="AE14" s="364"/>
      <c r="AF14" s="366"/>
      <c r="AG14" s="366"/>
      <c r="AH14" s="366"/>
      <c r="AI14" s="367"/>
      <c r="AJ14" s="366"/>
      <c r="AK14" s="366"/>
      <c r="AL14" s="366"/>
      <c r="AM14" s="366"/>
      <c r="AN14" s="366"/>
      <c r="AO14" s="366"/>
      <c r="AP14" s="366"/>
      <c r="AQ14" s="366"/>
      <c r="AR14" s="366"/>
      <c r="AS14" s="364"/>
      <c r="AT14" s="364"/>
      <c r="AU14" s="366"/>
      <c r="AV14" s="366"/>
      <c r="AW14" s="366"/>
      <c r="AX14" s="367"/>
      <c r="AY14" s="366"/>
      <c r="AZ14" s="366"/>
      <c r="BA14" s="366"/>
      <c r="BB14" s="366"/>
      <c r="BC14" s="366"/>
      <c r="BD14" s="366"/>
      <c r="BE14" s="366"/>
      <c r="BF14" s="366"/>
      <c r="BG14" s="366"/>
      <c r="BH14" s="366"/>
      <c r="BI14" s="366"/>
      <c r="BJ14" s="366"/>
      <c r="BK14" s="366"/>
      <c r="BL14" s="366"/>
      <c r="BM14" s="366"/>
      <c r="BN14" s="366"/>
      <c r="BO14" s="366"/>
      <c r="BP14" s="366"/>
      <c r="BQ14" s="366"/>
      <c r="BR14" s="366"/>
      <c r="BS14" s="366"/>
      <c r="BT14" s="366"/>
      <c r="BU14" s="366"/>
      <c r="BV14" s="366"/>
      <c r="BW14" s="366"/>
      <c r="BX14" s="366"/>
      <c r="BY14" s="366"/>
      <c r="BZ14" s="366"/>
      <c r="CA14" s="366"/>
      <c r="CB14" s="366"/>
      <c r="CC14" s="366"/>
      <c r="CD14" s="366"/>
      <c r="CE14" s="366"/>
      <c r="CF14" s="366"/>
      <c r="CG14" s="366"/>
      <c r="CH14" s="366"/>
      <c r="CI14" s="366"/>
      <c r="CJ14" s="366"/>
      <c r="CK14" s="366"/>
      <c r="CL14" s="363"/>
      <c r="CM14" s="363"/>
      <c r="CN14" s="368"/>
    </row>
    <row r="15" spans="1:95" s="33" customFormat="1" ht="21.75" customHeight="1">
      <c r="A15" s="1051" t="s">
        <v>1550</v>
      </c>
      <c r="B15" s="1048" t="s">
        <v>1672</v>
      </c>
      <c r="C15" s="1048" t="s">
        <v>77</v>
      </c>
      <c r="D15" s="29"/>
      <c r="E15" s="125" t="s">
        <v>106</v>
      </c>
      <c r="F15" s="30"/>
      <c r="G15" s="31"/>
      <c r="H15" s="31"/>
      <c r="I15" s="32"/>
      <c r="J15" s="674" t="s">
        <v>1990</v>
      </c>
      <c r="K15" s="374" t="str">
        <f>IFERROR(VLOOKUP(H15,справочник!$A$3:$B$12,2,0),"нет данных")</f>
        <v>нет данных</v>
      </c>
      <c r="L15" s="341"/>
      <c r="M15" s="399"/>
      <c r="N15" s="333">
        <f t="shared" ref="N15:N32" si="19">IFERROR(ROUND((K15*M15+K15*L15),2),0)</f>
        <v>0</v>
      </c>
      <c r="O15" s="455"/>
      <c r="P15" s="352"/>
      <c r="Q15" s="352"/>
      <c r="R15" s="352"/>
      <c r="S15" s="352"/>
      <c r="T15" s="352"/>
      <c r="U15" s="324"/>
      <c r="V15" s="324"/>
      <c r="W15" s="324"/>
      <c r="X15" s="324"/>
      <c r="Y15" s="324"/>
      <c r="Z15" s="340"/>
      <c r="AA15" s="341"/>
      <c r="AB15" s="327">
        <f>SUM(O15:Z15)</f>
        <v>0</v>
      </c>
      <c r="AC15" s="328">
        <f t="shared" ref="AC15:AC32" si="20">IFERROR(ROUND(($K15*AB15+$K15*AA15),2),0)</f>
        <v>0</v>
      </c>
      <c r="AD15" s="342"/>
      <c r="AE15" s="343"/>
      <c r="AF15" s="330"/>
      <c r="AG15" s="330"/>
      <c r="AH15" s="330"/>
      <c r="AI15" s="330"/>
      <c r="AJ15" s="330"/>
      <c r="AK15" s="330"/>
      <c r="AL15" s="330"/>
      <c r="AM15" s="330"/>
      <c r="AN15" s="330"/>
      <c r="AO15" s="331"/>
      <c r="AP15" s="326"/>
      <c r="AQ15" s="332">
        <f>SUM(AD15:AO15)</f>
        <v>0</v>
      </c>
      <c r="AR15" s="333">
        <f>IFERROR(ROUND(($K15*AQ15+$K15*AP15),2),0)</f>
        <v>0</v>
      </c>
      <c r="AS15" s="342"/>
      <c r="AT15" s="343"/>
      <c r="AU15" s="330"/>
      <c r="AV15" s="330"/>
      <c r="AW15" s="330"/>
      <c r="AX15" s="330"/>
      <c r="AY15" s="330"/>
      <c r="AZ15" s="330"/>
      <c r="BA15" s="330"/>
      <c r="BB15" s="330"/>
      <c r="BC15" s="330"/>
      <c r="BD15" s="331"/>
      <c r="BE15" s="326"/>
      <c r="BF15" s="332">
        <f t="shared" ref="BF15:BF32" si="21">SUM(AS15:BD15)</f>
        <v>0</v>
      </c>
      <c r="BG15" s="333">
        <f t="shared" ref="BG15:BG32" si="22">IFERROR(ROUND(($K15*BF15+$K15*BE15),2),0)</f>
        <v>0</v>
      </c>
      <c r="BH15" s="329"/>
      <c r="BI15" s="330"/>
      <c r="BJ15" s="330"/>
      <c r="BK15" s="330"/>
      <c r="BL15" s="330"/>
      <c r="BM15" s="330"/>
      <c r="BN15" s="330"/>
      <c r="BO15" s="330"/>
      <c r="BP15" s="330"/>
      <c r="BQ15" s="330"/>
      <c r="BR15" s="330"/>
      <c r="BS15" s="331"/>
      <c r="BT15" s="326"/>
      <c r="BU15" s="332">
        <f t="shared" ref="BU15:BU32" si="23">SUM(BH15:BS15)</f>
        <v>0</v>
      </c>
      <c r="BV15" s="333">
        <f t="shared" ref="BV15:BV32" si="24">IFERROR(ROUND(($K15*BU15+$K15*BT15),2),0)</f>
        <v>0</v>
      </c>
      <c r="BW15" s="329"/>
      <c r="BX15" s="330"/>
      <c r="BY15" s="330"/>
      <c r="BZ15" s="330"/>
      <c r="CA15" s="330"/>
      <c r="CB15" s="330"/>
      <c r="CC15" s="330"/>
      <c r="CD15" s="330"/>
      <c r="CE15" s="330"/>
      <c r="CF15" s="330"/>
      <c r="CG15" s="330"/>
      <c r="CH15" s="331"/>
      <c r="CI15" s="326"/>
      <c r="CJ15" s="332">
        <f t="shared" ref="CJ15:CJ32" si="25">SUM(BW15:CH15)</f>
        <v>0</v>
      </c>
      <c r="CK15" s="333">
        <f t="shared" ref="CK15:CK32" si="26">IFERROR(ROUND(($K15*CJ15+$K15*CI15),2),0)</f>
        <v>0</v>
      </c>
      <c r="CL15" s="334">
        <f t="shared" ref="CL15:CL32" si="27">AA15+AP15+L15+BE15+BT15+CI15</f>
        <v>0</v>
      </c>
      <c r="CM15" s="335">
        <f t="shared" ref="CM15:CM32" si="28">AB15+AQ15+M15+BF15+BU15+CJ15</f>
        <v>0</v>
      </c>
      <c r="CN15" s="336">
        <f t="shared" ref="CN15:CN32" si="29">AC15+AR15+N15+BG15+BV15+CK15</f>
        <v>0</v>
      </c>
      <c r="CQ15" s="480"/>
    </row>
    <row r="16" spans="1:95" s="33" customFormat="1" ht="21.75" customHeight="1">
      <c r="A16" s="1052"/>
      <c r="B16" s="1050"/>
      <c r="C16" s="1050"/>
      <c r="D16" s="29"/>
      <c r="E16" s="125" t="s">
        <v>106</v>
      </c>
      <c r="F16" s="30"/>
      <c r="G16" s="31"/>
      <c r="H16" s="31"/>
      <c r="I16" s="110"/>
      <c r="J16" s="674" t="s">
        <v>1990</v>
      </c>
      <c r="K16" s="374" t="str">
        <f>IFERROR(VLOOKUP(H16,справочник!$A$3:$B$12,2,0),"нет данных")</f>
        <v>нет данных</v>
      </c>
      <c r="L16" s="326"/>
      <c r="M16" s="399"/>
      <c r="N16" s="346">
        <f t="shared" si="19"/>
        <v>0</v>
      </c>
      <c r="O16" s="455"/>
      <c r="P16" s="352"/>
      <c r="Q16" s="352"/>
      <c r="R16" s="352"/>
      <c r="S16" s="352"/>
      <c r="T16" s="352"/>
      <c r="U16" s="324"/>
      <c r="V16" s="324"/>
      <c r="W16" s="324"/>
      <c r="X16" s="324"/>
      <c r="Y16" s="324"/>
      <c r="Z16" s="325"/>
      <c r="AA16" s="326"/>
      <c r="AB16" s="327">
        <f t="shared" ref="AB16:AB32" si="30">SUM(O16:Z16)</f>
        <v>0</v>
      </c>
      <c r="AC16" s="328">
        <f t="shared" si="20"/>
        <v>0</v>
      </c>
      <c r="AD16" s="329"/>
      <c r="AE16" s="330"/>
      <c r="AF16" s="330"/>
      <c r="AG16" s="330"/>
      <c r="AH16" s="330"/>
      <c r="AI16" s="330"/>
      <c r="AJ16" s="330"/>
      <c r="AK16" s="330"/>
      <c r="AL16" s="330"/>
      <c r="AM16" s="330"/>
      <c r="AN16" s="330"/>
      <c r="AO16" s="331"/>
      <c r="AP16" s="326"/>
      <c r="AQ16" s="332">
        <f>SUM(AD16:AO16)</f>
        <v>0</v>
      </c>
      <c r="AR16" s="333">
        <f>IFERROR(ROUND(($K16*AQ16+$K16*AP16),2),0)</f>
        <v>0</v>
      </c>
      <c r="AS16" s="329"/>
      <c r="AT16" s="330"/>
      <c r="AU16" s="330"/>
      <c r="AV16" s="330"/>
      <c r="AW16" s="330"/>
      <c r="AX16" s="330"/>
      <c r="AY16" s="330"/>
      <c r="AZ16" s="330"/>
      <c r="BA16" s="330"/>
      <c r="BB16" s="330"/>
      <c r="BC16" s="330"/>
      <c r="BD16" s="331"/>
      <c r="BE16" s="326"/>
      <c r="BF16" s="332">
        <f t="shared" si="21"/>
        <v>0</v>
      </c>
      <c r="BG16" s="333">
        <f t="shared" si="22"/>
        <v>0</v>
      </c>
      <c r="BH16" s="329"/>
      <c r="BI16" s="330"/>
      <c r="BJ16" s="330"/>
      <c r="BK16" s="330"/>
      <c r="BL16" s="330"/>
      <c r="BM16" s="330"/>
      <c r="BN16" s="330"/>
      <c r="BO16" s="330"/>
      <c r="BP16" s="330"/>
      <c r="BQ16" s="330"/>
      <c r="BR16" s="330"/>
      <c r="BS16" s="331"/>
      <c r="BT16" s="326"/>
      <c r="BU16" s="332">
        <f>SUM(BH16:BS16)</f>
        <v>0</v>
      </c>
      <c r="BV16" s="333">
        <f t="shared" si="24"/>
        <v>0</v>
      </c>
      <c r="BW16" s="329"/>
      <c r="BX16" s="330"/>
      <c r="BY16" s="330"/>
      <c r="BZ16" s="330"/>
      <c r="CA16" s="330"/>
      <c r="CB16" s="330"/>
      <c r="CC16" s="330"/>
      <c r="CD16" s="330"/>
      <c r="CE16" s="330"/>
      <c r="CF16" s="330"/>
      <c r="CG16" s="330"/>
      <c r="CH16" s="331"/>
      <c r="CI16" s="326"/>
      <c r="CJ16" s="332">
        <f>SUM(BW16:CH16)</f>
        <v>0</v>
      </c>
      <c r="CK16" s="333">
        <f t="shared" si="26"/>
        <v>0</v>
      </c>
      <c r="CL16" s="334">
        <f t="shared" si="27"/>
        <v>0</v>
      </c>
      <c r="CM16" s="335">
        <f t="shared" si="28"/>
        <v>0</v>
      </c>
      <c r="CN16" s="336">
        <f t="shared" si="29"/>
        <v>0</v>
      </c>
      <c r="CQ16" s="480"/>
    </row>
    <row r="17" spans="1:95" s="33" customFormat="1" ht="21.75" customHeight="1">
      <c r="A17" s="1051" t="s">
        <v>1551</v>
      </c>
      <c r="B17" s="1048" t="s">
        <v>1463</v>
      </c>
      <c r="C17" s="1048" t="s">
        <v>78</v>
      </c>
      <c r="D17" s="29"/>
      <c r="E17" s="125" t="s">
        <v>106</v>
      </c>
      <c r="F17" s="30"/>
      <c r="G17" s="31"/>
      <c r="H17" s="31"/>
      <c r="I17" s="32"/>
      <c r="J17" s="674" t="s">
        <v>1990</v>
      </c>
      <c r="K17" s="374" t="str">
        <f>IFERROR(VLOOKUP(H17,справочник!$A$3:$B$12,2,0),"нет данных")</f>
        <v>нет данных</v>
      </c>
      <c r="L17" s="326"/>
      <c r="M17" s="399"/>
      <c r="N17" s="346">
        <f t="shared" si="19"/>
        <v>0</v>
      </c>
      <c r="O17" s="455"/>
      <c r="P17" s="352"/>
      <c r="Q17" s="352"/>
      <c r="R17" s="352"/>
      <c r="S17" s="352"/>
      <c r="T17" s="352"/>
      <c r="U17" s="324"/>
      <c r="V17" s="324"/>
      <c r="W17" s="324"/>
      <c r="X17" s="324"/>
      <c r="Y17" s="324"/>
      <c r="Z17" s="325"/>
      <c r="AA17" s="326"/>
      <c r="AB17" s="327">
        <f t="shared" si="30"/>
        <v>0</v>
      </c>
      <c r="AC17" s="328">
        <f t="shared" si="20"/>
        <v>0</v>
      </c>
      <c r="AD17" s="329"/>
      <c r="AE17" s="330"/>
      <c r="AF17" s="330"/>
      <c r="AG17" s="330"/>
      <c r="AH17" s="330"/>
      <c r="AI17" s="330"/>
      <c r="AJ17" s="330"/>
      <c r="AK17" s="330"/>
      <c r="AL17" s="330"/>
      <c r="AM17" s="330"/>
      <c r="AN17" s="330"/>
      <c r="AO17" s="331"/>
      <c r="AP17" s="326"/>
      <c r="AQ17" s="332">
        <f t="shared" ref="AQ17:AQ32" si="31">SUM(AD17:AO17)</f>
        <v>0</v>
      </c>
      <c r="AR17" s="333">
        <f t="shared" ref="AR17:AR32" si="32">IFERROR(ROUND(($K17*AQ17+$K17*AP17),2),0)</f>
        <v>0</v>
      </c>
      <c r="AS17" s="329"/>
      <c r="AT17" s="330"/>
      <c r="AU17" s="330"/>
      <c r="AV17" s="330"/>
      <c r="AW17" s="330"/>
      <c r="AX17" s="330"/>
      <c r="AY17" s="330"/>
      <c r="AZ17" s="330"/>
      <c r="BA17" s="330"/>
      <c r="BB17" s="330"/>
      <c r="BC17" s="330"/>
      <c r="BD17" s="331"/>
      <c r="BE17" s="326"/>
      <c r="BF17" s="332">
        <f t="shared" si="21"/>
        <v>0</v>
      </c>
      <c r="BG17" s="333">
        <f t="shared" si="22"/>
        <v>0</v>
      </c>
      <c r="BH17" s="329"/>
      <c r="BI17" s="330"/>
      <c r="BJ17" s="330"/>
      <c r="BK17" s="330"/>
      <c r="BL17" s="330"/>
      <c r="BM17" s="330"/>
      <c r="BN17" s="330"/>
      <c r="BO17" s="330"/>
      <c r="BP17" s="330"/>
      <c r="BQ17" s="330"/>
      <c r="BR17" s="330"/>
      <c r="BS17" s="331"/>
      <c r="BT17" s="326"/>
      <c r="BU17" s="332">
        <f t="shared" si="23"/>
        <v>0</v>
      </c>
      <c r="BV17" s="333">
        <f t="shared" si="24"/>
        <v>0</v>
      </c>
      <c r="BW17" s="329"/>
      <c r="BX17" s="330"/>
      <c r="BY17" s="330"/>
      <c r="BZ17" s="330"/>
      <c r="CA17" s="330"/>
      <c r="CB17" s="330"/>
      <c r="CC17" s="330"/>
      <c r="CD17" s="330"/>
      <c r="CE17" s="330"/>
      <c r="CF17" s="330"/>
      <c r="CG17" s="330"/>
      <c r="CH17" s="331"/>
      <c r="CI17" s="326"/>
      <c r="CJ17" s="332">
        <f t="shared" si="25"/>
        <v>0</v>
      </c>
      <c r="CK17" s="333">
        <f t="shared" si="26"/>
        <v>0</v>
      </c>
      <c r="CL17" s="334">
        <f t="shared" si="27"/>
        <v>0</v>
      </c>
      <c r="CM17" s="335">
        <f t="shared" si="28"/>
        <v>0</v>
      </c>
      <c r="CN17" s="336">
        <f t="shared" si="29"/>
        <v>0</v>
      </c>
      <c r="CQ17" s="480"/>
    </row>
    <row r="18" spans="1:95" s="33" customFormat="1" ht="21.75" customHeight="1">
      <c r="A18" s="1052"/>
      <c r="B18" s="1050"/>
      <c r="C18" s="1050"/>
      <c r="D18" s="29"/>
      <c r="E18" s="125" t="s">
        <v>106</v>
      </c>
      <c r="F18" s="30"/>
      <c r="G18" s="31"/>
      <c r="H18" s="31"/>
      <c r="I18" s="110"/>
      <c r="J18" s="674" t="s">
        <v>1990</v>
      </c>
      <c r="K18" s="374" t="str">
        <f>IFERROR(VLOOKUP(H18,справочник!$A$3:$B$12,2,0),"нет данных")</f>
        <v>нет данных</v>
      </c>
      <c r="L18" s="326"/>
      <c r="M18" s="399"/>
      <c r="N18" s="346">
        <f t="shared" si="19"/>
        <v>0</v>
      </c>
      <c r="O18" s="455"/>
      <c r="P18" s="352"/>
      <c r="Q18" s="352"/>
      <c r="R18" s="352"/>
      <c r="S18" s="352"/>
      <c r="T18" s="352"/>
      <c r="U18" s="324"/>
      <c r="V18" s="324"/>
      <c r="W18" s="324"/>
      <c r="X18" s="324"/>
      <c r="Y18" s="324"/>
      <c r="Z18" s="325"/>
      <c r="AA18" s="326"/>
      <c r="AB18" s="327">
        <f t="shared" si="30"/>
        <v>0</v>
      </c>
      <c r="AC18" s="328">
        <f t="shared" si="20"/>
        <v>0</v>
      </c>
      <c r="AD18" s="329"/>
      <c r="AE18" s="330"/>
      <c r="AF18" s="330"/>
      <c r="AG18" s="330"/>
      <c r="AH18" s="330"/>
      <c r="AI18" s="330"/>
      <c r="AJ18" s="330"/>
      <c r="AK18" s="330"/>
      <c r="AL18" s="330"/>
      <c r="AM18" s="330"/>
      <c r="AN18" s="330"/>
      <c r="AO18" s="331"/>
      <c r="AP18" s="326"/>
      <c r="AQ18" s="332">
        <f t="shared" si="31"/>
        <v>0</v>
      </c>
      <c r="AR18" s="333">
        <f t="shared" si="32"/>
        <v>0</v>
      </c>
      <c r="AS18" s="329"/>
      <c r="AT18" s="330"/>
      <c r="AU18" s="330"/>
      <c r="AV18" s="330"/>
      <c r="AW18" s="330"/>
      <c r="AX18" s="330"/>
      <c r="AY18" s="330"/>
      <c r="AZ18" s="330"/>
      <c r="BA18" s="330"/>
      <c r="BB18" s="330"/>
      <c r="BC18" s="330"/>
      <c r="BD18" s="331"/>
      <c r="BE18" s="326"/>
      <c r="BF18" s="332">
        <f t="shared" si="21"/>
        <v>0</v>
      </c>
      <c r="BG18" s="333">
        <f t="shared" si="22"/>
        <v>0</v>
      </c>
      <c r="BH18" s="329"/>
      <c r="BI18" s="330"/>
      <c r="BJ18" s="330"/>
      <c r="BK18" s="330"/>
      <c r="BL18" s="330"/>
      <c r="BM18" s="330"/>
      <c r="BN18" s="330"/>
      <c r="BO18" s="330"/>
      <c r="BP18" s="330"/>
      <c r="BQ18" s="330"/>
      <c r="BR18" s="330"/>
      <c r="BS18" s="331"/>
      <c r="BT18" s="326"/>
      <c r="BU18" s="332">
        <f t="shared" si="23"/>
        <v>0</v>
      </c>
      <c r="BV18" s="333">
        <f t="shared" si="24"/>
        <v>0</v>
      </c>
      <c r="BW18" s="329"/>
      <c r="BX18" s="330"/>
      <c r="BY18" s="330"/>
      <c r="BZ18" s="330"/>
      <c r="CA18" s="330"/>
      <c r="CB18" s="330"/>
      <c r="CC18" s="330"/>
      <c r="CD18" s="330"/>
      <c r="CE18" s="330"/>
      <c r="CF18" s="330"/>
      <c r="CG18" s="330"/>
      <c r="CH18" s="331"/>
      <c r="CI18" s="326"/>
      <c r="CJ18" s="332">
        <f t="shared" si="25"/>
        <v>0</v>
      </c>
      <c r="CK18" s="333">
        <f t="shared" si="26"/>
        <v>0</v>
      </c>
      <c r="CL18" s="334">
        <f t="shared" si="27"/>
        <v>0</v>
      </c>
      <c r="CM18" s="335">
        <f t="shared" si="28"/>
        <v>0</v>
      </c>
      <c r="CN18" s="336">
        <f t="shared" si="29"/>
        <v>0</v>
      </c>
      <c r="CQ18" s="480"/>
    </row>
    <row r="19" spans="1:95" s="33" customFormat="1" ht="21.75" customHeight="1">
      <c r="A19" s="1051" t="s">
        <v>1552</v>
      </c>
      <c r="B19" s="1048" t="s">
        <v>1464</v>
      </c>
      <c r="C19" s="1048" t="s">
        <v>1673</v>
      </c>
      <c r="D19" s="29"/>
      <c r="E19" s="125" t="s">
        <v>106</v>
      </c>
      <c r="F19" s="30"/>
      <c r="G19" s="31"/>
      <c r="H19" s="31"/>
      <c r="I19" s="32"/>
      <c r="J19" s="674" t="s">
        <v>1990</v>
      </c>
      <c r="K19" s="374" t="str">
        <f>IFERROR(VLOOKUP(H19,справочник!$A$3:$B$12,2,0),"нет данных")</f>
        <v>нет данных</v>
      </c>
      <c r="L19" s="326"/>
      <c r="M19" s="399"/>
      <c r="N19" s="346">
        <f t="shared" si="19"/>
        <v>0</v>
      </c>
      <c r="O19" s="455"/>
      <c r="P19" s="352"/>
      <c r="Q19" s="352"/>
      <c r="R19" s="352"/>
      <c r="S19" s="352"/>
      <c r="T19" s="352"/>
      <c r="U19" s="324"/>
      <c r="V19" s="324"/>
      <c r="W19" s="324"/>
      <c r="X19" s="324"/>
      <c r="Y19" s="324"/>
      <c r="Z19" s="325"/>
      <c r="AA19" s="326"/>
      <c r="AB19" s="327">
        <f t="shared" si="30"/>
        <v>0</v>
      </c>
      <c r="AC19" s="328">
        <f t="shared" si="20"/>
        <v>0</v>
      </c>
      <c r="AD19" s="329"/>
      <c r="AE19" s="330"/>
      <c r="AF19" s="330"/>
      <c r="AG19" s="330"/>
      <c r="AH19" s="330"/>
      <c r="AI19" s="330"/>
      <c r="AJ19" s="330"/>
      <c r="AK19" s="330"/>
      <c r="AL19" s="330"/>
      <c r="AM19" s="330"/>
      <c r="AN19" s="330"/>
      <c r="AO19" s="331"/>
      <c r="AP19" s="326"/>
      <c r="AQ19" s="332">
        <f t="shared" si="31"/>
        <v>0</v>
      </c>
      <c r="AR19" s="333">
        <f t="shared" si="32"/>
        <v>0</v>
      </c>
      <c r="AS19" s="329"/>
      <c r="AT19" s="330"/>
      <c r="AU19" s="330"/>
      <c r="AV19" s="330"/>
      <c r="AW19" s="330"/>
      <c r="AX19" s="330"/>
      <c r="AY19" s="330"/>
      <c r="AZ19" s="330"/>
      <c r="BA19" s="330"/>
      <c r="BB19" s="330"/>
      <c r="BC19" s="330"/>
      <c r="BD19" s="331"/>
      <c r="BE19" s="326"/>
      <c r="BF19" s="332">
        <f t="shared" si="21"/>
        <v>0</v>
      </c>
      <c r="BG19" s="333">
        <f t="shared" si="22"/>
        <v>0</v>
      </c>
      <c r="BH19" s="329"/>
      <c r="BI19" s="330"/>
      <c r="BJ19" s="330"/>
      <c r="BK19" s="330"/>
      <c r="BL19" s="330"/>
      <c r="BM19" s="330"/>
      <c r="BN19" s="330"/>
      <c r="BO19" s="330"/>
      <c r="BP19" s="330"/>
      <c r="BQ19" s="330"/>
      <c r="BR19" s="330"/>
      <c r="BS19" s="331"/>
      <c r="BT19" s="326"/>
      <c r="BU19" s="332">
        <f t="shared" si="23"/>
        <v>0</v>
      </c>
      <c r="BV19" s="333">
        <f t="shared" si="24"/>
        <v>0</v>
      </c>
      <c r="BW19" s="329"/>
      <c r="BX19" s="330"/>
      <c r="BY19" s="330"/>
      <c r="BZ19" s="330"/>
      <c r="CA19" s="330"/>
      <c r="CB19" s="330"/>
      <c r="CC19" s="330"/>
      <c r="CD19" s="330"/>
      <c r="CE19" s="330"/>
      <c r="CF19" s="330"/>
      <c r="CG19" s="330"/>
      <c r="CH19" s="331"/>
      <c r="CI19" s="326"/>
      <c r="CJ19" s="332">
        <f t="shared" si="25"/>
        <v>0</v>
      </c>
      <c r="CK19" s="333">
        <f t="shared" si="26"/>
        <v>0</v>
      </c>
      <c r="CL19" s="334">
        <f t="shared" si="27"/>
        <v>0</v>
      </c>
      <c r="CM19" s="335">
        <f t="shared" si="28"/>
        <v>0</v>
      </c>
      <c r="CN19" s="336">
        <f t="shared" si="29"/>
        <v>0</v>
      </c>
      <c r="CQ19" s="480"/>
    </row>
    <row r="20" spans="1:95" s="33" customFormat="1" ht="21.75" customHeight="1">
      <c r="A20" s="1052"/>
      <c r="B20" s="1050"/>
      <c r="C20" s="1050"/>
      <c r="D20" s="29"/>
      <c r="E20" s="125" t="s">
        <v>106</v>
      </c>
      <c r="F20" s="30"/>
      <c r="G20" s="31"/>
      <c r="H20" s="31"/>
      <c r="I20" s="110"/>
      <c r="J20" s="674" t="s">
        <v>1990</v>
      </c>
      <c r="K20" s="374" t="str">
        <f>IFERROR(VLOOKUP(H20,справочник!$A$3:$B$12,2,0),"нет данных")</f>
        <v>нет данных</v>
      </c>
      <c r="L20" s="326"/>
      <c r="M20" s="399"/>
      <c r="N20" s="346">
        <f t="shared" si="19"/>
        <v>0</v>
      </c>
      <c r="O20" s="455"/>
      <c r="P20" s="352"/>
      <c r="Q20" s="352"/>
      <c r="R20" s="352"/>
      <c r="S20" s="352"/>
      <c r="T20" s="352"/>
      <c r="U20" s="324"/>
      <c r="V20" s="324"/>
      <c r="W20" s="324"/>
      <c r="X20" s="324"/>
      <c r="Y20" s="324"/>
      <c r="Z20" s="325"/>
      <c r="AA20" s="326"/>
      <c r="AB20" s="327">
        <f t="shared" si="30"/>
        <v>0</v>
      </c>
      <c r="AC20" s="328">
        <f t="shared" si="20"/>
        <v>0</v>
      </c>
      <c r="AD20" s="329"/>
      <c r="AE20" s="330"/>
      <c r="AF20" s="330"/>
      <c r="AG20" s="330"/>
      <c r="AH20" s="330"/>
      <c r="AI20" s="330"/>
      <c r="AJ20" s="330"/>
      <c r="AK20" s="330"/>
      <c r="AL20" s="330"/>
      <c r="AM20" s="330"/>
      <c r="AN20" s="330"/>
      <c r="AO20" s="331"/>
      <c r="AP20" s="326"/>
      <c r="AQ20" s="332">
        <f t="shared" si="31"/>
        <v>0</v>
      </c>
      <c r="AR20" s="333">
        <f t="shared" si="32"/>
        <v>0</v>
      </c>
      <c r="AS20" s="329"/>
      <c r="AT20" s="330"/>
      <c r="AU20" s="330"/>
      <c r="AV20" s="330"/>
      <c r="AW20" s="330"/>
      <c r="AX20" s="330"/>
      <c r="AY20" s="330"/>
      <c r="AZ20" s="330"/>
      <c r="BA20" s="330"/>
      <c r="BB20" s="330"/>
      <c r="BC20" s="330"/>
      <c r="BD20" s="331"/>
      <c r="BE20" s="326"/>
      <c r="BF20" s="332">
        <f t="shared" si="21"/>
        <v>0</v>
      </c>
      <c r="BG20" s="333">
        <f t="shared" si="22"/>
        <v>0</v>
      </c>
      <c r="BH20" s="329"/>
      <c r="BI20" s="330"/>
      <c r="BJ20" s="330"/>
      <c r="BK20" s="330"/>
      <c r="BL20" s="330"/>
      <c r="BM20" s="330"/>
      <c r="BN20" s="330"/>
      <c r="BO20" s="330"/>
      <c r="BP20" s="330"/>
      <c r="BQ20" s="330"/>
      <c r="BR20" s="330"/>
      <c r="BS20" s="331"/>
      <c r="BT20" s="326"/>
      <c r="BU20" s="332">
        <f t="shared" si="23"/>
        <v>0</v>
      </c>
      <c r="BV20" s="333">
        <f t="shared" si="24"/>
        <v>0</v>
      </c>
      <c r="BW20" s="329"/>
      <c r="BX20" s="330"/>
      <c r="BY20" s="330"/>
      <c r="BZ20" s="330"/>
      <c r="CA20" s="330"/>
      <c r="CB20" s="330"/>
      <c r="CC20" s="330"/>
      <c r="CD20" s="330"/>
      <c r="CE20" s="330"/>
      <c r="CF20" s="330"/>
      <c r="CG20" s="330"/>
      <c r="CH20" s="331"/>
      <c r="CI20" s="326"/>
      <c r="CJ20" s="332">
        <f t="shared" si="25"/>
        <v>0</v>
      </c>
      <c r="CK20" s="333">
        <f t="shared" si="26"/>
        <v>0</v>
      </c>
      <c r="CL20" s="334">
        <f t="shared" si="27"/>
        <v>0</v>
      </c>
      <c r="CM20" s="335">
        <f t="shared" si="28"/>
        <v>0</v>
      </c>
      <c r="CN20" s="336">
        <f t="shared" si="29"/>
        <v>0</v>
      </c>
      <c r="CQ20" s="480"/>
    </row>
    <row r="21" spans="1:95" s="33" customFormat="1" ht="21.75" customHeight="1">
      <c r="A21" s="1051" t="s">
        <v>1553</v>
      </c>
      <c r="B21" s="1048" t="s">
        <v>1465</v>
      </c>
      <c r="C21" s="1048" t="s">
        <v>111</v>
      </c>
      <c r="D21" s="29"/>
      <c r="E21" s="125" t="s">
        <v>106</v>
      </c>
      <c r="F21" s="30"/>
      <c r="G21" s="31"/>
      <c r="H21" s="31"/>
      <c r="I21" s="32"/>
      <c r="J21" s="674" t="s">
        <v>1990</v>
      </c>
      <c r="K21" s="374" t="str">
        <f>IFERROR(VLOOKUP(H21,справочник!$A$3:$B$12,2,0),"нет данных")</f>
        <v>нет данных</v>
      </c>
      <c r="L21" s="326"/>
      <c r="M21" s="399"/>
      <c r="N21" s="346">
        <f t="shared" si="19"/>
        <v>0</v>
      </c>
      <c r="O21" s="455"/>
      <c r="P21" s="352"/>
      <c r="Q21" s="352"/>
      <c r="R21" s="352"/>
      <c r="S21" s="352"/>
      <c r="T21" s="352"/>
      <c r="U21" s="324"/>
      <c r="V21" s="324"/>
      <c r="W21" s="324"/>
      <c r="X21" s="324"/>
      <c r="Y21" s="324"/>
      <c r="Z21" s="325"/>
      <c r="AA21" s="326"/>
      <c r="AB21" s="327">
        <f t="shared" si="30"/>
        <v>0</v>
      </c>
      <c r="AC21" s="328">
        <f t="shared" si="20"/>
        <v>0</v>
      </c>
      <c r="AD21" s="329"/>
      <c r="AE21" s="330"/>
      <c r="AF21" s="330"/>
      <c r="AG21" s="330"/>
      <c r="AH21" s="330"/>
      <c r="AI21" s="330"/>
      <c r="AJ21" s="330"/>
      <c r="AK21" s="330"/>
      <c r="AL21" s="330"/>
      <c r="AM21" s="330"/>
      <c r="AN21" s="330"/>
      <c r="AO21" s="331"/>
      <c r="AP21" s="326"/>
      <c r="AQ21" s="332">
        <f t="shared" si="31"/>
        <v>0</v>
      </c>
      <c r="AR21" s="333">
        <f t="shared" si="32"/>
        <v>0</v>
      </c>
      <c r="AS21" s="329"/>
      <c r="AT21" s="330"/>
      <c r="AU21" s="330"/>
      <c r="AV21" s="330"/>
      <c r="AW21" s="330"/>
      <c r="AX21" s="330"/>
      <c r="AY21" s="330"/>
      <c r="AZ21" s="330"/>
      <c r="BA21" s="330"/>
      <c r="BB21" s="330"/>
      <c r="BC21" s="330"/>
      <c r="BD21" s="331"/>
      <c r="BE21" s="326"/>
      <c r="BF21" s="332">
        <f t="shared" si="21"/>
        <v>0</v>
      </c>
      <c r="BG21" s="333">
        <f t="shared" si="22"/>
        <v>0</v>
      </c>
      <c r="BH21" s="329"/>
      <c r="BI21" s="330"/>
      <c r="BJ21" s="330"/>
      <c r="BK21" s="330"/>
      <c r="BL21" s="330"/>
      <c r="BM21" s="330"/>
      <c r="BN21" s="330"/>
      <c r="BO21" s="330"/>
      <c r="BP21" s="330"/>
      <c r="BQ21" s="330"/>
      <c r="BR21" s="330"/>
      <c r="BS21" s="331"/>
      <c r="BT21" s="326"/>
      <c r="BU21" s="332">
        <f t="shared" si="23"/>
        <v>0</v>
      </c>
      <c r="BV21" s="333">
        <f t="shared" si="24"/>
        <v>0</v>
      </c>
      <c r="BW21" s="329"/>
      <c r="BX21" s="330"/>
      <c r="BY21" s="330"/>
      <c r="BZ21" s="330"/>
      <c r="CA21" s="330"/>
      <c r="CB21" s="330"/>
      <c r="CC21" s="330"/>
      <c r="CD21" s="330"/>
      <c r="CE21" s="330"/>
      <c r="CF21" s="330"/>
      <c r="CG21" s="330"/>
      <c r="CH21" s="331"/>
      <c r="CI21" s="326"/>
      <c r="CJ21" s="332">
        <f t="shared" si="25"/>
        <v>0</v>
      </c>
      <c r="CK21" s="333">
        <f t="shared" si="26"/>
        <v>0</v>
      </c>
      <c r="CL21" s="334">
        <f t="shared" si="27"/>
        <v>0</v>
      </c>
      <c r="CM21" s="335">
        <f t="shared" si="28"/>
        <v>0</v>
      </c>
      <c r="CN21" s="336">
        <f t="shared" si="29"/>
        <v>0</v>
      </c>
      <c r="CQ21" s="480"/>
    </row>
    <row r="22" spans="1:95" s="33" customFormat="1" ht="21.75" customHeight="1">
      <c r="A22" s="1052"/>
      <c r="B22" s="1050"/>
      <c r="C22" s="1050"/>
      <c r="D22" s="29"/>
      <c r="E22" s="125" t="s">
        <v>106</v>
      </c>
      <c r="F22" s="30"/>
      <c r="G22" s="31"/>
      <c r="H22" s="31"/>
      <c r="I22" s="110"/>
      <c r="J22" s="674" t="s">
        <v>1990</v>
      </c>
      <c r="K22" s="374" t="str">
        <f>IFERROR(VLOOKUP(H22,справочник!$A$3:$B$12,2,0),"нет данных")</f>
        <v>нет данных</v>
      </c>
      <c r="L22" s="326"/>
      <c r="M22" s="399"/>
      <c r="N22" s="346">
        <f t="shared" si="19"/>
        <v>0</v>
      </c>
      <c r="O22" s="455"/>
      <c r="P22" s="352"/>
      <c r="Q22" s="352"/>
      <c r="R22" s="352"/>
      <c r="S22" s="352"/>
      <c r="T22" s="352"/>
      <c r="U22" s="324"/>
      <c r="V22" s="324"/>
      <c r="W22" s="324"/>
      <c r="X22" s="324"/>
      <c r="Y22" s="324"/>
      <c r="Z22" s="325"/>
      <c r="AA22" s="326"/>
      <c r="AB22" s="327">
        <f t="shared" si="30"/>
        <v>0</v>
      </c>
      <c r="AC22" s="328">
        <f t="shared" si="20"/>
        <v>0</v>
      </c>
      <c r="AD22" s="329"/>
      <c r="AE22" s="330"/>
      <c r="AF22" s="330"/>
      <c r="AG22" s="330"/>
      <c r="AH22" s="330"/>
      <c r="AI22" s="330"/>
      <c r="AJ22" s="330"/>
      <c r="AK22" s="330"/>
      <c r="AL22" s="330"/>
      <c r="AM22" s="330"/>
      <c r="AN22" s="330"/>
      <c r="AO22" s="331"/>
      <c r="AP22" s="326"/>
      <c r="AQ22" s="332">
        <f t="shared" si="31"/>
        <v>0</v>
      </c>
      <c r="AR22" s="333">
        <f t="shared" si="32"/>
        <v>0</v>
      </c>
      <c r="AS22" s="329"/>
      <c r="AT22" s="330"/>
      <c r="AU22" s="330"/>
      <c r="AV22" s="330"/>
      <c r="AW22" s="330"/>
      <c r="AX22" s="330"/>
      <c r="AY22" s="330"/>
      <c r="AZ22" s="330"/>
      <c r="BA22" s="330"/>
      <c r="BB22" s="330"/>
      <c r="BC22" s="330"/>
      <c r="BD22" s="331"/>
      <c r="BE22" s="326"/>
      <c r="BF22" s="332">
        <f t="shared" si="21"/>
        <v>0</v>
      </c>
      <c r="BG22" s="333">
        <f t="shared" si="22"/>
        <v>0</v>
      </c>
      <c r="BH22" s="329"/>
      <c r="BI22" s="330"/>
      <c r="BJ22" s="330"/>
      <c r="BK22" s="330"/>
      <c r="BL22" s="330"/>
      <c r="BM22" s="330"/>
      <c r="BN22" s="330"/>
      <c r="BO22" s="330"/>
      <c r="BP22" s="330"/>
      <c r="BQ22" s="330"/>
      <c r="BR22" s="330"/>
      <c r="BS22" s="331"/>
      <c r="BT22" s="326"/>
      <c r="BU22" s="332">
        <f t="shared" si="23"/>
        <v>0</v>
      </c>
      <c r="BV22" s="333">
        <f t="shared" si="24"/>
        <v>0</v>
      </c>
      <c r="BW22" s="329"/>
      <c r="BX22" s="330"/>
      <c r="BY22" s="330"/>
      <c r="BZ22" s="330"/>
      <c r="CA22" s="330"/>
      <c r="CB22" s="330"/>
      <c r="CC22" s="330"/>
      <c r="CD22" s="330"/>
      <c r="CE22" s="330"/>
      <c r="CF22" s="330"/>
      <c r="CG22" s="330"/>
      <c r="CH22" s="331"/>
      <c r="CI22" s="326"/>
      <c r="CJ22" s="332">
        <f t="shared" si="25"/>
        <v>0</v>
      </c>
      <c r="CK22" s="333">
        <f t="shared" si="26"/>
        <v>0</v>
      </c>
      <c r="CL22" s="334">
        <f t="shared" si="27"/>
        <v>0</v>
      </c>
      <c r="CM22" s="335">
        <f t="shared" si="28"/>
        <v>0</v>
      </c>
      <c r="CN22" s="336">
        <f t="shared" si="29"/>
        <v>0</v>
      </c>
      <c r="CQ22" s="480"/>
    </row>
    <row r="23" spans="1:95" s="33" customFormat="1" ht="21.75" customHeight="1">
      <c r="A23" s="1051" t="s">
        <v>1554</v>
      </c>
      <c r="B23" s="1048" t="s">
        <v>1466</v>
      </c>
      <c r="C23" s="1048" t="s">
        <v>79</v>
      </c>
      <c r="D23" s="29"/>
      <c r="E23" s="125" t="s">
        <v>106</v>
      </c>
      <c r="F23" s="30"/>
      <c r="G23" s="31"/>
      <c r="H23" s="31"/>
      <c r="I23" s="32"/>
      <c r="J23" s="674" t="s">
        <v>1990</v>
      </c>
      <c r="K23" s="374" t="str">
        <f>IFERROR(VLOOKUP(H23,справочник!$A$3:$B$12,2,0),"нет данных")</f>
        <v>нет данных</v>
      </c>
      <c r="L23" s="326"/>
      <c r="M23" s="399"/>
      <c r="N23" s="346">
        <f t="shared" si="19"/>
        <v>0</v>
      </c>
      <c r="O23" s="455"/>
      <c r="P23" s="352"/>
      <c r="Q23" s="352"/>
      <c r="R23" s="352"/>
      <c r="S23" s="352"/>
      <c r="T23" s="352"/>
      <c r="U23" s="324"/>
      <c r="V23" s="324"/>
      <c r="W23" s="324"/>
      <c r="X23" s="324"/>
      <c r="Y23" s="324"/>
      <c r="Z23" s="325"/>
      <c r="AA23" s="326"/>
      <c r="AB23" s="327">
        <f t="shared" si="30"/>
        <v>0</v>
      </c>
      <c r="AC23" s="328">
        <f t="shared" si="20"/>
        <v>0</v>
      </c>
      <c r="AD23" s="329"/>
      <c r="AE23" s="330"/>
      <c r="AF23" s="330"/>
      <c r="AG23" s="330"/>
      <c r="AH23" s="330"/>
      <c r="AI23" s="330"/>
      <c r="AJ23" s="330"/>
      <c r="AK23" s="330"/>
      <c r="AL23" s="330"/>
      <c r="AM23" s="330"/>
      <c r="AN23" s="330"/>
      <c r="AO23" s="331"/>
      <c r="AP23" s="326"/>
      <c r="AQ23" s="332">
        <f t="shared" si="31"/>
        <v>0</v>
      </c>
      <c r="AR23" s="333">
        <f t="shared" si="32"/>
        <v>0</v>
      </c>
      <c r="AS23" s="329"/>
      <c r="AT23" s="330"/>
      <c r="AU23" s="330"/>
      <c r="AV23" s="330"/>
      <c r="AW23" s="330"/>
      <c r="AX23" s="330"/>
      <c r="AY23" s="330"/>
      <c r="AZ23" s="330"/>
      <c r="BA23" s="330"/>
      <c r="BB23" s="330"/>
      <c r="BC23" s="330"/>
      <c r="BD23" s="331"/>
      <c r="BE23" s="326"/>
      <c r="BF23" s="332">
        <f t="shared" si="21"/>
        <v>0</v>
      </c>
      <c r="BG23" s="333">
        <f t="shared" si="22"/>
        <v>0</v>
      </c>
      <c r="BH23" s="329"/>
      <c r="BI23" s="330"/>
      <c r="BJ23" s="330"/>
      <c r="BK23" s="330"/>
      <c r="BL23" s="330"/>
      <c r="BM23" s="330"/>
      <c r="BN23" s="330"/>
      <c r="BO23" s="330"/>
      <c r="BP23" s="330"/>
      <c r="BQ23" s="330"/>
      <c r="BR23" s="330"/>
      <c r="BS23" s="331"/>
      <c r="BT23" s="326"/>
      <c r="BU23" s="332">
        <f t="shared" si="23"/>
        <v>0</v>
      </c>
      <c r="BV23" s="333">
        <f t="shared" si="24"/>
        <v>0</v>
      </c>
      <c r="BW23" s="329"/>
      <c r="BX23" s="330"/>
      <c r="BY23" s="330"/>
      <c r="BZ23" s="330"/>
      <c r="CA23" s="330"/>
      <c r="CB23" s="330"/>
      <c r="CC23" s="330"/>
      <c r="CD23" s="330"/>
      <c r="CE23" s="330"/>
      <c r="CF23" s="330"/>
      <c r="CG23" s="330"/>
      <c r="CH23" s="331"/>
      <c r="CI23" s="326"/>
      <c r="CJ23" s="332">
        <f t="shared" si="25"/>
        <v>0</v>
      </c>
      <c r="CK23" s="333">
        <f t="shared" si="26"/>
        <v>0</v>
      </c>
      <c r="CL23" s="334">
        <f t="shared" si="27"/>
        <v>0</v>
      </c>
      <c r="CM23" s="335">
        <f t="shared" si="28"/>
        <v>0</v>
      </c>
      <c r="CN23" s="336">
        <f t="shared" si="29"/>
        <v>0</v>
      </c>
      <c r="CQ23" s="480"/>
    </row>
    <row r="24" spans="1:95" s="33" customFormat="1" ht="21.75" customHeight="1">
      <c r="A24" s="1052"/>
      <c r="B24" s="1050"/>
      <c r="C24" s="1050"/>
      <c r="D24" s="29"/>
      <c r="E24" s="125" t="s">
        <v>106</v>
      </c>
      <c r="F24" s="30"/>
      <c r="G24" s="31"/>
      <c r="H24" s="31"/>
      <c r="I24" s="110"/>
      <c r="J24" s="674" t="s">
        <v>1990</v>
      </c>
      <c r="K24" s="374" t="str">
        <f>IFERROR(VLOOKUP(H24,справочник!$A$3:$B$12,2,0),"нет данных")</f>
        <v>нет данных</v>
      </c>
      <c r="L24" s="326"/>
      <c r="M24" s="399"/>
      <c r="N24" s="346">
        <f t="shared" si="19"/>
        <v>0</v>
      </c>
      <c r="O24" s="455"/>
      <c r="P24" s="352"/>
      <c r="Q24" s="352"/>
      <c r="R24" s="352"/>
      <c r="S24" s="352"/>
      <c r="T24" s="352"/>
      <c r="U24" s="324"/>
      <c r="V24" s="324"/>
      <c r="W24" s="324"/>
      <c r="X24" s="324"/>
      <c r="Y24" s="324"/>
      <c r="Z24" s="325"/>
      <c r="AA24" s="326"/>
      <c r="AB24" s="327">
        <f t="shared" si="30"/>
        <v>0</v>
      </c>
      <c r="AC24" s="328">
        <f t="shared" si="20"/>
        <v>0</v>
      </c>
      <c r="AD24" s="329"/>
      <c r="AE24" s="330"/>
      <c r="AF24" s="330"/>
      <c r="AG24" s="330"/>
      <c r="AH24" s="330"/>
      <c r="AI24" s="330"/>
      <c r="AJ24" s="330"/>
      <c r="AK24" s="330"/>
      <c r="AL24" s="330"/>
      <c r="AM24" s="330"/>
      <c r="AN24" s="330"/>
      <c r="AO24" s="331"/>
      <c r="AP24" s="326"/>
      <c r="AQ24" s="332">
        <f t="shared" si="31"/>
        <v>0</v>
      </c>
      <c r="AR24" s="333">
        <f t="shared" si="32"/>
        <v>0</v>
      </c>
      <c r="AS24" s="329"/>
      <c r="AT24" s="330"/>
      <c r="AU24" s="330"/>
      <c r="AV24" s="330"/>
      <c r="AW24" s="330"/>
      <c r="AX24" s="330"/>
      <c r="AY24" s="330"/>
      <c r="AZ24" s="330"/>
      <c r="BA24" s="330"/>
      <c r="BB24" s="330"/>
      <c r="BC24" s="330"/>
      <c r="BD24" s="331"/>
      <c r="BE24" s="326"/>
      <c r="BF24" s="332">
        <f t="shared" si="21"/>
        <v>0</v>
      </c>
      <c r="BG24" s="333">
        <f t="shared" si="22"/>
        <v>0</v>
      </c>
      <c r="BH24" s="329"/>
      <c r="BI24" s="330"/>
      <c r="BJ24" s="330"/>
      <c r="BK24" s="330"/>
      <c r="BL24" s="330"/>
      <c r="BM24" s="330"/>
      <c r="BN24" s="330"/>
      <c r="BO24" s="330"/>
      <c r="BP24" s="330"/>
      <c r="BQ24" s="330"/>
      <c r="BR24" s="330"/>
      <c r="BS24" s="331"/>
      <c r="BT24" s="326"/>
      <c r="BU24" s="332">
        <f t="shared" si="23"/>
        <v>0</v>
      </c>
      <c r="BV24" s="333">
        <f t="shared" si="24"/>
        <v>0</v>
      </c>
      <c r="BW24" s="329"/>
      <c r="BX24" s="330"/>
      <c r="BY24" s="330"/>
      <c r="BZ24" s="330"/>
      <c r="CA24" s="330"/>
      <c r="CB24" s="330"/>
      <c r="CC24" s="330"/>
      <c r="CD24" s="330"/>
      <c r="CE24" s="330"/>
      <c r="CF24" s="330"/>
      <c r="CG24" s="330"/>
      <c r="CH24" s="331"/>
      <c r="CI24" s="326"/>
      <c r="CJ24" s="332">
        <f t="shared" si="25"/>
        <v>0</v>
      </c>
      <c r="CK24" s="333">
        <f t="shared" si="26"/>
        <v>0</v>
      </c>
      <c r="CL24" s="334">
        <f t="shared" si="27"/>
        <v>0</v>
      </c>
      <c r="CM24" s="335">
        <f t="shared" si="28"/>
        <v>0</v>
      </c>
      <c r="CN24" s="336">
        <f t="shared" si="29"/>
        <v>0</v>
      </c>
      <c r="CQ24" s="480"/>
    </row>
    <row r="25" spans="1:95" s="33" customFormat="1" ht="21.75" customHeight="1">
      <c r="A25" s="1051" t="s">
        <v>1555</v>
      </c>
      <c r="B25" s="1048" t="s">
        <v>80</v>
      </c>
      <c r="C25" s="1048" t="s">
        <v>80</v>
      </c>
      <c r="D25" s="29"/>
      <c r="E25" s="125" t="s">
        <v>106</v>
      </c>
      <c r="F25" s="30"/>
      <c r="G25" s="31"/>
      <c r="H25" s="31"/>
      <c r="I25" s="32"/>
      <c r="J25" s="674" t="s">
        <v>1990</v>
      </c>
      <c r="K25" s="374" t="str">
        <f>IFERROR(VLOOKUP(H25,справочник!$A$3:$B$12,2,0),"нет данных")</f>
        <v>нет данных</v>
      </c>
      <c r="L25" s="326"/>
      <c r="M25" s="399"/>
      <c r="N25" s="346">
        <f t="shared" si="19"/>
        <v>0</v>
      </c>
      <c r="O25" s="455"/>
      <c r="P25" s="352"/>
      <c r="Q25" s="352"/>
      <c r="R25" s="352"/>
      <c r="S25" s="352"/>
      <c r="T25" s="352"/>
      <c r="U25" s="324"/>
      <c r="V25" s="324"/>
      <c r="W25" s="324"/>
      <c r="X25" s="324"/>
      <c r="Y25" s="324"/>
      <c r="Z25" s="325"/>
      <c r="AA25" s="326"/>
      <c r="AB25" s="327">
        <f t="shared" si="30"/>
        <v>0</v>
      </c>
      <c r="AC25" s="328">
        <f t="shared" si="20"/>
        <v>0</v>
      </c>
      <c r="AD25" s="329"/>
      <c r="AE25" s="330"/>
      <c r="AF25" s="330"/>
      <c r="AG25" s="330"/>
      <c r="AH25" s="330"/>
      <c r="AI25" s="330"/>
      <c r="AJ25" s="330"/>
      <c r="AK25" s="330"/>
      <c r="AL25" s="330"/>
      <c r="AM25" s="330"/>
      <c r="AN25" s="330"/>
      <c r="AO25" s="331"/>
      <c r="AP25" s="326"/>
      <c r="AQ25" s="332">
        <f t="shared" si="31"/>
        <v>0</v>
      </c>
      <c r="AR25" s="333">
        <f t="shared" si="32"/>
        <v>0</v>
      </c>
      <c r="AS25" s="329"/>
      <c r="AT25" s="330"/>
      <c r="AU25" s="330"/>
      <c r="AV25" s="330"/>
      <c r="AW25" s="330"/>
      <c r="AX25" s="330"/>
      <c r="AY25" s="330"/>
      <c r="AZ25" s="330"/>
      <c r="BA25" s="330"/>
      <c r="BB25" s="330"/>
      <c r="BC25" s="330"/>
      <c r="BD25" s="331"/>
      <c r="BE25" s="326"/>
      <c r="BF25" s="332">
        <f t="shared" si="21"/>
        <v>0</v>
      </c>
      <c r="BG25" s="333">
        <f t="shared" si="22"/>
        <v>0</v>
      </c>
      <c r="BH25" s="329"/>
      <c r="BI25" s="330"/>
      <c r="BJ25" s="330"/>
      <c r="BK25" s="330"/>
      <c r="BL25" s="330"/>
      <c r="BM25" s="330"/>
      <c r="BN25" s="330"/>
      <c r="BO25" s="330"/>
      <c r="BP25" s="330"/>
      <c r="BQ25" s="330"/>
      <c r="BR25" s="330"/>
      <c r="BS25" s="331"/>
      <c r="BT25" s="326"/>
      <c r="BU25" s="332">
        <f t="shared" si="23"/>
        <v>0</v>
      </c>
      <c r="BV25" s="333">
        <f t="shared" si="24"/>
        <v>0</v>
      </c>
      <c r="BW25" s="329"/>
      <c r="BX25" s="330"/>
      <c r="BY25" s="330"/>
      <c r="BZ25" s="330"/>
      <c r="CA25" s="330"/>
      <c r="CB25" s="330"/>
      <c r="CC25" s="330"/>
      <c r="CD25" s="330"/>
      <c r="CE25" s="330"/>
      <c r="CF25" s="330"/>
      <c r="CG25" s="330"/>
      <c r="CH25" s="331"/>
      <c r="CI25" s="326"/>
      <c r="CJ25" s="332">
        <f t="shared" si="25"/>
        <v>0</v>
      </c>
      <c r="CK25" s="333">
        <f t="shared" si="26"/>
        <v>0</v>
      </c>
      <c r="CL25" s="334">
        <f t="shared" si="27"/>
        <v>0</v>
      </c>
      <c r="CM25" s="335">
        <f t="shared" si="28"/>
        <v>0</v>
      </c>
      <c r="CN25" s="336">
        <f t="shared" si="29"/>
        <v>0</v>
      </c>
      <c r="CQ25" s="480"/>
    </row>
    <row r="26" spans="1:95" s="33" customFormat="1" ht="21.75" customHeight="1">
      <c r="A26" s="1052"/>
      <c r="B26" s="1050"/>
      <c r="C26" s="1050"/>
      <c r="D26" s="29"/>
      <c r="E26" s="125" t="s">
        <v>106</v>
      </c>
      <c r="F26" s="30"/>
      <c r="G26" s="31"/>
      <c r="H26" s="31"/>
      <c r="I26" s="110"/>
      <c r="J26" s="674" t="s">
        <v>1990</v>
      </c>
      <c r="K26" s="374" t="str">
        <f>IFERROR(VLOOKUP(H26,справочник!$A$3:$B$12,2,0),"нет данных")</f>
        <v>нет данных</v>
      </c>
      <c r="L26" s="326"/>
      <c r="M26" s="399"/>
      <c r="N26" s="346">
        <f t="shared" si="19"/>
        <v>0</v>
      </c>
      <c r="O26" s="455"/>
      <c r="P26" s="352"/>
      <c r="Q26" s="352"/>
      <c r="R26" s="352"/>
      <c r="S26" s="352"/>
      <c r="T26" s="352"/>
      <c r="U26" s="324"/>
      <c r="V26" s="324"/>
      <c r="W26" s="324"/>
      <c r="X26" s="324"/>
      <c r="Y26" s="324"/>
      <c r="Z26" s="325"/>
      <c r="AA26" s="326"/>
      <c r="AB26" s="327">
        <f t="shared" si="30"/>
        <v>0</v>
      </c>
      <c r="AC26" s="328">
        <f t="shared" si="20"/>
        <v>0</v>
      </c>
      <c r="AD26" s="329"/>
      <c r="AE26" s="330"/>
      <c r="AF26" s="330"/>
      <c r="AG26" s="330"/>
      <c r="AH26" s="330"/>
      <c r="AI26" s="330"/>
      <c r="AJ26" s="330"/>
      <c r="AK26" s="330"/>
      <c r="AL26" s="330"/>
      <c r="AM26" s="330"/>
      <c r="AN26" s="330"/>
      <c r="AO26" s="331"/>
      <c r="AP26" s="326"/>
      <c r="AQ26" s="332">
        <f t="shared" si="31"/>
        <v>0</v>
      </c>
      <c r="AR26" s="333">
        <f t="shared" si="32"/>
        <v>0</v>
      </c>
      <c r="AS26" s="329"/>
      <c r="AT26" s="330"/>
      <c r="AU26" s="330"/>
      <c r="AV26" s="330"/>
      <c r="AW26" s="330"/>
      <c r="AX26" s="330"/>
      <c r="AY26" s="330"/>
      <c r="AZ26" s="330"/>
      <c r="BA26" s="330"/>
      <c r="BB26" s="330"/>
      <c r="BC26" s="330"/>
      <c r="BD26" s="331"/>
      <c r="BE26" s="326"/>
      <c r="BF26" s="332">
        <f t="shared" si="21"/>
        <v>0</v>
      </c>
      <c r="BG26" s="333">
        <f t="shared" si="22"/>
        <v>0</v>
      </c>
      <c r="BH26" s="329"/>
      <c r="BI26" s="330"/>
      <c r="BJ26" s="330"/>
      <c r="BK26" s="330"/>
      <c r="BL26" s="330"/>
      <c r="BM26" s="330"/>
      <c r="BN26" s="330"/>
      <c r="BO26" s="330"/>
      <c r="BP26" s="330"/>
      <c r="BQ26" s="330"/>
      <c r="BR26" s="330"/>
      <c r="BS26" s="331"/>
      <c r="BT26" s="326"/>
      <c r="BU26" s="332">
        <f t="shared" si="23"/>
        <v>0</v>
      </c>
      <c r="BV26" s="333">
        <f t="shared" si="24"/>
        <v>0</v>
      </c>
      <c r="BW26" s="329"/>
      <c r="BX26" s="330"/>
      <c r="BY26" s="330"/>
      <c r="BZ26" s="330"/>
      <c r="CA26" s="330"/>
      <c r="CB26" s="330"/>
      <c r="CC26" s="330"/>
      <c r="CD26" s="330"/>
      <c r="CE26" s="330"/>
      <c r="CF26" s="330"/>
      <c r="CG26" s="330"/>
      <c r="CH26" s="331"/>
      <c r="CI26" s="326"/>
      <c r="CJ26" s="332">
        <f t="shared" si="25"/>
        <v>0</v>
      </c>
      <c r="CK26" s="333">
        <f t="shared" si="26"/>
        <v>0</v>
      </c>
      <c r="CL26" s="334">
        <f t="shared" si="27"/>
        <v>0</v>
      </c>
      <c r="CM26" s="335">
        <f t="shared" si="28"/>
        <v>0</v>
      </c>
      <c r="CN26" s="336">
        <f t="shared" si="29"/>
        <v>0</v>
      </c>
      <c r="CQ26" s="480"/>
    </row>
    <row r="27" spans="1:95" s="33" customFormat="1" ht="21.75" customHeight="1">
      <c r="A27" s="1051" t="s">
        <v>1556</v>
      </c>
      <c r="B27" s="1048" t="s">
        <v>1467</v>
      </c>
      <c r="C27" s="1048" t="s">
        <v>81</v>
      </c>
      <c r="D27" s="29"/>
      <c r="E27" s="125" t="s">
        <v>106</v>
      </c>
      <c r="F27" s="30"/>
      <c r="G27" s="31"/>
      <c r="H27" s="31"/>
      <c r="I27" s="32"/>
      <c r="J27" s="674" t="s">
        <v>1990</v>
      </c>
      <c r="K27" s="374" t="str">
        <f>IFERROR(VLOOKUP(H27,справочник!$A$3:$B$12,2,0),"нет данных")</f>
        <v>нет данных</v>
      </c>
      <c r="L27" s="326"/>
      <c r="M27" s="399"/>
      <c r="N27" s="346">
        <f t="shared" si="19"/>
        <v>0</v>
      </c>
      <c r="O27" s="455"/>
      <c r="P27" s="352"/>
      <c r="Q27" s="352"/>
      <c r="R27" s="352"/>
      <c r="S27" s="352"/>
      <c r="T27" s="352"/>
      <c r="U27" s="324"/>
      <c r="V27" s="324"/>
      <c r="W27" s="324"/>
      <c r="X27" s="324"/>
      <c r="Y27" s="324"/>
      <c r="Z27" s="325"/>
      <c r="AA27" s="326"/>
      <c r="AB27" s="327">
        <f t="shared" si="30"/>
        <v>0</v>
      </c>
      <c r="AC27" s="328">
        <f t="shared" si="20"/>
        <v>0</v>
      </c>
      <c r="AD27" s="329"/>
      <c r="AE27" s="330"/>
      <c r="AF27" s="330"/>
      <c r="AG27" s="330"/>
      <c r="AH27" s="330"/>
      <c r="AI27" s="330"/>
      <c r="AJ27" s="330"/>
      <c r="AK27" s="330"/>
      <c r="AL27" s="330"/>
      <c r="AM27" s="330"/>
      <c r="AN27" s="330"/>
      <c r="AO27" s="331"/>
      <c r="AP27" s="326"/>
      <c r="AQ27" s="332">
        <f t="shared" si="31"/>
        <v>0</v>
      </c>
      <c r="AR27" s="333">
        <f t="shared" si="32"/>
        <v>0</v>
      </c>
      <c r="AS27" s="329"/>
      <c r="AT27" s="330"/>
      <c r="AU27" s="330"/>
      <c r="AV27" s="330"/>
      <c r="AW27" s="330"/>
      <c r="AX27" s="330"/>
      <c r="AY27" s="330"/>
      <c r="AZ27" s="330"/>
      <c r="BA27" s="330"/>
      <c r="BB27" s="330"/>
      <c r="BC27" s="330"/>
      <c r="BD27" s="331"/>
      <c r="BE27" s="326"/>
      <c r="BF27" s="332">
        <f t="shared" si="21"/>
        <v>0</v>
      </c>
      <c r="BG27" s="333">
        <f t="shared" si="22"/>
        <v>0</v>
      </c>
      <c r="BH27" s="329"/>
      <c r="BI27" s="330"/>
      <c r="BJ27" s="330"/>
      <c r="BK27" s="330"/>
      <c r="BL27" s="330"/>
      <c r="BM27" s="330"/>
      <c r="BN27" s="330"/>
      <c r="BO27" s="330"/>
      <c r="BP27" s="330"/>
      <c r="BQ27" s="330"/>
      <c r="BR27" s="330"/>
      <c r="BS27" s="331"/>
      <c r="BT27" s="326"/>
      <c r="BU27" s="332">
        <f t="shared" si="23"/>
        <v>0</v>
      </c>
      <c r="BV27" s="333">
        <f t="shared" si="24"/>
        <v>0</v>
      </c>
      <c r="BW27" s="329"/>
      <c r="BX27" s="330"/>
      <c r="BY27" s="330"/>
      <c r="BZ27" s="330"/>
      <c r="CA27" s="330"/>
      <c r="CB27" s="330"/>
      <c r="CC27" s="330"/>
      <c r="CD27" s="330"/>
      <c r="CE27" s="330"/>
      <c r="CF27" s="330"/>
      <c r="CG27" s="330"/>
      <c r="CH27" s="331"/>
      <c r="CI27" s="326"/>
      <c r="CJ27" s="332">
        <f t="shared" si="25"/>
        <v>0</v>
      </c>
      <c r="CK27" s="333">
        <f t="shared" si="26"/>
        <v>0</v>
      </c>
      <c r="CL27" s="334">
        <f t="shared" si="27"/>
        <v>0</v>
      </c>
      <c r="CM27" s="335">
        <f t="shared" si="28"/>
        <v>0</v>
      </c>
      <c r="CN27" s="336">
        <f t="shared" si="29"/>
        <v>0</v>
      </c>
      <c r="CQ27" s="480"/>
    </row>
    <row r="28" spans="1:95" s="33" customFormat="1" ht="21.75" customHeight="1">
      <c r="A28" s="1052"/>
      <c r="B28" s="1050"/>
      <c r="C28" s="1050"/>
      <c r="D28" s="29"/>
      <c r="E28" s="125" t="s">
        <v>106</v>
      </c>
      <c r="F28" s="30"/>
      <c r="G28" s="31"/>
      <c r="H28" s="31"/>
      <c r="I28" s="110"/>
      <c r="J28" s="674" t="s">
        <v>1990</v>
      </c>
      <c r="K28" s="374" t="str">
        <f>IFERROR(VLOOKUP(H28,справочник!$A$3:$B$12,2,0),"нет данных")</f>
        <v>нет данных</v>
      </c>
      <c r="L28" s="326"/>
      <c r="M28" s="399"/>
      <c r="N28" s="346">
        <f t="shared" si="19"/>
        <v>0</v>
      </c>
      <c r="O28" s="455"/>
      <c r="P28" s="352"/>
      <c r="Q28" s="352"/>
      <c r="R28" s="352"/>
      <c r="S28" s="352"/>
      <c r="T28" s="352"/>
      <c r="U28" s="324"/>
      <c r="V28" s="324"/>
      <c r="W28" s="324"/>
      <c r="X28" s="324"/>
      <c r="Y28" s="324"/>
      <c r="Z28" s="325"/>
      <c r="AA28" s="326"/>
      <c r="AB28" s="327">
        <f t="shared" si="30"/>
        <v>0</v>
      </c>
      <c r="AC28" s="328">
        <f t="shared" si="20"/>
        <v>0</v>
      </c>
      <c r="AD28" s="329"/>
      <c r="AE28" s="330"/>
      <c r="AF28" s="330"/>
      <c r="AG28" s="330"/>
      <c r="AH28" s="330"/>
      <c r="AI28" s="330"/>
      <c r="AJ28" s="330"/>
      <c r="AK28" s="330"/>
      <c r="AL28" s="330"/>
      <c r="AM28" s="330"/>
      <c r="AN28" s="330"/>
      <c r="AO28" s="331"/>
      <c r="AP28" s="326"/>
      <c r="AQ28" s="332">
        <f t="shared" si="31"/>
        <v>0</v>
      </c>
      <c r="AR28" s="333">
        <f t="shared" si="32"/>
        <v>0</v>
      </c>
      <c r="AS28" s="329"/>
      <c r="AT28" s="330"/>
      <c r="AU28" s="330"/>
      <c r="AV28" s="330"/>
      <c r="AW28" s="330"/>
      <c r="AX28" s="330"/>
      <c r="AY28" s="330"/>
      <c r="AZ28" s="330"/>
      <c r="BA28" s="330"/>
      <c r="BB28" s="330"/>
      <c r="BC28" s="330"/>
      <c r="BD28" s="331"/>
      <c r="BE28" s="326"/>
      <c r="BF28" s="332">
        <f t="shared" si="21"/>
        <v>0</v>
      </c>
      <c r="BG28" s="333">
        <f t="shared" si="22"/>
        <v>0</v>
      </c>
      <c r="BH28" s="329"/>
      <c r="BI28" s="330"/>
      <c r="BJ28" s="330"/>
      <c r="BK28" s="330"/>
      <c r="BL28" s="330"/>
      <c r="BM28" s="330"/>
      <c r="BN28" s="330"/>
      <c r="BO28" s="330"/>
      <c r="BP28" s="330"/>
      <c r="BQ28" s="330"/>
      <c r="BR28" s="330"/>
      <c r="BS28" s="331"/>
      <c r="BT28" s="326"/>
      <c r="BU28" s="332">
        <f t="shared" si="23"/>
        <v>0</v>
      </c>
      <c r="BV28" s="333">
        <f t="shared" si="24"/>
        <v>0</v>
      </c>
      <c r="BW28" s="329"/>
      <c r="BX28" s="330"/>
      <c r="BY28" s="330"/>
      <c r="BZ28" s="330"/>
      <c r="CA28" s="330"/>
      <c r="CB28" s="330"/>
      <c r="CC28" s="330"/>
      <c r="CD28" s="330"/>
      <c r="CE28" s="330"/>
      <c r="CF28" s="330"/>
      <c r="CG28" s="330"/>
      <c r="CH28" s="331"/>
      <c r="CI28" s="326"/>
      <c r="CJ28" s="332">
        <f t="shared" si="25"/>
        <v>0</v>
      </c>
      <c r="CK28" s="333">
        <f t="shared" si="26"/>
        <v>0</v>
      </c>
      <c r="CL28" s="334">
        <f t="shared" si="27"/>
        <v>0</v>
      </c>
      <c r="CM28" s="335">
        <f t="shared" si="28"/>
        <v>0</v>
      </c>
      <c r="CN28" s="336">
        <f t="shared" si="29"/>
        <v>0</v>
      </c>
      <c r="CQ28" s="480"/>
    </row>
    <row r="29" spans="1:95" s="33" customFormat="1" ht="21.75" customHeight="1">
      <c r="A29" s="1051" t="s">
        <v>1557</v>
      </c>
      <c r="B29" s="1048" t="s">
        <v>1468</v>
      </c>
      <c r="C29" s="1048" t="s">
        <v>121</v>
      </c>
      <c r="D29" s="29"/>
      <c r="E29" s="125" t="s">
        <v>106</v>
      </c>
      <c r="F29" s="30"/>
      <c r="G29" s="31"/>
      <c r="H29" s="31"/>
      <c r="I29" s="32"/>
      <c r="J29" s="674" t="s">
        <v>1990</v>
      </c>
      <c r="K29" s="374" t="str">
        <f>IFERROR(VLOOKUP(H29,справочник!$A$3:$B$12,2,0),"нет данных")</f>
        <v>нет данных</v>
      </c>
      <c r="L29" s="326"/>
      <c r="M29" s="399"/>
      <c r="N29" s="346">
        <f t="shared" si="19"/>
        <v>0</v>
      </c>
      <c r="O29" s="455"/>
      <c r="P29" s="352"/>
      <c r="Q29" s="352"/>
      <c r="R29" s="352"/>
      <c r="S29" s="352"/>
      <c r="T29" s="352"/>
      <c r="U29" s="324"/>
      <c r="V29" s="324"/>
      <c r="W29" s="324"/>
      <c r="X29" s="324"/>
      <c r="Y29" s="324"/>
      <c r="Z29" s="325"/>
      <c r="AA29" s="326"/>
      <c r="AB29" s="327">
        <f t="shared" si="30"/>
        <v>0</v>
      </c>
      <c r="AC29" s="328">
        <f t="shared" si="20"/>
        <v>0</v>
      </c>
      <c r="AD29" s="329"/>
      <c r="AE29" s="330"/>
      <c r="AF29" s="330"/>
      <c r="AG29" s="330"/>
      <c r="AH29" s="330"/>
      <c r="AI29" s="330"/>
      <c r="AJ29" s="330"/>
      <c r="AK29" s="330"/>
      <c r="AL29" s="330"/>
      <c r="AM29" s="330"/>
      <c r="AN29" s="330"/>
      <c r="AO29" s="331"/>
      <c r="AP29" s="326"/>
      <c r="AQ29" s="332">
        <f t="shared" si="31"/>
        <v>0</v>
      </c>
      <c r="AR29" s="333">
        <f t="shared" si="32"/>
        <v>0</v>
      </c>
      <c r="AS29" s="329"/>
      <c r="AT29" s="330"/>
      <c r="AU29" s="330"/>
      <c r="AV29" s="330"/>
      <c r="AW29" s="330"/>
      <c r="AX29" s="330"/>
      <c r="AY29" s="330"/>
      <c r="AZ29" s="330"/>
      <c r="BA29" s="330"/>
      <c r="BB29" s="330"/>
      <c r="BC29" s="330"/>
      <c r="BD29" s="331"/>
      <c r="BE29" s="326"/>
      <c r="BF29" s="332">
        <f t="shared" si="21"/>
        <v>0</v>
      </c>
      <c r="BG29" s="333">
        <f t="shared" si="22"/>
        <v>0</v>
      </c>
      <c r="BH29" s="329"/>
      <c r="BI29" s="330"/>
      <c r="BJ29" s="330"/>
      <c r="BK29" s="330"/>
      <c r="BL29" s="330"/>
      <c r="BM29" s="330"/>
      <c r="BN29" s="330"/>
      <c r="BO29" s="330"/>
      <c r="BP29" s="330"/>
      <c r="BQ29" s="330"/>
      <c r="BR29" s="330"/>
      <c r="BS29" s="331"/>
      <c r="BT29" s="326"/>
      <c r="BU29" s="332">
        <f t="shared" si="23"/>
        <v>0</v>
      </c>
      <c r="BV29" s="333">
        <f t="shared" si="24"/>
        <v>0</v>
      </c>
      <c r="BW29" s="329"/>
      <c r="BX29" s="330"/>
      <c r="BY29" s="330"/>
      <c r="BZ29" s="330"/>
      <c r="CA29" s="330"/>
      <c r="CB29" s="330"/>
      <c r="CC29" s="330"/>
      <c r="CD29" s="330"/>
      <c r="CE29" s="330"/>
      <c r="CF29" s="330"/>
      <c r="CG29" s="330"/>
      <c r="CH29" s="331"/>
      <c r="CI29" s="326"/>
      <c r="CJ29" s="332">
        <f t="shared" si="25"/>
        <v>0</v>
      </c>
      <c r="CK29" s="333">
        <f t="shared" si="26"/>
        <v>0</v>
      </c>
      <c r="CL29" s="334">
        <f t="shared" si="27"/>
        <v>0</v>
      </c>
      <c r="CM29" s="335">
        <f t="shared" si="28"/>
        <v>0</v>
      </c>
      <c r="CN29" s="336">
        <f t="shared" si="29"/>
        <v>0</v>
      </c>
      <c r="CQ29" s="480"/>
    </row>
    <row r="30" spans="1:95" s="33" customFormat="1" ht="21.75" customHeight="1">
      <c r="A30" s="1052"/>
      <c r="B30" s="1050"/>
      <c r="C30" s="1050"/>
      <c r="D30" s="29"/>
      <c r="E30" s="125" t="s">
        <v>106</v>
      </c>
      <c r="F30" s="30"/>
      <c r="G30" s="31"/>
      <c r="H30" s="31"/>
      <c r="I30" s="110"/>
      <c r="J30" s="674" t="s">
        <v>1990</v>
      </c>
      <c r="K30" s="374" t="str">
        <f>IFERROR(VLOOKUP(H30,справочник!$A$3:$B$12,2,0),"нет данных")</f>
        <v>нет данных</v>
      </c>
      <c r="L30" s="326"/>
      <c r="M30" s="399"/>
      <c r="N30" s="346">
        <f t="shared" si="19"/>
        <v>0</v>
      </c>
      <c r="O30" s="455"/>
      <c r="P30" s="352"/>
      <c r="Q30" s="352"/>
      <c r="R30" s="352"/>
      <c r="S30" s="352"/>
      <c r="T30" s="352"/>
      <c r="U30" s="324"/>
      <c r="V30" s="324"/>
      <c r="W30" s="324"/>
      <c r="X30" s="324"/>
      <c r="Y30" s="324"/>
      <c r="Z30" s="325"/>
      <c r="AA30" s="326"/>
      <c r="AB30" s="327">
        <f t="shared" si="30"/>
        <v>0</v>
      </c>
      <c r="AC30" s="328">
        <f t="shared" si="20"/>
        <v>0</v>
      </c>
      <c r="AD30" s="329"/>
      <c r="AE30" s="330"/>
      <c r="AF30" s="330"/>
      <c r="AG30" s="330"/>
      <c r="AH30" s="330"/>
      <c r="AI30" s="330"/>
      <c r="AJ30" s="330"/>
      <c r="AK30" s="330"/>
      <c r="AL30" s="330"/>
      <c r="AM30" s="330"/>
      <c r="AN30" s="330"/>
      <c r="AO30" s="331"/>
      <c r="AP30" s="326"/>
      <c r="AQ30" s="332">
        <f t="shared" si="31"/>
        <v>0</v>
      </c>
      <c r="AR30" s="333">
        <f t="shared" si="32"/>
        <v>0</v>
      </c>
      <c r="AS30" s="329"/>
      <c r="AT30" s="330"/>
      <c r="AU30" s="330"/>
      <c r="AV30" s="330"/>
      <c r="AW30" s="330"/>
      <c r="AX30" s="330"/>
      <c r="AY30" s="330"/>
      <c r="AZ30" s="330"/>
      <c r="BA30" s="330"/>
      <c r="BB30" s="330"/>
      <c r="BC30" s="330"/>
      <c r="BD30" s="331"/>
      <c r="BE30" s="326"/>
      <c r="BF30" s="332">
        <f t="shared" si="21"/>
        <v>0</v>
      </c>
      <c r="BG30" s="333">
        <f t="shared" si="22"/>
        <v>0</v>
      </c>
      <c r="BH30" s="329"/>
      <c r="BI30" s="330"/>
      <c r="BJ30" s="330"/>
      <c r="BK30" s="330"/>
      <c r="BL30" s="330"/>
      <c r="BM30" s="330"/>
      <c r="BN30" s="330"/>
      <c r="BO30" s="330"/>
      <c r="BP30" s="330"/>
      <c r="BQ30" s="330"/>
      <c r="BR30" s="330"/>
      <c r="BS30" s="331"/>
      <c r="BT30" s="326"/>
      <c r="BU30" s="332">
        <f t="shared" si="23"/>
        <v>0</v>
      </c>
      <c r="BV30" s="333">
        <f t="shared" si="24"/>
        <v>0</v>
      </c>
      <c r="BW30" s="329"/>
      <c r="BX30" s="330"/>
      <c r="BY30" s="330"/>
      <c r="BZ30" s="330"/>
      <c r="CA30" s="330"/>
      <c r="CB30" s="330"/>
      <c r="CC30" s="330"/>
      <c r="CD30" s="330"/>
      <c r="CE30" s="330"/>
      <c r="CF30" s="330"/>
      <c r="CG30" s="330"/>
      <c r="CH30" s="331"/>
      <c r="CI30" s="326"/>
      <c r="CJ30" s="332">
        <f t="shared" si="25"/>
        <v>0</v>
      </c>
      <c r="CK30" s="333">
        <f t="shared" si="26"/>
        <v>0</v>
      </c>
      <c r="CL30" s="334">
        <f t="shared" si="27"/>
        <v>0</v>
      </c>
      <c r="CM30" s="335">
        <f t="shared" si="28"/>
        <v>0</v>
      </c>
      <c r="CN30" s="336">
        <f t="shared" si="29"/>
        <v>0</v>
      </c>
      <c r="CQ30" s="480"/>
    </row>
    <row r="31" spans="1:95" s="33" customFormat="1" ht="21.75" customHeight="1">
      <c r="A31" s="1051" t="s">
        <v>1558</v>
      </c>
      <c r="B31" s="1048" t="s">
        <v>1469</v>
      </c>
      <c r="C31" s="1048" t="s">
        <v>1608</v>
      </c>
      <c r="D31" s="29"/>
      <c r="E31" s="125" t="s">
        <v>106</v>
      </c>
      <c r="F31" s="30"/>
      <c r="G31" s="31"/>
      <c r="H31" s="31"/>
      <c r="I31" s="32"/>
      <c r="J31" s="674" t="s">
        <v>1990</v>
      </c>
      <c r="K31" s="374" t="str">
        <f>IFERROR(VLOOKUP(H31,справочник!$A$3:$B$12,2,0),"нет данных")</f>
        <v>нет данных</v>
      </c>
      <c r="L31" s="326"/>
      <c r="M31" s="399"/>
      <c r="N31" s="346">
        <f t="shared" si="19"/>
        <v>0</v>
      </c>
      <c r="O31" s="455"/>
      <c r="P31" s="352"/>
      <c r="Q31" s="352"/>
      <c r="R31" s="352"/>
      <c r="S31" s="352"/>
      <c r="T31" s="352"/>
      <c r="U31" s="324"/>
      <c r="V31" s="324"/>
      <c r="W31" s="324"/>
      <c r="X31" s="324"/>
      <c r="Y31" s="324"/>
      <c r="Z31" s="325"/>
      <c r="AA31" s="326"/>
      <c r="AB31" s="327">
        <f t="shared" si="30"/>
        <v>0</v>
      </c>
      <c r="AC31" s="328">
        <f t="shared" si="20"/>
        <v>0</v>
      </c>
      <c r="AD31" s="329"/>
      <c r="AE31" s="330"/>
      <c r="AF31" s="330"/>
      <c r="AG31" s="330"/>
      <c r="AH31" s="330"/>
      <c r="AI31" s="330"/>
      <c r="AJ31" s="330"/>
      <c r="AK31" s="330"/>
      <c r="AL31" s="330"/>
      <c r="AM31" s="330"/>
      <c r="AN31" s="330"/>
      <c r="AO31" s="331"/>
      <c r="AP31" s="326"/>
      <c r="AQ31" s="332">
        <f t="shared" si="31"/>
        <v>0</v>
      </c>
      <c r="AR31" s="333">
        <f t="shared" si="32"/>
        <v>0</v>
      </c>
      <c r="AS31" s="329"/>
      <c r="AT31" s="330"/>
      <c r="AU31" s="330"/>
      <c r="AV31" s="330"/>
      <c r="AW31" s="330"/>
      <c r="AX31" s="330"/>
      <c r="AY31" s="330"/>
      <c r="AZ31" s="330"/>
      <c r="BA31" s="330"/>
      <c r="BB31" s="330"/>
      <c r="BC31" s="330"/>
      <c r="BD31" s="331"/>
      <c r="BE31" s="326"/>
      <c r="BF31" s="332">
        <f t="shared" si="21"/>
        <v>0</v>
      </c>
      <c r="BG31" s="333">
        <f t="shared" si="22"/>
        <v>0</v>
      </c>
      <c r="BH31" s="329"/>
      <c r="BI31" s="330"/>
      <c r="BJ31" s="330"/>
      <c r="BK31" s="330"/>
      <c r="BL31" s="330"/>
      <c r="BM31" s="330"/>
      <c r="BN31" s="330"/>
      <c r="BO31" s="330"/>
      <c r="BP31" s="330"/>
      <c r="BQ31" s="330"/>
      <c r="BR31" s="330"/>
      <c r="BS31" s="331"/>
      <c r="BT31" s="326"/>
      <c r="BU31" s="332">
        <f t="shared" si="23"/>
        <v>0</v>
      </c>
      <c r="BV31" s="333">
        <f t="shared" si="24"/>
        <v>0</v>
      </c>
      <c r="BW31" s="329"/>
      <c r="BX31" s="330"/>
      <c r="BY31" s="330"/>
      <c r="BZ31" s="330"/>
      <c r="CA31" s="330"/>
      <c r="CB31" s="330"/>
      <c r="CC31" s="330"/>
      <c r="CD31" s="330"/>
      <c r="CE31" s="330"/>
      <c r="CF31" s="330"/>
      <c r="CG31" s="330"/>
      <c r="CH31" s="331"/>
      <c r="CI31" s="326"/>
      <c r="CJ31" s="332">
        <f t="shared" si="25"/>
        <v>0</v>
      </c>
      <c r="CK31" s="333">
        <f t="shared" si="26"/>
        <v>0</v>
      </c>
      <c r="CL31" s="334">
        <f t="shared" si="27"/>
        <v>0</v>
      </c>
      <c r="CM31" s="335">
        <f t="shared" si="28"/>
        <v>0</v>
      </c>
      <c r="CN31" s="336">
        <f t="shared" si="29"/>
        <v>0</v>
      </c>
      <c r="CQ31" s="480"/>
    </row>
    <row r="32" spans="1:95" s="33" customFormat="1" ht="21.75" customHeight="1">
      <c r="A32" s="1052"/>
      <c r="B32" s="1050"/>
      <c r="C32" s="1050"/>
      <c r="D32" s="29"/>
      <c r="E32" s="125" t="s">
        <v>106</v>
      </c>
      <c r="F32" s="30"/>
      <c r="G32" s="31"/>
      <c r="H32" s="31"/>
      <c r="I32" s="110"/>
      <c r="J32" s="674" t="s">
        <v>1990</v>
      </c>
      <c r="K32" s="374" t="str">
        <f>IFERROR(VLOOKUP(H32,справочник!$A$3:$B$12,2,0),"нет данных")</f>
        <v>нет данных</v>
      </c>
      <c r="L32" s="326"/>
      <c r="M32" s="399"/>
      <c r="N32" s="346">
        <f t="shared" si="19"/>
        <v>0</v>
      </c>
      <c r="O32" s="455"/>
      <c r="P32" s="352"/>
      <c r="Q32" s="352"/>
      <c r="R32" s="352"/>
      <c r="S32" s="352"/>
      <c r="T32" s="352"/>
      <c r="U32" s="324"/>
      <c r="V32" s="324"/>
      <c r="W32" s="324"/>
      <c r="X32" s="324"/>
      <c r="Y32" s="324"/>
      <c r="Z32" s="325"/>
      <c r="AA32" s="326"/>
      <c r="AB32" s="327">
        <f t="shared" si="30"/>
        <v>0</v>
      </c>
      <c r="AC32" s="328">
        <f t="shared" si="20"/>
        <v>0</v>
      </c>
      <c r="AD32" s="329"/>
      <c r="AE32" s="330"/>
      <c r="AF32" s="330"/>
      <c r="AG32" s="330"/>
      <c r="AH32" s="330"/>
      <c r="AI32" s="330"/>
      <c r="AJ32" s="330"/>
      <c r="AK32" s="330"/>
      <c r="AL32" s="330"/>
      <c r="AM32" s="330"/>
      <c r="AN32" s="330"/>
      <c r="AO32" s="331"/>
      <c r="AP32" s="326"/>
      <c r="AQ32" s="332">
        <f t="shared" si="31"/>
        <v>0</v>
      </c>
      <c r="AR32" s="333">
        <f t="shared" si="32"/>
        <v>0</v>
      </c>
      <c r="AS32" s="329"/>
      <c r="AT32" s="330"/>
      <c r="AU32" s="330"/>
      <c r="AV32" s="330"/>
      <c r="AW32" s="330"/>
      <c r="AX32" s="330"/>
      <c r="AY32" s="330"/>
      <c r="AZ32" s="330"/>
      <c r="BA32" s="330"/>
      <c r="BB32" s="330"/>
      <c r="BC32" s="330"/>
      <c r="BD32" s="331"/>
      <c r="BE32" s="326"/>
      <c r="BF32" s="332">
        <f t="shared" si="21"/>
        <v>0</v>
      </c>
      <c r="BG32" s="333">
        <f t="shared" si="22"/>
        <v>0</v>
      </c>
      <c r="BH32" s="329"/>
      <c r="BI32" s="330"/>
      <c r="BJ32" s="330"/>
      <c r="BK32" s="330"/>
      <c r="BL32" s="330"/>
      <c r="BM32" s="330"/>
      <c r="BN32" s="330"/>
      <c r="BO32" s="330"/>
      <c r="BP32" s="330"/>
      <c r="BQ32" s="330"/>
      <c r="BR32" s="330"/>
      <c r="BS32" s="331"/>
      <c r="BT32" s="326"/>
      <c r="BU32" s="332">
        <f t="shared" si="23"/>
        <v>0</v>
      </c>
      <c r="BV32" s="333">
        <f t="shared" si="24"/>
        <v>0</v>
      </c>
      <c r="BW32" s="329"/>
      <c r="BX32" s="330"/>
      <c r="BY32" s="330"/>
      <c r="BZ32" s="330"/>
      <c r="CA32" s="330"/>
      <c r="CB32" s="330"/>
      <c r="CC32" s="330"/>
      <c r="CD32" s="330"/>
      <c r="CE32" s="330"/>
      <c r="CF32" s="330"/>
      <c r="CG32" s="330"/>
      <c r="CH32" s="331"/>
      <c r="CI32" s="326"/>
      <c r="CJ32" s="332">
        <f t="shared" si="25"/>
        <v>0</v>
      </c>
      <c r="CK32" s="333">
        <f t="shared" si="26"/>
        <v>0</v>
      </c>
      <c r="CL32" s="334">
        <f t="shared" si="27"/>
        <v>0</v>
      </c>
      <c r="CM32" s="335">
        <f t="shared" si="28"/>
        <v>0</v>
      </c>
      <c r="CN32" s="336">
        <f t="shared" si="29"/>
        <v>0</v>
      </c>
      <c r="CQ32" s="480"/>
    </row>
    <row r="33" spans="1:95" s="33" customFormat="1" ht="17.100000000000001" customHeight="1">
      <c r="A33" s="1055" t="s">
        <v>27</v>
      </c>
      <c r="B33" s="1056"/>
      <c r="C33" s="129"/>
      <c r="D33" s="133"/>
      <c r="E33" s="126"/>
      <c r="F33" s="126"/>
      <c r="G33" s="134"/>
      <c r="H33" s="135"/>
      <c r="I33" s="135"/>
      <c r="J33" s="687"/>
      <c r="K33" s="337"/>
      <c r="L33" s="355">
        <f t="shared" ref="L33:AR33" si="33">SUM(L15:L32)</f>
        <v>0</v>
      </c>
      <c r="M33" s="356">
        <f>SUM(M15:M32)</f>
        <v>0</v>
      </c>
      <c r="N33" s="454">
        <f t="shared" si="33"/>
        <v>0</v>
      </c>
      <c r="O33" s="453">
        <f t="shared" si="33"/>
        <v>0</v>
      </c>
      <c r="P33" s="353">
        <f t="shared" si="33"/>
        <v>0</v>
      </c>
      <c r="Q33" s="353">
        <f t="shared" si="33"/>
        <v>0</v>
      </c>
      <c r="R33" s="353">
        <f t="shared" si="33"/>
        <v>0</v>
      </c>
      <c r="S33" s="353">
        <f t="shared" si="33"/>
        <v>0</v>
      </c>
      <c r="T33" s="353">
        <f t="shared" si="33"/>
        <v>0</v>
      </c>
      <c r="U33" s="353">
        <f t="shared" si="33"/>
        <v>0</v>
      </c>
      <c r="V33" s="353">
        <f t="shared" si="33"/>
        <v>0</v>
      </c>
      <c r="W33" s="353">
        <f t="shared" si="33"/>
        <v>0</v>
      </c>
      <c r="X33" s="353">
        <f t="shared" si="33"/>
        <v>0</v>
      </c>
      <c r="Y33" s="353">
        <f t="shared" si="33"/>
        <v>0</v>
      </c>
      <c r="Z33" s="353">
        <f t="shared" si="33"/>
        <v>0</v>
      </c>
      <c r="AA33" s="355">
        <f t="shared" si="33"/>
        <v>0</v>
      </c>
      <c r="AB33" s="356">
        <f t="shared" si="33"/>
        <v>0</v>
      </c>
      <c r="AC33" s="338">
        <f t="shared" si="33"/>
        <v>0</v>
      </c>
      <c r="AD33" s="358">
        <f t="shared" si="33"/>
        <v>0</v>
      </c>
      <c r="AE33" s="358">
        <f t="shared" si="33"/>
        <v>0</v>
      </c>
      <c r="AF33" s="358">
        <f t="shared" si="33"/>
        <v>0</v>
      </c>
      <c r="AG33" s="358">
        <f t="shared" si="33"/>
        <v>0</v>
      </c>
      <c r="AH33" s="358">
        <f t="shared" si="33"/>
        <v>0</v>
      </c>
      <c r="AI33" s="358">
        <f t="shared" si="33"/>
        <v>0</v>
      </c>
      <c r="AJ33" s="358">
        <f t="shared" si="33"/>
        <v>0</v>
      </c>
      <c r="AK33" s="358">
        <f t="shared" si="33"/>
        <v>0</v>
      </c>
      <c r="AL33" s="358">
        <f t="shared" si="33"/>
        <v>0</v>
      </c>
      <c r="AM33" s="358">
        <f t="shared" si="33"/>
        <v>0</v>
      </c>
      <c r="AN33" s="358">
        <f t="shared" si="33"/>
        <v>0</v>
      </c>
      <c r="AO33" s="358">
        <f t="shared" si="33"/>
        <v>0</v>
      </c>
      <c r="AP33" s="359">
        <f t="shared" si="33"/>
        <v>0</v>
      </c>
      <c r="AQ33" s="360">
        <f t="shared" si="33"/>
        <v>0</v>
      </c>
      <c r="AR33" s="361">
        <f t="shared" si="33"/>
        <v>0</v>
      </c>
      <c r="AS33" s="358">
        <f t="shared" ref="AS33:CN33" si="34">SUM(AS15:AS32)</f>
        <v>0</v>
      </c>
      <c r="AT33" s="358">
        <f t="shared" si="34"/>
        <v>0</v>
      </c>
      <c r="AU33" s="358">
        <f t="shared" si="34"/>
        <v>0</v>
      </c>
      <c r="AV33" s="358">
        <f t="shared" si="34"/>
        <v>0</v>
      </c>
      <c r="AW33" s="358">
        <f t="shared" si="34"/>
        <v>0</v>
      </c>
      <c r="AX33" s="358">
        <f t="shared" si="34"/>
        <v>0</v>
      </c>
      <c r="AY33" s="358">
        <f t="shared" si="34"/>
        <v>0</v>
      </c>
      <c r="AZ33" s="358">
        <f t="shared" si="34"/>
        <v>0</v>
      </c>
      <c r="BA33" s="358">
        <f t="shared" si="34"/>
        <v>0</v>
      </c>
      <c r="BB33" s="358">
        <f t="shared" si="34"/>
        <v>0</v>
      </c>
      <c r="BC33" s="358">
        <f t="shared" si="34"/>
        <v>0</v>
      </c>
      <c r="BD33" s="358">
        <f t="shared" si="34"/>
        <v>0</v>
      </c>
      <c r="BE33" s="359">
        <f t="shared" si="34"/>
        <v>0</v>
      </c>
      <c r="BF33" s="360">
        <f t="shared" si="34"/>
        <v>0</v>
      </c>
      <c r="BG33" s="361">
        <f t="shared" si="34"/>
        <v>0</v>
      </c>
      <c r="BH33" s="400"/>
      <c r="BI33" s="400"/>
      <c r="BJ33" s="400"/>
      <c r="BK33" s="400"/>
      <c r="BL33" s="400"/>
      <c r="BM33" s="400"/>
      <c r="BN33" s="400"/>
      <c r="BO33" s="400"/>
      <c r="BP33" s="400"/>
      <c r="BQ33" s="400"/>
      <c r="BR33" s="400"/>
      <c r="BS33" s="400"/>
      <c r="BT33" s="359">
        <f t="shared" si="34"/>
        <v>0</v>
      </c>
      <c r="BU33" s="360">
        <f t="shared" si="34"/>
        <v>0</v>
      </c>
      <c r="BV33" s="361">
        <f t="shared" si="34"/>
        <v>0</v>
      </c>
      <c r="BW33" s="400"/>
      <c r="BX33" s="400"/>
      <c r="BY33" s="400"/>
      <c r="BZ33" s="400"/>
      <c r="CA33" s="400"/>
      <c r="CB33" s="400"/>
      <c r="CC33" s="400"/>
      <c r="CD33" s="400"/>
      <c r="CE33" s="400"/>
      <c r="CF33" s="400"/>
      <c r="CG33" s="400"/>
      <c r="CH33" s="400"/>
      <c r="CI33" s="359">
        <f t="shared" ref="CI33:CK33" si="35">SUM(CI15:CI32)</f>
        <v>0</v>
      </c>
      <c r="CJ33" s="360">
        <f t="shared" si="35"/>
        <v>0</v>
      </c>
      <c r="CK33" s="361">
        <f t="shared" si="35"/>
        <v>0</v>
      </c>
      <c r="CL33" s="362">
        <f t="shared" si="34"/>
        <v>0</v>
      </c>
      <c r="CM33" s="362">
        <f t="shared" si="34"/>
        <v>0</v>
      </c>
      <c r="CN33" s="339">
        <f t="shared" si="34"/>
        <v>0</v>
      </c>
      <c r="CQ33" s="480"/>
    </row>
    <row r="34" spans="1:95" ht="19.5" customHeight="1">
      <c r="A34" s="265" t="s">
        <v>12</v>
      </c>
      <c r="B34" s="1063" t="s">
        <v>1637</v>
      </c>
      <c r="C34" s="1064"/>
      <c r="D34" s="133"/>
      <c r="E34" s="127"/>
      <c r="F34" s="136"/>
      <c r="G34" s="137"/>
      <c r="H34" s="136"/>
      <c r="I34" s="137"/>
      <c r="J34" s="137"/>
      <c r="K34" s="375"/>
      <c r="L34" s="364"/>
      <c r="M34" s="364"/>
      <c r="N34" s="364"/>
      <c r="O34" s="363"/>
      <c r="P34" s="364"/>
      <c r="Q34" s="364"/>
      <c r="R34" s="364"/>
      <c r="S34" s="364"/>
      <c r="T34" s="364"/>
      <c r="U34" s="364"/>
      <c r="V34" s="363"/>
      <c r="W34" s="363"/>
      <c r="X34" s="363"/>
      <c r="Y34" s="363"/>
      <c r="Z34" s="365"/>
      <c r="AA34" s="364"/>
      <c r="AB34" s="364"/>
      <c r="AC34" s="364"/>
      <c r="AD34" s="364"/>
      <c r="AE34" s="364"/>
      <c r="AF34" s="366"/>
      <c r="AG34" s="366"/>
      <c r="AH34" s="366"/>
      <c r="AI34" s="367"/>
      <c r="AJ34" s="366"/>
      <c r="AK34" s="366"/>
      <c r="AL34" s="366"/>
      <c r="AM34" s="366"/>
      <c r="AN34" s="366"/>
      <c r="AO34" s="366"/>
      <c r="AP34" s="366"/>
      <c r="AQ34" s="366"/>
      <c r="AR34" s="366"/>
      <c r="AS34" s="364"/>
      <c r="AT34" s="364"/>
      <c r="AU34" s="366"/>
      <c r="AV34" s="366"/>
      <c r="AW34" s="366"/>
      <c r="AX34" s="367"/>
      <c r="AY34" s="366"/>
      <c r="AZ34" s="366"/>
      <c r="BA34" s="366"/>
      <c r="BB34" s="366"/>
      <c r="BC34" s="366"/>
      <c r="BD34" s="366"/>
      <c r="BE34" s="366"/>
      <c r="BF34" s="366"/>
      <c r="BG34" s="366"/>
      <c r="BH34" s="366"/>
      <c r="BI34" s="366"/>
      <c r="BJ34" s="366"/>
      <c r="BK34" s="366"/>
      <c r="BL34" s="366"/>
      <c r="BM34" s="366"/>
      <c r="BN34" s="366"/>
      <c r="BO34" s="366"/>
      <c r="BP34" s="366"/>
      <c r="BQ34" s="366"/>
      <c r="BR34" s="366"/>
      <c r="BS34" s="366"/>
      <c r="BT34" s="366"/>
      <c r="BU34" s="366"/>
      <c r="BV34" s="366"/>
      <c r="BW34" s="366"/>
      <c r="BX34" s="366"/>
      <c r="BY34" s="366"/>
      <c r="BZ34" s="366"/>
      <c r="CA34" s="366"/>
      <c r="CB34" s="366"/>
      <c r="CC34" s="366"/>
      <c r="CD34" s="366"/>
      <c r="CE34" s="366"/>
      <c r="CF34" s="366"/>
      <c r="CG34" s="366"/>
      <c r="CH34" s="366"/>
      <c r="CI34" s="366"/>
      <c r="CJ34" s="366"/>
      <c r="CK34" s="366"/>
      <c r="CL34" s="363"/>
      <c r="CM34" s="363"/>
      <c r="CN34" s="368"/>
    </row>
    <row r="35" spans="1:95" s="33" customFormat="1" ht="33" customHeight="1">
      <c r="A35" s="1051" t="s">
        <v>1559</v>
      </c>
      <c r="B35" s="1048" t="s">
        <v>1470</v>
      </c>
      <c r="C35" s="1048" t="s">
        <v>1612</v>
      </c>
      <c r="D35" s="34"/>
      <c r="E35" s="125" t="s">
        <v>106</v>
      </c>
      <c r="F35" s="30"/>
      <c r="G35" s="31"/>
      <c r="H35" s="31"/>
      <c r="I35" s="32"/>
      <c r="J35" s="674" t="s">
        <v>1990</v>
      </c>
      <c r="K35" s="374" t="str">
        <f>IFERROR(VLOOKUP(H35,справочник!$A$3:$B$12,2,0),"нет данных")</f>
        <v>нет данных</v>
      </c>
      <c r="L35" s="326"/>
      <c r="M35" s="399"/>
      <c r="N35" s="333">
        <f t="shared" ref="N35:N52" si="36">IFERROR(ROUND((K35*M35+K35*L35),2),0)</f>
        <v>0</v>
      </c>
      <c r="O35" s="394"/>
      <c r="P35" s="352"/>
      <c r="Q35" s="352"/>
      <c r="R35" s="352"/>
      <c r="S35" s="352"/>
      <c r="T35" s="352"/>
      <c r="U35" s="324"/>
      <c r="V35" s="324"/>
      <c r="W35" s="324"/>
      <c r="X35" s="324"/>
      <c r="Y35" s="324"/>
      <c r="Z35" s="325"/>
      <c r="AA35" s="326"/>
      <c r="AB35" s="327">
        <f>SUM(O35:Z35)</f>
        <v>0</v>
      </c>
      <c r="AC35" s="328">
        <f t="shared" ref="AC35:AC52" si="37">IFERROR(ROUND(($K35*AB35+$K35*AA35),2),0)</f>
        <v>0</v>
      </c>
      <c r="AD35" s="329"/>
      <c r="AE35" s="330"/>
      <c r="AF35" s="330"/>
      <c r="AG35" s="330"/>
      <c r="AH35" s="330"/>
      <c r="AI35" s="330"/>
      <c r="AJ35" s="330"/>
      <c r="AK35" s="330"/>
      <c r="AL35" s="330"/>
      <c r="AM35" s="330"/>
      <c r="AN35" s="330"/>
      <c r="AO35" s="331"/>
      <c r="AP35" s="326"/>
      <c r="AQ35" s="332">
        <f>SUM(AD35:AO35)</f>
        <v>0</v>
      </c>
      <c r="AR35" s="333">
        <f t="shared" ref="AR35:AR52" si="38">IFERROR(ROUND(($K35*AQ35+$K35*AP35),2),0)</f>
        <v>0</v>
      </c>
      <c r="AS35" s="329"/>
      <c r="AT35" s="330"/>
      <c r="AU35" s="330"/>
      <c r="AV35" s="330"/>
      <c r="AW35" s="330"/>
      <c r="AX35" s="330"/>
      <c r="AY35" s="330"/>
      <c r="AZ35" s="330"/>
      <c r="BA35" s="330"/>
      <c r="BB35" s="330"/>
      <c r="BC35" s="330"/>
      <c r="BD35" s="331"/>
      <c r="BE35" s="326"/>
      <c r="BF35" s="332">
        <f>SUM(AS35:BD35)</f>
        <v>0</v>
      </c>
      <c r="BG35" s="333">
        <f t="shared" ref="BG35:BG52" si="39">IFERROR(ROUND(($K35*BF35+$K35*BE35),2),0)</f>
        <v>0</v>
      </c>
      <c r="BH35" s="329"/>
      <c r="BI35" s="330"/>
      <c r="BJ35" s="330"/>
      <c r="BK35" s="330"/>
      <c r="BL35" s="330"/>
      <c r="BM35" s="330"/>
      <c r="BN35" s="330"/>
      <c r="BO35" s="330"/>
      <c r="BP35" s="330"/>
      <c r="BQ35" s="330"/>
      <c r="BR35" s="330"/>
      <c r="BS35" s="331"/>
      <c r="BT35" s="326"/>
      <c r="BU35" s="332">
        <f t="shared" ref="BU35:BU52" si="40">SUM(BH35:BS35)</f>
        <v>0</v>
      </c>
      <c r="BV35" s="333">
        <f t="shared" ref="BV35:BV52" si="41">IFERROR(ROUND(($K35*BU35+$K35*BT35),2),0)</f>
        <v>0</v>
      </c>
      <c r="BW35" s="329"/>
      <c r="BX35" s="330"/>
      <c r="BY35" s="330"/>
      <c r="BZ35" s="330"/>
      <c r="CA35" s="330"/>
      <c r="CB35" s="330"/>
      <c r="CC35" s="330"/>
      <c r="CD35" s="330"/>
      <c r="CE35" s="330"/>
      <c r="CF35" s="330"/>
      <c r="CG35" s="330"/>
      <c r="CH35" s="331"/>
      <c r="CI35" s="326"/>
      <c r="CJ35" s="332">
        <f t="shared" ref="CJ35:CJ52" si="42">SUM(BW35:CH35)</f>
        <v>0</v>
      </c>
      <c r="CK35" s="333">
        <f t="shared" ref="CK35:CK52" si="43">IFERROR(ROUND(($K35*CJ35+$K35*CI35),2),0)</f>
        <v>0</v>
      </c>
      <c r="CL35" s="334">
        <f t="shared" ref="CL35:CL52" si="44">AA35+AP35+L35+BE35+BT35+CI35</f>
        <v>0</v>
      </c>
      <c r="CM35" s="335">
        <f t="shared" ref="CM35:CM52" si="45">AB35+AQ35+M35+BF35+BU35+CJ35</f>
        <v>0</v>
      </c>
      <c r="CN35" s="336">
        <f t="shared" ref="CN35:CN52" si="46">AC35+AR35+N35+BG35+BV35+CK35</f>
        <v>0</v>
      </c>
      <c r="CQ35" s="480"/>
    </row>
    <row r="36" spans="1:95" s="33" customFormat="1" ht="33" customHeight="1">
      <c r="A36" s="1052"/>
      <c r="B36" s="1050"/>
      <c r="C36" s="1050"/>
      <c r="D36" s="34"/>
      <c r="E36" s="125" t="s">
        <v>106</v>
      </c>
      <c r="F36" s="30"/>
      <c r="G36" s="31"/>
      <c r="H36" s="31"/>
      <c r="I36" s="110"/>
      <c r="J36" s="674" t="s">
        <v>1990</v>
      </c>
      <c r="K36" s="374" t="str">
        <f>IFERROR(VLOOKUP(H36,справочник!$A$3:$B$12,2,0),"нет данных")</f>
        <v>нет данных</v>
      </c>
      <c r="L36" s="326"/>
      <c r="M36" s="399"/>
      <c r="N36" s="346">
        <f t="shared" si="36"/>
        <v>0</v>
      </c>
      <c r="O36" s="394"/>
      <c r="P36" s="352"/>
      <c r="Q36" s="352"/>
      <c r="R36" s="352"/>
      <c r="S36" s="352"/>
      <c r="T36" s="352"/>
      <c r="U36" s="324"/>
      <c r="V36" s="324"/>
      <c r="W36" s="324"/>
      <c r="X36" s="324"/>
      <c r="Y36" s="324"/>
      <c r="Z36" s="325"/>
      <c r="AA36" s="326"/>
      <c r="AB36" s="327">
        <f t="shared" ref="AB36:AB51" si="47">SUM(O36:Z36)</f>
        <v>0</v>
      </c>
      <c r="AC36" s="328">
        <f t="shared" si="37"/>
        <v>0</v>
      </c>
      <c r="AD36" s="329"/>
      <c r="AE36" s="330"/>
      <c r="AF36" s="330"/>
      <c r="AG36" s="330"/>
      <c r="AH36" s="330"/>
      <c r="AI36" s="330"/>
      <c r="AJ36" s="330"/>
      <c r="AK36" s="330"/>
      <c r="AL36" s="330"/>
      <c r="AM36" s="330"/>
      <c r="AN36" s="330"/>
      <c r="AO36" s="331"/>
      <c r="AP36" s="326"/>
      <c r="AQ36" s="332">
        <f t="shared" ref="AQ36:AQ51" si="48">SUM(AD36:AO36)</f>
        <v>0</v>
      </c>
      <c r="AR36" s="333">
        <f t="shared" si="38"/>
        <v>0</v>
      </c>
      <c r="AS36" s="329"/>
      <c r="AT36" s="330"/>
      <c r="AU36" s="330"/>
      <c r="AV36" s="330"/>
      <c r="AW36" s="330"/>
      <c r="AX36" s="330"/>
      <c r="AY36" s="330"/>
      <c r="AZ36" s="330"/>
      <c r="BA36" s="330"/>
      <c r="BB36" s="330"/>
      <c r="BC36" s="330"/>
      <c r="BD36" s="331"/>
      <c r="BE36" s="326"/>
      <c r="BF36" s="332">
        <f t="shared" ref="BF36:BF51" si="49">SUM(AS36:BD36)</f>
        <v>0</v>
      </c>
      <c r="BG36" s="333">
        <f t="shared" si="39"/>
        <v>0</v>
      </c>
      <c r="BH36" s="329"/>
      <c r="BI36" s="330"/>
      <c r="BJ36" s="330"/>
      <c r="BK36" s="330"/>
      <c r="BL36" s="330"/>
      <c r="BM36" s="330"/>
      <c r="BN36" s="330"/>
      <c r="BO36" s="330"/>
      <c r="BP36" s="330"/>
      <c r="BQ36" s="330"/>
      <c r="BR36" s="330"/>
      <c r="BS36" s="331"/>
      <c r="BT36" s="326"/>
      <c r="BU36" s="332">
        <f t="shared" si="40"/>
        <v>0</v>
      </c>
      <c r="BV36" s="333">
        <f t="shared" si="41"/>
        <v>0</v>
      </c>
      <c r="BW36" s="329"/>
      <c r="BX36" s="330"/>
      <c r="BY36" s="330"/>
      <c r="BZ36" s="330"/>
      <c r="CA36" s="330"/>
      <c r="CB36" s="330"/>
      <c r="CC36" s="330"/>
      <c r="CD36" s="330"/>
      <c r="CE36" s="330"/>
      <c r="CF36" s="330"/>
      <c r="CG36" s="330"/>
      <c r="CH36" s="331"/>
      <c r="CI36" s="326"/>
      <c r="CJ36" s="332">
        <f t="shared" si="42"/>
        <v>0</v>
      </c>
      <c r="CK36" s="333">
        <f t="shared" si="43"/>
        <v>0</v>
      </c>
      <c r="CL36" s="334">
        <f t="shared" si="44"/>
        <v>0</v>
      </c>
      <c r="CM36" s="335">
        <f t="shared" si="45"/>
        <v>0</v>
      </c>
      <c r="CN36" s="336">
        <f t="shared" si="46"/>
        <v>0</v>
      </c>
      <c r="CQ36" s="480"/>
    </row>
    <row r="37" spans="1:95" s="33" customFormat="1" ht="27" customHeight="1">
      <c r="A37" s="1051" t="s">
        <v>1560</v>
      </c>
      <c r="B37" s="1048" t="s">
        <v>1471</v>
      </c>
      <c r="C37" s="1048" t="s">
        <v>1613</v>
      </c>
      <c r="D37" s="34"/>
      <c r="E37" s="125" t="s">
        <v>106</v>
      </c>
      <c r="F37" s="30"/>
      <c r="G37" s="31"/>
      <c r="H37" s="31"/>
      <c r="I37" s="32"/>
      <c r="J37" s="674" t="s">
        <v>1990</v>
      </c>
      <c r="K37" s="374" t="str">
        <f>IFERROR(VLOOKUP(H37,справочник!$A$3:$B$12,2,0),"нет данных")</f>
        <v>нет данных</v>
      </c>
      <c r="L37" s="326"/>
      <c r="M37" s="399"/>
      <c r="N37" s="346">
        <f t="shared" si="36"/>
        <v>0</v>
      </c>
      <c r="O37" s="394"/>
      <c r="P37" s="352"/>
      <c r="Q37" s="352"/>
      <c r="R37" s="352"/>
      <c r="S37" s="352"/>
      <c r="T37" s="352"/>
      <c r="U37" s="324"/>
      <c r="V37" s="324"/>
      <c r="W37" s="324"/>
      <c r="X37" s="324"/>
      <c r="Y37" s="324"/>
      <c r="Z37" s="325"/>
      <c r="AA37" s="326"/>
      <c r="AB37" s="327">
        <f t="shared" si="47"/>
        <v>0</v>
      </c>
      <c r="AC37" s="328">
        <f t="shared" si="37"/>
        <v>0</v>
      </c>
      <c r="AD37" s="329"/>
      <c r="AE37" s="330"/>
      <c r="AF37" s="330"/>
      <c r="AG37" s="330"/>
      <c r="AH37" s="330"/>
      <c r="AI37" s="330"/>
      <c r="AJ37" s="330"/>
      <c r="AK37" s="330"/>
      <c r="AL37" s="330"/>
      <c r="AM37" s="330"/>
      <c r="AN37" s="330"/>
      <c r="AO37" s="331"/>
      <c r="AP37" s="326"/>
      <c r="AQ37" s="332">
        <f t="shared" si="48"/>
        <v>0</v>
      </c>
      <c r="AR37" s="333">
        <f t="shared" si="38"/>
        <v>0</v>
      </c>
      <c r="AS37" s="329"/>
      <c r="AT37" s="330"/>
      <c r="AU37" s="330"/>
      <c r="AV37" s="330"/>
      <c r="AW37" s="330"/>
      <c r="AX37" s="330"/>
      <c r="AY37" s="330"/>
      <c r="AZ37" s="330"/>
      <c r="BA37" s="330"/>
      <c r="BB37" s="330"/>
      <c r="BC37" s="330"/>
      <c r="BD37" s="331"/>
      <c r="BE37" s="326"/>
      <c r="BF37" s="332">
        <f t="shared" si="49"/>
        <v>0</v>
      </c>
      <c r="BG37" s="333">
        <f t="shared" si="39"/>
        <v>0</v>
      </c>
      <c r="BH37" s="329"/>
      <c r="BI37" s="330"/>
      <c r="BJ37" s="330"/>
      <c r="BK37" s="330"/>
      <c r="BL37" s="330"/>
      <c r="BM37" s="330"/>
      <c r="BN37" s="330"/>
      <c r="BO37" s="330"/>
      <c r="BP37" s="330"/>
      <c r="BQ37" s="330"/>
      <c r="BR37" s="330"/>
      <c r="BS37" s="331"/>
      <c r="BT37" s="326"/>
      <c r="BU37" s="332">
        <f t="shared" si="40"/>
        <v>0</v>
      </c>
      <c r="BV37" s="333">
        <f t="shared" si="41"/>
        <v>0</v>
      </c>
      <c r="BW37" s="329"/>
      <c r="BX37" s="330"/>
      <c r="BY37" s="330"/>
      <c r="BZ37" s="330"/>
      <c r="CA37" s="330"/>
      <c r="CB37" s="330"/>
      <c r="CC37" s="330"/>
      <c r="CD37" s="330"/>
      <c r="CE37" s="330"/>
      <c r="CF37" s="330"/>
      <c r="CG37" s="330"/>
      <c r="CH37" s="331"/>
      <c r="CI37" s="326"/>
      <c r="CJ37" s="332">
        <f t="shared" si="42"/>
        <v>0</v>
      </c>
      <c r="CK37" s="333">
        <f t="shared" si="43"/>
        <v>0</v>
      </c>
      <c r="CL37" s="334">
        <f t="shared" si="44"/>
        <v>0</v>
      </c>
      <c r="CM37" s="335">
        <f t="shared" si="45"/>
        <v>0</v>
      </c>
      <c r="CN37" s="336">
        <f t="shared" si="46"/>
        <v>0</v>
      </c>
      <c r="CQ37" s="480"/>
    </row>
    <row r="38" spans="1:95" s="33" customFormat="1" ht="27" customHeight="1">
      <c r="A38" s="1052"/>
      <c r="B38" s="1050"/>
      <c r="C38" s="1050"/>
      <c r="D38" s="34"/>
      <c r="E38" s="125" t="s">
        <v>106</v>
      </c>
      <c r="F38" s="30"/>
      <c r="G38" s="31"/>
      <c r="H38" s="31"/>
      <c r="I38" s="110"/>
      <c r="J38" s="674" t="s">
        <v>1990</v>
      </c>
      <c r="K38" s="374" t="str">
        <f>IFERROR(VLOOKUP(H38,справочник!$A$3:$B$12,2,0),"нет данных")</f>
        <v>нет данных</v>
      </c>
      <c r="L38" s="326"/>
      <c r="M38" s="399"/>
      <c r="N38" s="346">
        <f t="shared" si="36"/>
        <v>0</v>
      </c>
      <c r="O38" s="394"/>
      <c r="P38" s="352"/>
      <c r="Q38" s="352"/>
      <c r="R38" s="352"/>
      <c r="S38" s="352"/>
      <c r="T38" s="352"/>
      <c r="U38" s="324"/>
      <c r="V38" s="324"/>
      <c r="W38" s="324"/>
      <c r="X38" s="324"/>
      <c r="Y38" s="324"/>
      <c r="Z38" s="325"/>
      <c r="AA38" s="326"/>
      <c r="AB38" s="327">
        <f t="shared" si="47"/>
        <v>0</v>
      </c>
      <c r="AC38" s="328">
        <f t="shared" si="37"/>
        <v>0</v>
      </c>
      <c r="AD38" s="329"/>
      <c r="AE38" s="330"/>
      <c r="AF38" s="330"/>
      <c r="AG38" s="330"/>
      <c r="AH38" s="330"/>
      <c r="AI38" s="330"/>
      <c r="AJ38" s="330"/>
      <c r="AK38" s="330"/>
      <c r="AL38" s="330"/>
      <c r="AM38" s="330"/>
      <c r="AN38" s="330"/>
      <c r="AO38" s="331"/>
      <c r="AP38" s="326"/>
      <c r="AQ38" s="332">
        <f t="shared" si="48"/>
        <v>0</v>
      </c>
      <c r="AR38" s="333">
        <f t="shared" si="38"/>
        <v>0</v>
      </c>
      <c r="AS38" s="329"/>
      <c r="AT38" s="330"/>
      <c r="AU38" s="330"/>
      <c r="AV38" s="330"/>
      <c r="AW38" s="330"/>
      <c r="AX38" s="330"/>
      <c r="AY38" s="330"/>
      <c r="AZ38" s="330"/>
      <c r="BA38" s="330"/>
      <c r="BB38" s="330"/>
      <c r="BC38" s="330"/>
      <c r="BD38" s="331"/>
      <c r="BE38" s="326"/>
      <c r="BF38" s="332">
        <f t="shared" si="49"/>
        <v>0</v>
      </c>
      <c r="BG38" s="333">
        <f t="shared" si="39"/>
        <v>0</v>
      </c>
      <c r="BH38" s="329"/>
      <c r="BI38" s="330"/>
      <c r="BJ38" s="330"/>
      <c r="BK38" s="330"/>
      <c r="BL38" s="330"/>
      <c r="BM38" s="330"/>
      <c r="BN38" s="330"/>
      <c r="BO38" s="330"/>
      <c r="BP38" s="330"/>
      <c r="BQ38" s="330"/>
      <c r="BR38" s="330"/>
      <c r="BS38" s="331"/>
      <c r="BT38" s="326"/>
      <c r="BU38" s="332">
        <f t="shared" si="40"/>
        <v>0</v>
      </c>
      <c r="BV38" s="333">
        <f t="shared" si="41"/>
        <v>0</v>
      </c>
      <c r="BW38" s="329"/>
      <c r="BX38" s="330"/>
      <c r="BY38" s="330"/>
      <c r="BZ38" s="330"/>
      <c r="CA38" s="330"/>
      <c r="CB38" s="330"/>
      <c r="CC38" s="330"/>
      <c r="CD38" s="330"/>
      <c r="CE38" s="330"/>
      <c r="CF38" s="330"/>
      <c r="CG38" s="330"/>
      <c r="CH38" s="331"/>
      <c r="CI38" s="326"/>
      <c r="CJ38" s="332">
        <f t="shared" si="42"/>
        <v>0</v>
      </c>
      <c r="CK38" s="333">
        <f t="shared" si="43"/>
        <v>0</v>
      </c>
      <c r="CL38" s="334">
        <f t="shared" si="44"/>
        <v>0</v>
      </c>
      <c r="CM38" s="335">
        <f t="shared" si="45"/>
        <v>0</v>
      </c>
      <c r="CN38" s="336">
        <f t="shared" si="46"/>
        <v>0</v>
      </c>
      <c r="CQ38" s="480"/>
    </row>
    <row r="39" spans="1:95" s="33" customFormat="1" ht="27" customHeight="1">
      <c r="A39" s="1051" t="s">
        <v>1561</v>
      </c>
      <c r="B39" s="1048" t="s">
        <v>1472</v>
      </c>
      <c r="C39" s="1048" t="s">
        <v>1614</v>
      </c>
      <c r="D39" s="34"/>
      <c r="E39" s="125" t="s">
        <v>106</v>
      </c>
      <c r="F39" s="30"/>
      <c r="G39" s="31"/>
      <c r="H39" s="31"/>
      <c r="I39" s="110"/>
      <c r="J39" s="674" t="s">
        <v>1990</v>
      </c>
      <c r="K39" s="374" t="str">
        <f>IFERROR(VLOOKUP(H39,справочник!$A$3:$B$12,2,0),"нет данных")</f>
        <v>нет данных</v>
      </c>
      <c r="L39" s="326"/>
      <c r="M39" s="399"/>
      <c r="N39" s="346">
        <f t="shared" si="36"/>
        <v>0</v>
      </c>
      <c r="O39" s="394"/>
      <c r="P39" s="352"/>
      <c r="Q39" s="352"/>
      <c r="R39" s="352"/>
      <c r="S39" s="352"/>
      <c r="T39" s="352"/>
      <c r="U39" s="324"/>
      <c r="V39" s="324"/>
      <c r="W39" s="324"/>
      <c r="X39" s="324"/>
      <c r="Y39" s="324"/>
      <c r="Z39" s="325"/>
      <c r="AA39" s="326"/>
      <c r="AB39" s="327">
        <f t="shared" si="47"/>
        <v>0</v>
      </c>
      <c r="AC39" s="328">
        <f t="shared" si="37"/>
        <v>0</v>
      </c>
      <c r="AD39" s="329"/>
      <c r="AE39" s="330"/>
      <c r="AF39" s="330"/>
      <c r="AG39" s="330"/>
      <c r="AH39" s="330"/>
      <c r="AI39" s="330"/>
      <c r="AJ39" s="330"/>
      <c r="AK39" s="330"/>
      <c r="AL39" s="330"/>
      <c r="AM39" s="330"/>
      <c r="AN39" s="330"/>
      <c r="AO39" s="331"/>
      <c r="AP39" s="326"/>
      <c r="AQ39" s="332">
        <f t="shared" si="48"/>
        <v>0</v>
      </c>
      <c r="AR39" s="333">
        <f t="shared" si="38"/>
        <v>0</v>
      </c>
      <c r="AS39" s="329"/>
      <c r="AT39" s="330"/>
      <c r="AU39" s="330"/>
      <c r="AV39" s="330"/>
      <c r="AW39" s="330"/>
      <c r="AX39" s="330"/>
      <c r="AY39" s="330"/>
      <c r="AZ39" s="330"/>
      <c r="BA39" s="330"/>
      <c r="BB39" s="330"/>
      <c r="BC39" s="330"/>
      <c r="BD39" s="331"/>
      <c r="BE39" s="326"/>
      <c r="BF39" s="332">
        <f t="shared" si="49"/>
        <v>0</v>
      </c>
      <c r="BG39" s="333">
        <f t="shared" si="39"/>
        <v>0</v>
      </c>
      <c r="BH39" s="329"/>
      <c r="BI39" s="330"/>
      <c r="BJ39" s="330"/>
      <c r="BK39" s="330"/>
      <c r="BL39" s="330"/>
      <c r="BM39" s="330"/>
      <c r="BN39" s="330"/>
      <c r="BO39" s="330"/>
      <c r="BP39" s="330"/>
      <c r="BQ39" s="330"/>
      <c r="BR39" s="330"/>
      <c r="BS39" s="331"/>
      <c r="BT39" s="326"/>
      <c r="BU39" s="332">
        <f t="shared" si="40"/>
        <v>0</v>
      </c>
      <c r="BV39" s="333">
        <f t="shared" si="41"/>
        <v>0</v>
      </c>
      <c r="BW39" s="329"/>
      <c r="BX39" s="330"/>
      <c r="BY39" s="330"/>
      <c r="BZ39" s="330"/>
      <c r="CA39" s="330"/>
      <c r="CB39" s="330"/>
      <c r="CC39" s="330"/>
      <c r="CD39" s="330"/>
      <c r="CE39" s="330"/>
      <c r="CF39" s="330"/>
      <c r="CG39" s="330"/>
      <c r="CH39" s="331"/>
      <c r="CI39" s="326"/>
      <c r="CJ39" s="332">
        <f t="shared" si="42"/>
        <v>0</v>
      </c>
      <c r="CK39" s="333">
        <f t="shared" si="43"/>
        <v>0</v>
      </c>
      <c r="CL39" s="334">
        <f t="shared" si="44"/>
        <v>0</v>
      </c>
      <c r="CM39" s="335">
        <f t="shared" si="45"/>
        <v>0</v>
      </c>
      <c r="CN39" s="336">
        <f t="shared" si="46"/>
        <v>0</v>
      </c>
      <c r="CQ39" s="480"/>
    </row>
    <row r="40" spans="1:95" s="33" customFormat="1" ht="27" customHeight="1">
      <c r="A40" s="1052"/>
      <c r="B40" s="1050"/>
      <c r="C40" s="1050"/>
      <c r="D40" s="34"/>
      <c r="E40" s="125" t="s">
        <v>106</v>
      </c>
      <c r="F40" s="30"/>
      <c r="G40" s="31"/>
      <c r="H40" s="31"/>
      <c r="I40" s="110"/>
      <c r="J40" s="674" t="s">
        <v>1990</v>
      </c>
      <c r="K40" s="374" t="str">
        <f>IFERROR(VLOOKUP(H40,справочник!$A$3:$B$12,2,0),"нет данных")</f>
        <v>нет данных</v>
      </c>
      <c r="L40" s="326"/>
      <c r="M40" s="399"/>
      <c r="N40" s="346">
        <f t="shared" si="36"/>
        <v>0</v>
      </c>
      <c r="O40" s="394"/>
      <c r="P40" s="352"/>
      <c r="Q40" s="352"/>
      <c r="R40" s="352"/>
      <c r="S40" s="352"/>
      <c r="T40" s="352"/>
      <c r="U40" s="324"/>
      <c r="V40" s="324"/>
      <c r="W40" s="324"/>
      <c r="X40" s="324"/>
      <c r="Y40" s="324"/>
      <c r="Z40" s="325"/>
      <c r="AA40" s="326"/>
      <c r="AB40" s="327">
        <f t="shared" si="47"/>
        <v>0</v>
      </c>
      <c r="AC40" s="328">
        <f t="shared" si="37"/>
        <v>0</v>
      </c>
      <c r="AD40" s="329"/>
      <c r="AE40" s="330"/>
      <c r="AF40" s="330"/>
      <c r="AG40" s="330"/>
      <c r="AH40" s="330"/>
      <c r="AI40" s="330"/>
      <c r="AJ40" s="330"/>
      <c r="AK40" s="330"/>
      <c r="AL40" s="330"/>
      <c r="AM40" s="330"/>
      <c r="AN40" s="330"/>
      <c r="AO40" s="331"/>
      <c r="AP40" s="326"/>
      <c r="AQ40" s="332">
        <f t="shared" si="48"/>
        <v>0</v>
      </c>
      <c r="AR40" s="333">
        <f t="shared" si="38"/>
        <v>0</v>
      </c>
      <c r="AS40" s="329"/>
      <c r="AT40" s="330"/>
      <c r="AU40" s="330"/>
      <c r="AV40" s="330"/>
      <c r="AW40" s="330"/>
      <c r="AX40" s="330"/>
      <c r="AY40" s="330"/>
      <c r="AZ40" s="330"/>
      <c r="BA40" s="330"/>
      <c r="BB40" s="330"/>
      <c r="BC40" s="330"/>
      <c r="BD40" s="331"/>
      <c r="BE40" s="326"/>
      <c r="BF40" s="332">
        <f t="shared" si="49"/>
        <v>0</v>
      </c>
      <c r="BG40" s="333">
        <f t="shared" si="39"/>
        <v>0</v>
      </c>
      <c r="BH40" s="329"/>
      <c r="BI40" s="330"/>
      <c r="BJ40" s="330"/>
      <c r="BK40" s="330"/>
      <c r="BL40" s="330"/>
      <c r="BM40" s="330"/>
      <c r="BN40" s="330"/>
      <c r="BO40" s="330"/>
      <c r="BP40" s="330"/>
      <c r="BQ40" s="330"/>
      <c r="BR40" s="330"/>
      <c r="BS40" s="331"/>
      <c r="BT40" s="326"/>
      <c r="BU40" s="332">
        <f t="shared" si="40"/>
        <v>0</v>
      </c>
      <c r="BV40" s="333">
        <f t="shared" si="41"/>
        <v>0</v>
      </c>
      <c r="BW40" s="329"/>
      <c r="BX40" s="330"/>
      <c r="BY40" s="330"/>
      <c r="BZ40" s="330"/>
      <c r="CA40" s="330"/>
      <c r="CB40" s="330"/>
      <c r="CC40" s="330"/>
      <c r="CD40" s="330"/>
      <c r="CE40" s="330"/>
      <c r="CF40" s="330"/>
      <c r="CG40" s="330"/>
      <c r="CH40" s="331"/>
      <c r="CI40" s="326"/>
      <c r="CJ40" s="332">
        <f t="shared" si="42"/>
        <v>0</v>
      </c>
      <c r="CK40" s="333">
        <f t="shared" si="43"/>
        <v>0</v>
      </c>
      <c r="CL40" s="334">
        <f t="shared" si="44"/>
        <v>0</v>
      </c>
      <c r="CM40" s="335">
        <f t="shared" si="45"/>
        <v>0</v>
      </c>
      <c r="CN40" s="336">
        <f t="shared" si="46"/>
        <v>0</v>
      </c>
      <c r="CQ40" s="480"/>
    </row>
    <row r="41" spans="1:95" s="33" customFormat="1" ht="27" customHeight="1">
      <c r="A41" s="1051" t="s">
        <v>1562</v>
      </c>
      <c r="B41" s="1048" t="s">
        <v>1473</v>
      </c>
      <c r="C41" s="1048" t="s">
        <v>82</v>
      </c>
      <c r="D41" s="34"/>
      <c r="E41" s="125" t="s">
        <v>106</v>
      </c>
      <c r="F41" s="30"/>
      <c r="G41" s="31"/>
      <c r="H41" s="31"/>
      <c r="I41" s="110"/>
      <c r="J41" s="674" t="s">
        <v>1990</v>
      </c>
      <c r="K41" s="374" t="str">
        <f>IFERROR(VLOOKUP(H41,справочник!$A$3:$B$12,2,0),"нет данных")</f>
        <v>нет данных</v>
      </c>
      <c r="L41" s="326"/>
      <c r="M41" s="399"/>
      <c r="N41" s="346">
        <f t="shared" si="36"/>
        <v>0</v>
      </c>
      <c r="O41" s="394"/>
      <c r="P41" s="352"/>
      <c r="Q41" s="352"/>
      <c r="R41" s="352"/>
      <c r="S41" s="352"/>
      <c r="T41" s="352"/>
      <c r="U41" s="324"/>
      <c r="V41" s="324"/>
      <c r="W41" s="324"/>
      <c r="X41" s="324"/>
      <c r="Y41" s="324"/>
      <c r="Z41" s="325"/>
      <c r="AA41" s="326"/>
      <c r="AB41" s="327">
        <f t="shared" si="47"/>
        <v>0</v>
      </c>
      <c r="AC41" s="328">
        <f t="shared" si="37"/>
        <v>0</v>
      </c>
      <c r="AD41" s="329"/>
      <c r="AE41" s="330"/>
      <c r="AF41" s="330"/>
      <c r="AG41" s="330"/>
      <c r="AH41" s="330"/>
      <c r="AI41" s="330"/>
      <c r="AJ41" s="330"/>
      <c r="AK41" s="330"/>
      <c r="AL41" s="330"/>
      <c r="AM41" s="330"/>
      <c r="AN41" s="330"/>
      <c r="AO41" s="331"/>
      <c r="AP41" s="326"/>
      <c r="AQ41" s="332">
        <f t="shared" si="48"/>
        <v>0</v>
      </c>
      <c r="AR41" s="333">
        <f t="shared" si="38"/>
        <v>0</v>
      </c>
      <c r="AS41" s="329"/>
      <c r="AT41" s="330"/>
      <c r="AU41" s="330"/>
      <c r="AV41" s="330"/>
      <c r="AW41" s="330"/>
      <c r="AX41" s="330"/>
      <c r="AY41" s="330"/>
      <c r="AZ41" s="330"/>
      <c r="BA41" s="330"/>
      <c r="BB41" s="330"/>
      <c r="BC41" s="330"/>
      <c r="BD41" s="331"/>
      <c r="BE41" s="326"/>
      <c r="BF41" s="332">
        <f t="shared" si="49"/>
        <v>0</v>
      </c>
      <c r="BG41" s="333">
        <f t="shared" si="39"/>
        <v>0</v>
      </c>
      <c r="BH41" s="329"/>
      <c r="BI41" s="330"/>
      <c r="BJ41" s="330"/>
      <c r="BK41" s="330"/>
      <c r="BL41" s="330"/>
      <c r="BM41" s="330"/>
      <c r="BN41" s="330"/>
      <c r="BO41" s="330"/>
      <c r="BP41" s="330"/>
      <c r="BQ41" s="330"/>
      <c r="BR41" s="330"/>
      <c r="BS41" s="331"/>
      <c r="BT41" s="326"/>
      <c r="BU41" s="332">
        <f t="shared" si="40"/>
        <v>0</v>
      </c>
      <c r="BV41" s="333">
        <f t="shared" si="41"/>
        <v>0</v>
      </c>
      <c r="BW41" s="329"/>
      <c r="BX41" s="330"/>
      <c r="BY41" s="330"/>
      <c r="BZ41" s="330"/>
      <c r="CA41" s="330"/>
      <c r="CB41" s="330"/>
      <c r="CC41" s="330"/>
      <c r="CD41" s="330"/>
      <c r="CE41" s="330"/>
      <c r="CF41" s="330"/>
      <c r="CG41" s="330"/>
      <c r="CH41" s="331"/>
      <c r="CI41" s="326"/>
      <c r="CJ41" s="332">
        <f t="shared" si="42"/>
        <v>0</v>
      </c>
      <c r="CK41" s="333">
        <f t="shared" si="43"/>
        <v>0</v>
      </c>
      <c r="CL41" s="334">
        <f t="shared" si="44"/>
        <v>0</v>
      </c>
      <c r="CM41" s="335">
        <f t="shared" si="45"/>
        <v>0</v>
      </c>
      <c r="CN41" s="336">
        <f t="shared" si="46"/>
        <v>0</v>
      </c>
      <c r="CQ41" s="480"/>
    </row>
    <row r="42" spans="1:95" s="33" customFormat="1" ht="27" customHeight="1">
      <c r="A42" s="1052"/>
      <c r="B42" s="1050"/>
      <c r="C42" s="1050"/>
      <c r="D42" s="34"/>
      <c r="E42" s="125" t="s">
        <v>106</v>
      </c>
      <c r="F42" s="30"/>
      <c r="G42" s="31"/>
      <c r="H42" s="31"/>
      <c r="I42" s="110"/>
      <c r="J42" s="674" t="s">
        <v>1990</v>
      </c>
      <c r="K42" s="374" t="str">
        <f>IFERROR(VLOOKUP(H42,справочник!$A$3:$B$12,2,0),"нет данных")</f>
        <v>нет данных</v>
      </c>
      <c r="L42" s="326"/>
      <c r="M42" s="399"/>
      <c r="N42" s="346">
        <f t="shared" si="36"/>
        <v>0</v>
      </c>
      <c r="O42" s="394"/>
      <c r="P42" s="352"/>
      <c r="Q42" s="352"/>
      <c r="R42" s="352"/>
      <c r="S42" s="352"/>
      <c r="T42" s="352"/>
      <c r="U42" s="324"/>
      <c r="V42" s="324"/>
      <c r="W42" s="324"/>
      <c r="X42" s="324"/>
      <c r="Y42" s="324"/>
      <c r="Z42" s="325"/>
      <c r="AA42" s="326"/>
      <c r="AB42" s="327">
        <f t="shared" si="47"/>
        <v>0</v>
      </c>
      <c r="AC42" s="328">
        <f t="shared" si="37"/>
        <v>0</v>
      </c>
      <c r="AD42" s="329"/>
      <c r="AE42" s="330"/>
      <c r="AF42" s="330"/>
      <c r="AG42" s="330"/>
      <c r="AH42" s="330"/>
      <c r="AI42" s="330"/>
      <c r="AJ42" s="330"/>
      <c r="AK42" s="330"/>
      <c r="AL42" s="330"/>
      <c r="AM42" s="330"/>
      <c r="AN42" s="330"/>
      <c r="AO42" s="331"/>
      <c r="AP42" s="326"/>
      <c r="AQ42" s="332">
        <f t="shared" si="48"/>
        <v>0</v>
      </c>
      <c r="AR42" s="333">
        <f t="shared" si="38"/>
        <v>0</v>
      </c>
      <c r="AS42" s="329"/>
      <c r="AT42" s="330"/>
      <c r="AU42" s="330"/>
      <c r="AV42" s="330"/>
      <c r="AW42" s="330"/>
      <c r="AX42" s="330"/>
      <c r="AY42" s="330"/>
      <c r="AZ42" s="330"/>
      <c r="BA42" s="330"/>
      <c r="BB42" s="330"/>
      <c r="BC42" s="330"/>
      <c r="BD42" s="331"/>
      <c r="BE42" s="326"/>
      <c r="BF42" s="332">
        <f t="shared" si="49"/>
        <v>0</v>
      </c>
      <c r="BG42" s="333">
        <f t="shared" si="39"/>
        <v>0</v>
      </c>
      <c r="BH42" s="329"/>
      <c r="BI42" s="330"/>
      <c r="BJ42" s="330"/>
      <c r="BK42" s="330"/>
      <c r="BL42" s="330"/>
      <c r="BM42" s="330"/>
      <c r="BN42" s="330"/>
      <c r="BO42" s="330"/>
      <c r="BP42" s="330"/>
      <c r="BQ42" s="330"/>
      <c r="BR42" s="330"/>
      <c r="BS42" s="331"/>
      <c r="BT42" s="326"/>
      <c r="BU42" s="332">
        <f t="shared" si="40"/>
        <v>0</v>
      </c>
      <c r="BV42" s="333">
        <f t="shared" si="41"/>
        <v>0</v>
      </c>
      <c r="BW42" s="329"/>
      <c r="BX42" s="330"/>
      <c r="BY42" s="330"/>
      <c r="BZ42" s="330"/>
      <c r="CA42" s="330"/>
      <c r="CB42" s="330"/>
      <c r="CC42" s="330"/>
      <c r="CD42" s="330"/>
      <c r="CE42" s="330"/>
      <c r="CF42" s="330"/>
      <c r="CG42" s="330"/>
      <c r="CH42" s="331"/>
      <c r="CI42" s="326"/>
      <c r="CJ42" s="332">
        <f t="shared" si="42"/>
        <v>0</v>
      </c>
      <c r="CK42" s="333">
        <f t="shared" si="43"/>
        <v>0</v>
      </c>
      <c r="CL42" s="334">
        <f t="shared" si="44"/>
        <v>0</v>
      </c>
      <c r="CM42" s="335">
        <f t="shared" si="45"/>
        <v>0</v>
      </c>
      <c r="CN42" s="336">
        <f t="shared" si="46"/>
        <v>0</v>
      </c>
      <c r="CQ42" s="480"/>
    </row>
    <row r="43" spans="1:95" s="33" customFormat="1" ht="27" customHeight="1">
      <c r="A43" s="1051" t="s">
        <v>1563</v>
      </c>
      <c r="B43" s="1048" t="s">
        <v>1474</v>
      </c>
      <c r="C43" s="1048" t="s">
        <v>1674</v>
      </c>
      <c r="D43" s="34"/>
      <c r="E43" s="125" t="s">
        <v>106</v>
      </c>
      <c r="F43" s="30"/>
      <c r="G43" s="31"/>
      <c r="H43" s="31"/>
      <c r="I43" s="32"/>
      <c r="J43" s="674" t="s">
        <v>1990</v>
      </c>
      <c r="K43" s="374" t="str">
        <f>IFERROR(VLOOKUP(H43,справочник!$A$3:$B$12,2,0),"нет данных")</f>
        <v>нет данных</v>
      </c>
      <c r="L43" s="326"/>
      <c r="M43" s="399"/>
      <c r="N43" s="346">
        <f t="shared" si="36"/>
        <v>0</v>
      </c>
      <c r="O43" s="394"/>
      <c r="P43" s="352"/>
      <c r="Q43" s="352"/>
      <c r="R43" s="352"/>
      <c r="S43" s="352"/>
      <c r="T43" s="352"/>
      <c r="U43" s="324"/>
      <c r="V43" s="324"/>
      <c r="W43" s="324"/>
      <c r="X43" s="324"/>
      <c r="Y43" s="324"/>
      <c r="Z43" s="325"/>
      <c r="AA43" s="326"/>
      <c r="AB43" s="327">
        <f t="shared" si="47"/>
        <v>0</v>
      </c>
      <c r="AC43" s="328">
        <f t="shared" si="37"/>
        <v>0</v>
      </c>
      <c r="AD43" s="329"/>
      <c r="AE43" s="330"/>
      <c r="AF43" s="330"/>
      <c r="AG43" s="330"/>
      <c r="AH43" s="330"/>
      <c r="AI43" s="330"/>
      <c r="AJ43" s="330"/>
      <c r="AK43" s="330"/>
      <c r="AL43" s="330"/>
      <c r="AM43" s="330"/>
      <c r="AN43" s="330"/>
      <c r="AO43" s="331"/>
      <c r="AP43" s="326"/>
      <c r="AQ43" s="332">
        <f t="shared" si="48"/>
        <v>0</v>
      </c>
      <c r="AR43" s="333">
        <f t="shared" si="38"/>
        <v>0</v>
      </c>
      <c r="AS43" s="329"/>
      <c r="AT43" s="330"/>
      <c r="AU43" s="330"/>
      <c r="AV43" s="330"/>
      <c r="AW43" s="330"/>
      <c r="AX43" s="330"/>
      <c r="AY43" s="330"/>
      <c r="AZ43" s="330"/>
      <c r="BA43" s="330"/>
      <c r="BB43" s="330"/>
      <c r="BC43" s="330"/>
      <c r="BD43" s="331"/>
      <c r="BE43" s="326"/>
      <c r="BF43" s="332">
        <f t="shared" si="49"/>
        <v>0</v>
      </c>
      <c r="BG43" s="333">
        <f t="shared" si="39"/>
        <v>0</v>
      </c>
      <c r="BH43" s="329"/>
      <c r="BI43" s="330"/>
      <c r="BJ43" s="330"/>
      <c r="BK43" s="330"/>
      <c r="BL43" s="330"/>
      <c r="BM43" s="330"/>
      <c r="BN43" s="330"/>
      <c r="BO43" s="330"/>
      <c r="BP43" s="330"/>
      <c r="BQ43" s="330"/>
      <c r="BR43" s="330"/>
      <c r="BS43" s="331"/>
      <c r="BT43" s="326"/>
      <c r="BU43" s="332">
        <f t="shared" si="40"/>
        <v>0</v>
      </c>
      <c r="BV43" s="333">
        <f t="shared" si="41"/>
        <v>0</v>
      </c>
      <c r="BW43" s="329"/>
      <c r="BX43" s="330"/>
      <c r="BY43" s="330"/>
      <c r="BZ43" s="330"/>
      <c r="CA43" s="330"/>
      <c r="CB43" s="330"/>
      <c r="CC43" s="330"/>
      <c r="CD43" s="330"/>
      <c r="CE43" s="330"/>
      <c r="CF43" s="330"/>
      <c r="CG43" s="330"/>
      <c r="CH43" s="331"/>
      <c r="CI43" s="326"/>
      <c r="CJ43" s="332">
        <f t="shared" si="42"/>
        <v>0</v>
      </c>
      <c r="CK43" s="333">
        <f t="shared" si="43"/>
        <v>0</v>
      </c>
      <c r="CL43" s="334">
        <f t="shared" si="44"/>
        <v>0</v>
      </c>
      <c r="CM43" s="335">
        <f t="shared" si="45"/>
        <v>0</v>
      </c>
      <c r="CN43" s="336">
        <f t="shared" si="46"/>
        <v>0</v>
      </c>
      <c r="CQ43" s="480"/>
    </row>
    <row r="44" spans="1:95" s="33" customFormat="1" ht="27" customHeight="1">
      <c r="A44" s="1052"/>
      <c r="B44" s="1050"/>
      <c r="C44" s="1050"/>
      <c r="D44" s="34"/>
      <c r="E44" s="125" t="s">
        <v>106</v>
      </c>
      <c r="F44" s="30"/>
      <c r="G44" s="31"/>
      <c r="H44" s="31"/>
      <c r="I44" s="110"/>
      <c r="J44" s="674" t="s">
        <v>1990</v>
      </c>
      <c r="K44" s="374" t="str">
        <f>IFERROR(VLOOKUP(H44,справочник!$A$3:$B$12,2,0),"нет данных")</f>
        <v>нет данных</v>
      </c>
      <c r="L44" s="326"/>
      <c r="M44" s="399"/>
      <c r="N44" s="346">
        <f t="shared" si="36"/>
        <v>0</v>
      </c>
      <c r="O44" s="394"/>
      <c r="P44" s="352"/>
      <c r="Q44" s="352"/>
      <c r="R44" s="352"/>
      <c r="S44" s="352"/>
      <c r="T44" s="352"/>
      <c r="U44" s="324"/>
      <c r="V44" s="324"/>
      <c r="W44" s="324"/>
      <c r="X44" s="324"/>
      <c r="Y44" s="324"/>
      <c r="Z44" s="325"/>
      <c r="AA44" s="326"/>
      <c r="AB44" s="327">
        <f t="shared" si="47"/>
        <v>0</v>
      </c>
      <c r="AC44" s="328">
        <f t="shared" si="37"/>
        <v>0</v>
      </c>
      <c r="AD44" s="329"/>
      <c r="AE44" s="330"/>
      <c r="AF44" s="330"/>
      <c r="AG44" s="330"/>
      <c r="AH44" s="330"/>
      <c r="AI44" s="330"/>
      <c r="AJ44" s="330"/>
      <c r="AK44" s="330"/>
      <c r="AL44" s="330"/>
      <c r="AM44" s="330"/>
      <c r="AN44" s="330"/>
      <c r="AO44" s="331"/>
      <c r="AP44" s="326"/>
      <c r="AQ44" s="332">
        <f t="shared" si="48"/>
        <v>0</v>
      </c>
      <c r="AR44" s="333">
        <f t="shared" si="38"/>
        <v>0</v>
      </c>
      <c r="AS44" s="329"/>
      <c r="AT44" s="330"/>
      <c r="AU44" s="330"/>
      <c r="AV44" s="330"/>
      <c r="AW44" s="330"/>
      <c r="AX44" s="330"/>
      <c r="AY44" s="330"/>
      <c r="AZ44" s="330"/>
      <c r="BA44" s="330"/>
      <c r="BB44" s="330"/>
      <c r="BC44" s="330"/>
      <c r="BD44" s="331"/>
      <c r="BE44" s="326"/>
      <c r="BF44" s="332">
        <f t="shared" si="49"/>
        <v>0</v>
      </c>
      <c r="BG44" s="333">
        <f t="shared" si="39"/>
        <v>0</v>
      </c>
      <c r="BH44" s="329"/>
      <c r="BI44" s="330"/>
      <c r="BJ44" s="330"/>
      <c r="BK44" s="330"/>
      <c r="BL44" s="330"/>
      <c r="BM44" s="330"/>
      <c r="BN44" s="330"/>
      <c r="BO44" s="330"/>
      <c r="BP44" s="330"/>
      <c r="BQ44" s="330"/>
      <c r="BR44" s="330"/>
      <c r="BS44" s="331"/>
      <c r="BT44" s="326"/>
      <c r="BU44" s="332">
        <f t="shared" si="40"/>
        <v>0</v>
      </c>
      <c r="BV44" s="333">
        <f t="shared" si="41"/>
        <v>0</v>
      </c>
      <c r="BW44" s="329"/>
      <c r="BX44" s="330"/>
      <c r="BY44" s="330"/>
      <c r="BZ44" s="330"/>
      <c r="CA44" s="330"/>
      <c r="CB44" s="330"/>
      <c r="CC44" s="330"/>
      <c r="CD44" s="330"/>
      <c r="CE44" s="330"/>
      <c r="CF44" s="330"/>
      <c r="CG44" s="330"/>
      <c r="CH44" s="331"/>
      <c r="CI44" s="326"/>
      <c r="CJ44" s="332">
        <f t="shared" si="42"/>
        <v>0</v>
      </c>
      <c r="CK44" s="333">
        <f t="shared" si="43"/>
        <v>0</v>
      </c>
      <c r="CL44" s="334">
        <f t="shared" si="44"/>
        <v>0</v>
      </c>
      <c r="CM44" s="335">
        <f t="shared" si="45"/>
        <v>0</v>
      </c>
      <c r="CN44" s="336">
        <f t="shared" si="46"/>
        <v>0</v>
      </c>
      <c r="CQ44" s="480"/>
    </row>
    <row r="45" spans="1:95" s="33" customFormat="1" ht="27" customHeight="1">
      <c r="A45" s="1051" t="s">
        <v>1564</v>
      </c>
      <c r="B45" s="1048" t="s">
        <v>1475</v>
      </c>
      <c r="C45" s="1048" t="s">
        <v>1476</v>
      </c>
      <c r="D45" s="34"/>
      <c r="E45" s="125" t="s">
        <v>106</v>
      </c>
      <c r="F45" s="30"/>
      <c r="G45" s="31"/>
      <c r="H45" s="31"/>
      <c r="I45" s="110"/>
      <c r="J45" s="674" t="s">
        <v>1990</v>
      </c>
      <c r="K45" s="374" t="str">
        <f>IFERROR(VLOOKUP(H45,справочник!$A$3:$B$12,2,0),"нет данных")</f>
        <v>нет данных</v>
      </c>
      <c r="L45" s="326"/>
      <c r="M45" s="399"/>
      <c r="N45" s="346">
        <f t="shared" si="36"/>
        <v>0</v>
      </c>
      <c r="O45" s="394"/>
      <c r="P45" s="352"/>
      <c r="Q45" s="352"/>
      <c r="R45" s="352"/>
      <c r="S45" s="352"/>
      <c r="T45" s="352"/>
      <c r="U45" s="324"/>
      <c r="V45" s="324"/>
      <c r="W45" s="324"/>
      <c r="X45" s="324"/>
      <c r="Y45" s="324"/>
      <c r="Z45" s="325"/>
      <c r="AA45" s="326"/>
      <c r="AB45" s="327">
        <f t="shared" si="47"/>
        <v>0</v>
      </c>
      <c r="AC45" s="328">
        <f t="shared" si="37"/>
        <v>0</v>
      </c>
      <c r="AD45" s="329"/>
      <c r="AE45" s="330"/>
      <c r="AF45" s="330"/>
      <c r="AG45" s="330"/>
      <c r="AH45" s="330"/>
      <c r="AI45" s="330"/>
      <c r="AJ45" s="330"/>
      <c r="AK45" s="330"/>
      <c r="AL45" s="330"/>
      <c r="AM45" s="330"/>
      <c r="AN45" s="330"/>
      <c r="AO45" s="331"/>
      <c r="AP45" s="326"/>
      <c r="AQ45" s="332">
        <f t="shared" si="48"/>
        <v>0</v>
      </c>
      <c r="AR45" s="333">
        <f t="shared" si="38"/>
        <v>0</v>
      </c>
      <c r="AS45" s="329"/>
      <c r="AT45" s="330"/>
      <c r="AU45" s="330"/>
      <c r="AV45" s="330"/>
      <c r="AW45" s="330"/>
      <c r="AX45" s="330"/>
      <c r="AY45" s="330"/>
      <c r="AZ45" s="330"/>
      <c r="BA45" s="330"/>
      <c r="BB45" s="330"/>
      <c r="BC45" s="330"/>
      <c r="BD45" s="331"/>
      <c r="BE45" s="326"/>
      <c r="BF45" s="332">
        <f t="shared" si="49"/>
        <v>0</v>
      </c>
      <c r="BG45" s="333">
        <f t="shared" si="39"/>
        <v>0</v>
      </c>
      <c r="BH45" s="329"/>
      <c r="BI45" s="330"/>
      <c r="BJ45" s="330"/>
      <c r="BK45" s="330"/>
      <c r="BL45" s="330"/>
      <c r="BM45" s="330"/>
      <c r="BN45" s="330"/>
      <c r="BO45" s="330"/>
      <c r="BP45" s="330"/>
      <c r="BQ45" s="330"/>
      <c r="BR45" s="330"/>
      <c r="BS45" s="331"/>
      <c r="BT45" s="326"/>
      <c r="BU45" s="332">
        <f t="shared" si="40"/>
        <v>0</v>
      </c>
      <c r="BV45" s="333">
        <f t="shared" si="41"/>
        <v>0</v>
      </c>
      <c r="BW45" s="329"/>
      <c r="BX45" s="330"/>
      <c r="BY45" s="330"/>
      <c r="BZ45" s="330"/>
      <c r="CA45" s="330"/>
      <c r="CB45" s="330"/>
      <c r="CC45" s="330"/>
      <c r="CD45" s="330"/>
      <c r="CE45" s="330"/>
      <c r="CF45" s="330"/>
      <c r="CG45" s="330"/>
      <c r="CH45" s="331"/>
      <c r="CI45" s="326"/>
      <c r="CJ45" s="332">
        <f t="shared" si="42"/>
        <v>0</v>
      </c>
      <c r="CK45" s="333">
        <f t="shared" si="43"/>
        <v>0</v>
      </c>
      <c r="CL45" s="334">
        <f t="shared" si="44"/>
        <v>0</v>
      </c>
      <c r="CM45" s="335">
        <f t="shared" si="45"/>
        <v>0</v>
      </c>
      <c r="CN45" s="336">
        <f t="shared" si="46"/>
        <v>0</v>
      </c>
      <c r="CQ45" s="480"/>
    </row>
    <row r="46" spans="1:95" s="33" customFormat="1" ht="27" customHeight="1">
      <c r="A46" s="1052"/>
      <c r="B46" s="1050"/>
      <c r="C46" s="1050"/>
      <c r="D46" s="34"/>
      <c r="E46" s="125" t="s">
        <v>106</v>
      </c>
      <c r="F46" s="30"/>
      <c r="G46" s="31"/>
      <c r="H46" s="31"/>
      <c r="I46" s="110"/>
      <c r="J46" s="674" t="s">
        <v>1990</v>
      </c>
      <c r="K46" s="374" t="str">
        <f>IFERROR(VLOOKUP(H46,справочник!$A$3:$B$12,2,0),"нет данных")</f>
        <v>нет данных</v>
      </c>
      <c r="L46" s="326"/>
      <c r="M46" s="399"/>
      <c r="N46" s="346">
        <f t="shared" si="36"/>
        <v>0</v>
      </c>
      <c r="O46" s="394"/>
      <c r="P46" s="352"/>
      <c r="Q46" s="352"/>
      <c r="R46" s="352"/>
      <c r="S46" s="352"/>
      <c r="T46" s="352"/>
      <c r="U46" s="324"/>
      <c r="V46" s="324"/>
      <c r="W46" s="324"/>
      <c r="X46" s="324"/>
      <c r="Y46" s="324"/>
      <c r="Z46" s="325"/>
      <c r="AA46" s="326"/>
      <c r="AB46" s="327">
        <f t="shared" si="47"/>
        <v>0</v>
      </c>
      <c r="AC46" s="328">
        <f t="shared" si="37"/>
        <v>0</v>
      </c>
      <c r="AD46" s="329"/>
      <c r="AE46" s="330"/>
      <c r="AF46" s="330"/>
      <c r="AG46" s="330"/>
      <c r="AH46" s="330"/>
      <c r="AI46" s="330"/>
      <c r="AJ46" s="330"/>
      <c r="AK46" s="330"/>
      <c r="AL46" s="330"/>
      <c r="AM46" s="330"/>
      <c r="AN46" s="330"/>
      <c r="AO46" s="331"/>
      <c r="AP46" s="326"/>
      <c r="AQ46" s="332">
        <f t="shared" si="48"/>
        <v>0</v>
      </c>
      <c r="AR46" s="333">
        <f t="shared" si="38"/>
        <v>0</v>
      </c>
      <c r="AS46" s="329"/>
      <c r="AT46" s="330"/>
      <c r="AU46" s="330"/>
      <c r="AV46" s="330"/>
      <c r="AW46" s="330"/>
      <c r="AX46" s="330"/>
      <c r="AY46" s="330"/>
      <c r="AZ46" s="330"/>
      <c r="BA46" s="330"/>
      <c r="BB46" s="330"/>
      <c r="BC46" s="330"/>
      <c r="BD46" s="331"/>
      <c r="BE46" s="326"/>
      <c r="BF46" s="332">
        <f t="shared" si="49"/>
        <v>0</v>
      </c>
      <c r="BG46" s="333">
        <f t="shared" si="39"/>
        <v>0</v>
      </c>
      <c r="BH46" s="329"/>
      <c r="BI46" s="330"/>
      <c r="BJ46" s="330"/>
      <c r="BK46" s="330"/>
      <c r="BL46" s="330"/>
      <c r="BM46" s="330"/>
      <c r="BN46" s="330"/>
      <c r="BO46" s="330"/>
      <c r="BP46" s="330"/>
      <c r="BQ46" s="330"/>
      <c r="BR46" s="330"/>
      <c r="BS46" s="331"/>
      <c r="BT46" s="326"/>
      <c r="BU46" s="332">
        <f t="shared" si="40"/>
        <v>0</v>
      </c>
      <c r="BV46" s="333">
        <f t="shared" si="41"/>
        <v>0</v>
      </c>
      <c r="BW46" s="329"/>
      <c r="BX46" s="330"/>
      <c r="BY46" s="330"/>
      <c r="BZ46" s="330"/>
      <c r="CA46" s="330"/>
      <c r="CB46" s="330"/>
      <c r="CC46" s="330"/>
      <c r="CD46" s="330"/>
      <c r="CE46" s="330"/>
      <c r="CF46" s="330"/>
      <c r="CG46" s="330"/>
      <c r="CH46" s="331"/>
      <c r="CI46" s="326"/>
      <c r="CJ46" s="332">
        <f t="shared" si="42"/>
        <v>0</v>
      </c>
      <c r="CK46" s="333">
        <f t="shared" si="43"/>
        <v>0</v>
      </c>
      <c r="CL46" s="334">
        <f t="shared" si="44"/>
        <v>0</v>
      </c>
      <c r="CM46" s="335">
        <f t="shared" si="45"/>
        <v>0</v>
      </c>
      <c r="CN46" s="336">
        <f t="shared" si="46"/>
        <v>0</v>
      </c>
      <c r="CQ46" s="480"/>
    </row>
    <row r="47" spans="1:95" s="33" customFormat="1" ht="27" customHeight="1">
      <c r="A47" s="1051" t="s">
        <v>1565</v>
      </c>
      <c r="B47" s="1048" t="s">
        <v>1477</v>
      </c>
      <c r="C47" s="1048" t="s">
        <v>83</v>
      </c>
      <c r="D47" s="34"/>
      <c r="E47" s="125" t="s">
        <v>106</v>
      </c>
      <c r="F47" s="30"/>
      <c r="G47" s="31"/>
      <c r="H47" s="31"/>
      <c r="I47" s="110"/>
      <c r="J47" s="674" t="s">
        <v>1990</v>
      </c>
      <c r="K47" s="374" t="str">
        <f>IFERROR(VLOOKUP(H47,справочник!$A$3:$B$12,2,0),"нет данных")</f>
        <v>нет данных</v>
      </c>
      <c r="L47" s="326"/>
      <c r="M47" s="399"/>
      <c r="N47" s="346">
        <f t="shared" si="36"/>
        <v>0</v>
      </c>
      <c r="O47" s="394"/>
      <c r="P47" s="352"/>
      <c r="Q47" s="352"/>
      <c r="R47" s="352"/>
      <c r="S47" s="352"/>
      <c r="T47" s="352"/>
      <c r="U47" s="324"/>
      <c r="V47" s="324"/>
      <c r="W47" s="324"/>
      <c r="X47" s="324"/>
      <c r="Y47" s="324"/>
      <c r="Z47" s="325"/>
      <c r="AA47" s="326"/>
      <c r="AB47" s="327">
        <f t="shared" si="47"/>
        <v>0</v>
      </c>
      <c r="AC47" s="328">
        <f t="shared" si="37"/>
        <v>0</v>
      </c>
      <c r="AD47" s="329"/>
      <c r="AE47" s="330"/>
      <c r="AF47" s="330"/>
      <c r="AG47" s="330"/>
      <c r="AH47" s="330"/>
      <c r="AI47" s="330"/>
      <c r="AJ47" s="330"/>
      <c r="AK47" s="330"/>
      <c r="AL47" s="330"/>
      <c r="AM47" s="330"/>
      <c r="AN47" s="330"/>
      <c r="AO47" s="331"/>
      <c r="AP47" s="326"/>
      <c r="AQ47" s="332">
        <f t="shared" si="48"/>
        <v>0</v>
      </c>
      <c r="AR47" s="333">
        <f t="shared" si="38"/>
        <v>0</v>
      </c>
      <c r="AS47" s="329"/>
      <c r="AT47" s="330"/>
      <c r="AU47" s="330"/>
      <c r="AV47" s="330"/>
      <c r="AW47" s="330"/>
      <c r="AX47" s="330"/>
      <c r="AY47" s="330"/>
      <c r="AZ47" s="330"/>
      <c r="BA47" s="330"/>
      <c r="BB47" s="330"/>
      <c r="BC47" s="330"/>
      <c r="BD47" s="331"/>
      <c r="BE47" s="326"/>
      <c r="BF47" s="332">
        <f t="shared" si="49"/>
        <v>0</v>
      </c>
      <c r="BG47" s="333">
        <f t="shared" si="39"/>
        <v>0</v>
      </c>
      <c r="BH47" s="329"/>
      <c r="BI47" s="330"/>
      <c r="BJ47" s="330"/>
      <c r="BK47" s="330"/>
      <c r="BL47" s="330"/>
      <c r="BM47" s="330"/>
      <c r="BN47" s="330"/>
      <c r="BO47" s="330"/>
      <c r="BP47" s="330"/>
      <c r="BQ47" s="330"/>
      <c r="BR47" s="330"/>
      <c r="BS47" s="331"/>
      <c r="BT47" s="326"/>
      <c r="BU47" s="332">
        <f t="shared" si="40"/>
        <v>0</v>
      </c>
      <c r="BV47" s="333">
        <f t="shared" si="41"/>
        <v>0</v>
      </c>
      <c r="BW47" s="329"/>
      <c r="BX47" s="330"/>
      <c r="BY47" s="330"/>
      <c r="BZ47" s="330"/>
      <c r="CA47" s="330"/>
      <c r="CB47" s="330"/>
      <c r="CC47" s="330"/>
      <c r="CD47" s="330"/>
      <c r="CE47" s="330"/>
      <c r="CF47" s="330"/>
      <c r="CG47" s="330"/>
      <c r="CH47" s="331"/>
      <c r="CI47" s="326"/>
      <c r="CJ47" s="332">
        <f t="shared" si="42"/>
        <v>0</v>
      </c>
      <c r="CK47" s="333">
        <f t="shared" si="43"/>
        <v>0</v>
      </c>
      <c r="CL47" s="334">
        <f t="shared" si="44"/>
        <v>0</v>
      </c>
      <c r="CM47" s="335">
        <f t="shared" si="45"/>
        <v>0</v>
      </c>
      <c r="CN47" s="336">
        <f t="shared" si="46"/>
        <v>0</v>
      </c>
      <c r="CQ47" s="480"/>
    </row>
    <row r="48" spans="1:95" s="33" customFormat="1" ht="27" customHeight="1">
      <c r="A48" s="1052"/>
      <c r="B48" s="1050"/>
      <c r="C48" s="1050"/>
      <c r="D48" s="34"/>
      <c r="E48" s="125" t="s">
        <v>106</v>
      </c>
      <c r="F48" s="30"/>
      <c r="G48" s="31"/>
      <c r="H48" s="31"/>
      <c r="I48" s="110"/>
      <c r="J48" s="674" t="s">
        <v>1990</v>
      </c>
      <c r="K48" s="374" t="str">
        <f>IFERROR(VLOOKUP(H48,справочник!$A$3:$B$12,2,0),"нет данных")</f>
        <v>нет данных</v>
      </c>
      <c r="L48" s="326"/>
      <c r="M48" s="399"/>
      <c r="N48" s="346">
        <f t="shared" si="36"/>
        <v>0</v>
      </c>
      <c r="O48" s="394"/>
      <c r="P48" s="352"/>
      <c r="Q48" s="352"/>
      <c r="R48" s="352"/>
      <c r="S48" s="352"/>
      <c r="T48" s="352"/>
      <c r="U48" s="324"/>
      <c r="V48" s="324"/>
      <c r="W48" s="324"/>
      <c r="X48" s="324"/>
      <c r="Y48" s="324"/>
      <c r="Z48" s="325"/>
      <c r="AA48" s="326"/>
      <c r="AB48" s="327">
        <f t="shared" si="47"/>
        <v>0</v>
      </c>
      <c r="AC48" s="328">
        <f t="shared" si="37"/>
        <v>0</v>
      </c>
      <c r="AD48" s="329"/>
      <c r="AE48" s="330"/>
      <c r="AF48" s="330"/>
      <c r="AG48" s="330"/>
      <c r="AH48" s="330"/>
      <c r="AI48" s="330"/>
      <c r="AJ48" s="330"/>
      <c r="AK48" s="330"/>
      <c r="AL48" s="330"/>
      <c r="AM48" s="330"/>
      <c r="AN48" s="330"/>
      <c r="AO48" s="331"/>
      <c r="AP48" s="326"/>
      <c r="AQ48" s="332">
        <f t="shared" si="48"/>
        <v>0</v>
      </c>
      <c r="AR48" s="333">
        <f t="shared" si="38"/>
        <v>0</v>
      </c>
      <c r="AS48" s="329"/>
      <c r="AT48" s="330"/>
      <c r="AU48" s="330"/>
      <c r="AV48" s="330"/>
      <c r="AW48" s="330"/>
      <c r="AX48" s="330"/>
      <c r="AY48" s="330"/>
      <c r="AZ48" s="330"/>
      <c r="BA48" s="330"/>
      <c r="BB48" s="330"/>
      <c r="BC48" s="330"/>
      <c r="BD48" s="331"/>
      <c r="BE48" s="326"/>
      <c r="BF48" s="332">
        <f t="shared" si="49"/>
        <v>0</v>
      </c>
      <c r="BG48" s="333">
        <f t="shared" si="39"/>
        <v>0</v>
      </c>
      <c r="BH48" s="329"/>
      <c r="BI48" s="330"/>
      <c r="BJ48" s="330"/>
      <c r="BK48" s="330"/>
      <c r="BL48" s="330"/>
      <c r="BM48" s="330"/>
      <c r="BN48" s="330"/>
      <c r="BO48" s="330"/>
      <c r="BP48" s="330"/>
      <c r="BQ48" s="330"/>
      <c r="BR48" s="330"/>
      <c r="BS48" s="331"/>
      <c r="BT48" s="326"/>
      <c r="BU48" s="332">
        <f t="shared" si="40"/>
        <v>0</v>
      </c>
      <c r="BV48" s="333">
        <f t="shared" si="41"/>
        <v>0</v>
      </c>
      <c r="BW48" s="329"/>
      <c r="BX48" s="330"/>
      <c r="BY48" s="330"/>
      <c r="BZ48" s="330"/>
      <c r="CA48" s="330"/>
      <c r="CB48" s="330"/>
      <c r="CC48" s="330"/>
      <c r="CD48" s="330"/>
      <c r="CE48" s="330"/>
      <c r="CF48" s="330"/>
      <c r="CG48" s="330"/>
      <c r="CH48" s="331"/>
      <c r="CI48" s="326"/>
      <c r="CJ48" s="332">
        <f t="shared" si="42"/>
        <v>0</v>
      </c>
      <c r="CK48" s="333">
        <f t="shared" si="43"/>
        <v>0</v>
      </c>
      <c r="CL48" s="334">
        <f t="shared" si="44"/>
        <v>0</v>
      </c>
      <c r="CM48" s="335">
        <f t="shared" si="45"/>
        <v>0</v>
      </c>
      <c r="CN48" s="336">
        <f t="shared" si="46"/>
        <v>0</v>
      </c>
      <c r="CQ48" s="480"/>
    </row>
    <row r="49" spans="1:95" s="33" customFormat="1" ht="27" customHeight="1">
      <c r="A49" s="1051" t="s">
        <v>1566</v>
      </c>
      <c r="B49" s="1048" t="s">
        <v>1478</v>
      </c>
      <c r="C49" s="1048" t="s">
        <v>112</v>
      </c>
      <c r="D49" s="34"/>
      <c r="E49" s="125" t="s">
        <v>106</v>
      </c>
      <c r="F49" s="30"/>
      <c r="G49" s="31"/>
      <c r="H49" s="31"/>
      <c r="I49" s="110"/>
      <c r="J49" s="674" t="s">
        <v>1990</v>
      </c>
      <c r="K49" s="374" t="str">
        <f>IFERROR(VLOOKUP(H49,справочник!$A$3:$B$12,2,0),"нет данных")</f>
        <v>нет данных</v>
      </c>
      <c r="L49" s="326"/>
      <c r="M49" s="399"/>
      <c r="N49" s="346">
        <f t="shared" si="36"/>
        <v>0</v>
      </c>
      <c r="O49" s="394"/>
      <c r="P49" s="352"/>
      <c r="Q49" s="352"/>
      <c r="R49" s="352"/>
      <c r="S49" s="352"/>
      <c r="T49" s="352"/>
      <c r="U49" s="324"/>
      <c r="V49" s="324"/>
      <c r="W49" s="324"/>
      <c r="X49" s="324"/>
      <c r="Y49" s="324"/>
      <c r="Z49" s="325"/>
      <c r="AA49" s="326"/>
      <c r="AB49" s="327">
        <f t="shared" si="47"/>
        <v>0</v>
      </c>
      <c r="AC49" s="328">
        <f t="shared" si="37"/>
        <v>0</v>
      </c>
      <c r="AD49" s="329"/>
      <c r="AE49" s="330"/>
      <c r="AF49" s="330"/>
      <c r="AG49" s="330"/>
      <c r="AH49" s="330"/>
      <c r="AI49" s="330"/>
      <c r="AJ49" s="330"/>
      <c r="AK49" s="330"/>
      <c r="AL49" s="330"/>
      <c r="AM49" s="330"/>
      <c r="AN49" s="330"/>
      <c r="AO49" s="331"/>
      <c r="AP49" s="326"/>
      <c r="AQ49" s="332">
        <f t="shared" si="48"/>
        <v>0</v>
      </c>
      <c r="AR49" s="333">
        <f t="shared" si="38"/>
        <v>0</v>
      </c>
      <c r="AS49" s="329"/>
      <c r="AT49" s="330"/>
      <c r="AU49" s="330"/>
      <c r="AV49" s="330"/>
      <c r="AW49" s="330"/>
      <c r="AX49" s="330"/>
      <c r="AY49" s="330"/>
      <c r="AZ49" s="330"/>
      <c r="BA49" s="330"/>
      <c r="BB49" s="330"/>
      <c r="BC49" s="330"/>
      <c r="BD49" s="331"/>
      <c r="BE49" s="326"/>
      <c r="BF49" s="332">
        <f t="shared" si="49"/>
        <v>0</v>
      </c>
      <c r="BG49" s="333">
        <f t="shared" si="39"/>
        <v>0</v>
      </c>
      <c r="BH49" s="329"/>
      <c r="BI49" s="330"/>
      <c r="BJ49" s="330"/>
      <c r="BK49" s="330"/>
      <c r="BL49" s="330"/>
      <c r="BM49" s="330"/>
      <c r="BN49" s="330"/>
      <c r="BO49" s="330"/>
      <c r="BP49" s="330"/>
      <c r="BQ49" s="330"/>
      <c r="BR49" s="330"/>
      <c r="BS49" s="331"/>
      <c r="BT49" s="326"/>
      <c r="BU49" s="332">
        <f t="shared" si="40"/>
        <v>0</v>
      </c>
      <c r="BV49" s="333">
        <f t="shared" si="41"/>
        <v>0</v>
      </c>
      <c r="BW49" s="329"/>
      <c r="BX49" s="330"/>
      <c r="BY49" s="330"/>
      <c r="BZ49" s="330"/>
      <c r="CA49" s="330"/>
      <c r="CB49" s="330"/>
      <c r="CC49" s="330"/>
      <c r="CD49" s="330"/>
      <c r="CE49" s="330"/>
      <c r="CF49" s="330"/>
      <c r="CG49" s="330"/>
      <c r="CH49" s="331"/>
      <c r="CI49" s="326"/>
      <c r="CJ49" s="332">
        <f t="shared" si="42"/>
        <v>0</v>
      </c>
      <c r="CK49" s="333">
        <f t="shared" si="43"/>
        <v>0</v>
      </c>
      <c r="CL49" s="334">
        <f t="shared" si="44"/>
        <v>0</v>
      </c>
      <c r="CM49" s="335">
        <f t="shared" si="45"/>
        <v>0</v>
      </c>
      <c r="CN49" s="336">
        <f t="shared" si="46"/>
        <v>0</v>
      </c>
      <c r="CQ49" s="480"/>
    </row>
    <row r="50" spans="1:95" s="33" customFormat="1" ht="27" customHeight="1">
      <c r="A50" s="1052"/>
      <c r="B50" s="1050"/>
      <c r="C50" s="1050"/>
      <c r="D50" s="34"/>
      <c r="E50" s="125" t="s">
        <v>106</v>
      </c>
      <c r="F50" s="30"/>
      <c r="G50" s="31"/>
      <c r="H50" s="31"/>
      <c r="I50" s="110"/>
      <c r="J50" s="674" t="s">
        <v>1990</v>
      </c>
      <c r="K50" s="374" t="str">
        <f>IFERROR(VLOOKUP(H50,справочник!$A$3:$B$12,2,0),"нет данных")</f>
        <v>нет данных</v>
      </c>
      <c r="L50" s="326"/>
      <c r="M50" s="399"/>
      <c r="N50" s="346">
        <f t="shared" si="36"/>
        <v>0</v>
      </c>
      <c r="O50" s="394"/>
      <c r="P50" s="352"/>
      <c r="Q50" s="352"/>
      <c r="R50" s="352"/>
      <c r="S50" s="352"/>
      <c r="T50" s="352"/>
      <c r="U50" s="324"/>
      <c r="V50" s="324"/>
      <c r="W50" s="324"/>
      <c r="X50" s="324"/>
      <c r="Y50" s="324"/>
      <c r="Z50" s="325"/>
      <c r="AA50" s="326"/>
      <c r="AB50" s="327">
        <f t="shared" si="47"/>
        <v>0</v>
      </c>
      <c r="AC50" s="328">
        <f t="shared" si="37"/>
        <v>0</v>
      </c>
      <c r="AD50" s="329"/>
      <c r="AE50" s="330"/>
      <c r="AF50" s="330"/>
      <c r="AG50" s="330"/>
      <c r="AH50" s="330"/>
      <c r="AI50" s="330"/>
      <c r="AJ50" s="330"/>
      <c r="AK50" s="330"/>
      <c r="AL50" s="330"/>
      <c r="AM50" s="330"/>
      <c r="AN50" s="330"/>
      <c r="AO50" s="331"/>
      <c r="AP50" s="326"/>
      <c r="AQ50" s="332">
        <f t="shared" si="48"/>
        <v>0</v>
      </c>
      <c r="AR50" s="333">
        <f t="shared" si="38"/>
        <v>0</v>
      </c>
      <c r="AS50" s="329"/>
      <c r="AT50" s="330"/>
      <c r="AU50" s="330"/>
      <c r="AV50" s="330"/>
      <c r="AW50" s="330"/>
      <c r="AX50" s="330"/>
      <c r="AY50" s="330"/>
      <c r="AZ50" s="330"/>
      <c r="BA50" s="330"/>
      <c r="BB50" s="330"/>
      <c r="BC50" s="330"/>
      <c r="BD50" s="331"/>
      <c r="BE50" s="326"/>
      <c r="BF50" s="332">
        <f t="shared" si="49"/>
        <v>0</v>
      </c>
      <c r="BG50" s="333">
        <f t="shared" si="39"/>
        <v>0</v>
      </c>
      <c r="BH50" s="329"/>
      <c r="BI50" s="330"/>
      <c r="BJ50" s="330"/>
      <c r="BK50" s="330"/>
      <c r="BL50" s="330"/>
      <c r="BM50" s="330"/>
      <c r="BN50" s="330"/>
      <c r="BO50" s="330"/>
      <c r="BP50" s="330"/>
      <c r="BQ50" s="330"/>
      <c r="BR50" s="330"/>
      <c r="BS50" s="331"/>
      <c r="BT50" s="326"/>
      <c r="BU50" s="332">
        <f t="shared" si="40"/>
        <v>0</v>
      </c>
      <c r="BV50" s="333">
        <f t="shared" si="41"/>
        <v>0</v>
      </c>
      <c r="BW50" s="329"/>
      <c r="BX50" s="330"/>
      <c r="BY50" s="330"/>
      <c r="BZ50" s="330"/>
      <c r="CA50" s="330"/>
      <c r="CB50" s="330"/>
      <c r="CC50" s="330"/>
      <c r="CD50" s="330"/>
      <c r="CE50" s="330"/>
      <c r="CF50" s="330"/>
      <c r="CG50" s="330"/>
      <c r="CH50" s="331"/>
      <c r="CI50" s="326"/>
      <c r="CJ50" s="332">
        <f t="shared" si="42"/>
        <v>0</v>
      </c>
      <c r="CK50" s="333">
        <f t="shared" si="43"/>
        <v>0</v>
      </c>
      <c r="CL50" s="334">
        <f t="shared" si="44"/>
        <v>0</v>
      </c>
      <c r="CM50" s="335">
        <f t="shared" si="45"/>
        <v>0</v>
      </c>
      <c r="CN50" s="336">
        <f t="shared" si="46"/>
        <v>0</v>
      </c>
      <c r="CQ50" s="480"/>
    </row>
    <row r="51" spans="1:95" s="33" customFormat="1" ht="27" customHeight="1">
      <c r="A51" s="1051" t="s">
        <v>1567</v>
      </c>
      <c r="B51" s="1048" t="s">
        <v>1479</v>
      </c>
      <c r="C51" s="1048" t="s">
        <v>113</v>
      </c>
      <c r="D51" s="34"/>
      <c r="E51" s="125" t="s">
        <v>106</v>
      </c>
      <c r="F51" s="30"/>
      <c r="G51" s="31"/>
      <c r="H51" s="31"/>
      <c r="I51" s="110"/>
      <c r="J51" s="674" t="s">
        <v>1990</v>
      </c>
      <c r="K51" s="374" t="str">
        <f>IFERROR(VLOOKUP(H51,справочник!$A$3:$B$12,2,0),"нет данных")</f>
        <v>нет данных</v>
      </c>
      <c r="L51" s="326"/>
      <c r="M51" s="399"/>
      <c r="N51" s="346">
        <f t="shared" si="36"/>
        <v>0</v>
      </c>
      <c r="O51" s="394"/>
      <c r="P51" s="352"/>
      <c r="Q51" s="352"/>
      <c r="R51" s="352"/>
      <c r="S51" s="352"/>
      <c r="T51" s="352"/>
      <c r="U51" s="324"/>
      <c r="V51" s="324"/>
      <c r="W51" s="324"/>
      <c r="X51" s="324"/>
      <c r="Y51" s="324"/>
      <c r="Z51" s="325"/>
      <c r="AA51" s="326"/>
      <c r="AB51" s="327">
        <f t="shared" si="47"/>
        <v>0</v>
      </c>
      <c r="AC51" s="328">
        <f t="shared" si="37"/>
        <v>0</v>
      </c>
      <c r="AD51" s="329"/>
      <c r="AE51" s="330"/>
      <c r="AF51" s="330"/>
      <c r="AG51" s="330"/>
      <c r="AH51" s="330"/>
      <c r="AI51" s="330"/>
      <c r="AJ51" s="330"/>
      <c r="AK51" s="330"/>
      <c r="AL51" s="330"/>
      <c r="AM51" s="330"/>
      <c r="AN51" s="330"/>
      <c r="AO51" s="331"/>
      <c r="AP51" s="326"/>
      <c r="AQ51" s="332">
        <f t="shared" si="48"/>
        <v>0</v>
      </c>
      <c r="AR51" s="333">
        <f t="shared" si="38"/>
        <v>0</v>
      </c>
      <c r="AS51" s="329"/>
      <c r="AT51" s="330"/>
      <c r="AU51" s="330"/>
      <c r="AV51" s="330"/>
      <c r="AW51" s="330"/>
      <c r="AX51" s="330"/>
      <c r="AY51" s="330"/>
      <c r="AZ51" s="330"/>
      <c r="BA51" s="330"/>
      <c r="BB51" s="330"/>
      <c r="BC51" s="330"/>
      <c r="BD51" s="331"/>
      <c r="BE51" s="326"/>
      <c r="BF51" s="332">
        <f t="shared" si="49"/>
        <v>0</v>
      </c>
      <c r="BG51" s="333">
        <f t="shared" si="39"/>
        <v>0</v>
      </c>
      <c r="BH51" s="329"/>
      <c r="BI51" s="330"/>
      <c r="BJ51" s="330"/>
      <c r="BK51" s="330"/>
      <c r="BL51" s="330"/>
      <c r="BM51" s="330"/>
      <c r="BN51" s="330"/>
      <c r="BO51" s="330"/>
      <c r="BP51" s="330"/>
      <c r="BQ51" s="330"/>
      <c r="BR51" s="330"/>
      <c r="BS51" s="331"/>
      <c r="BT51" s="326"/>
      <c r="BU51" s="332">
        <f t="shared" si="40"/>
        <v>0</v>
      </c>
      <c r="BV51" s="333">
        <f t="shared" si="41"/>
        <v>0</v>
      </c>
      <c r="BW51" s="329"/>
      <c r="BX51" s="330"/>
      <c r="BY51" s="330"/>
      <c r="BZ51" s="330"/>
      <c r="CA51" s="330"/>
      <c r="CB51" s="330"/>
      <c r="CC51" s="330"/>
      <c r="CD51" s="330"/>
      <c r="CE51" s="330"/>
      <c r="CF51" s="330"/>
      <c r="CG51" s="330"/>
      <c r="CH51" s="331"/>
      <c r="CI51" s="326"/>
      <c r="CJ51" s="332">
        <f t="shared" si="42"/>
        <v>0</v>
      </c>
      <c r="CK51" s="333">
        <f t="shared" si="43"/>
        <v>0</v>
      </c>
      <c r="CL51" s="334">
        <f t="shared" si="44"/>
        <v>0</v>
      </c>
      <c r="CM51" s="335">
        <f t="shared" si="45"/>
        <v>0</v>
      </c>
      <c r="CN51" s="336">
        <f t="shared" si="46"/>
        <v>0</v>
      </c>
      <c r="CQ51" s="480"/>
    </row>
    <row r="52" spans="1:95" s="33" customFormat="1" ht="27" customHeight="1">
      <c r="A52" s="1052"/>
      <c r="B52" s="1050"/>
      <c r="C52" s="1050"/>
      <c r="D52" s="34"/>
      <c r="E52" s="125" t="s">
        <v>106</v>
      </c>
      <c r="F52" s="30"/>
      <c r="G52" s="31"/>
      <c r="H52" s="31"/>
      <c r="I52" s="110"/>
      <c r="J52" s="674" t="s">
        <v>1990</v>
      </c>
      <c r="K52" s="374" t="str">
        <f>IFERROR(VLOOKUP(H52,справочник!$A$3:$B$12,2,0),"нет данных")</f>
        <v>нет данных</v>
      </c>
      <c r="L52" s="326"/>
      <c r="M52" s="399"/>
      <c r="N52" s="346">
        <f t="shared" si="36"/>
        <v>0</v>
      </c>
      <c r="O52" s="394"/>
      <c r="P52" s="352"/>
      <c r="Q52" s="352"/>
      <c r="R52" s="352"/>
      <c r="S52" s="352"/>
      <c r="T52" s="352"/>
      <c r="U52" s="324"/>
      <c r="V52" s="324"/>
      <c r="W52" s="324"/>
      <c r="X52" s="324"/>
      <c r="Y52" s="324"/>
      <c r="Z52" s="325"/>
      <c r="AA52" s="326"/>
      <c r="AB52" s="327">
        <f>SUM(O52:Z52)</f>
        <v>0</v>
      </c>
      <c r="AC52" s="328">
        <f t="shared" si="37"/>
        <v>0</v>
      </c>
      <c r="AD52" s="329"/>
      <c r="AE52" s="330"/>
      <c r="AF52" s="330"/>
      <c r="AG52" s="330"/>
      <c r="AH52" s="330"/>
      <c r="AI52" s="330"/>
      <c r="AJ52" s="330"/>
      <c r="AK52" s="330"/>
      <c r="AL52" s="330"/>
      <c r="AM52" s="330"/>
      <c r="AN52" s="330"/>
      <c r="AO52" s="331"/>
      <c r="AP52" s="326"/>
      <c r="AQ52" s="332">
        <f>SUM(AD52:AO52)</f>
        <v>0</v>
      </c>
      <c r="AR52" s="333">
        <f t="shared" si="38"/>
        <v>0</v>
      </c>
      <c r="AS52" s="329"/>
      <c r="AT52" s="330"/>
      <c r="AU52" s="330"/>
      <c r="AV52" s="330"/>
      <c r="AW52" s="330"/>
      <c r="AX52" s="330"/>
      <c r="AY52" s="330"/>
      <c r="AZ52" s="330"/>
      <c r="BA52" s="330"/>
      <c r="BB52" s="330"/>
      <c r="BC52" s="330"/>
      <c r="BD52" s="331"/>
      <c r="BE52" s="326"/>
      <c r="BF52" s="332">
        <f>SUM(AS52:BD52)</f>
        <v>0</v>
      </c>
      <c r="BG52" s="333">
        <f t="shared" si="39"/>
        <v>0</v>
      </c>
      <c r="BH52" s="329"/>
      <c r="BI52" s="330"/>
      <c r="BJ52" s="330"/>
      <c r="BK52" s="330"/>
      <c r="BL52" s="330"/>
      <c r="BM52" s="330"/>
      <c r="BN52" s="330"/>
      <c r="BO52" s="330"/>
      <c r="BP52" s="330"/>
      <c r="BQ52" s="330"/>
      <c r="BR52" s="330"/>
      <c r="BS52" s="331"/>
      <c r="BT52" s="326"/>
      <c r="BU52" s="332">
        <f t="shared" si="40"/>
        <v>0</v>
      </c>
      <c r="BV52" s="333">
        <f t="shared" si="41"/>
        <v>0</v>
      </c>
      <c r="BW52" s="329"/>
      <c r="BX52" s="330"/>
      <c r="BY52" s="330"/>
      <c r="BZ52" s="330"/>
      <c r="CA52" s="330"/>
      <c r="CB52" s="330"/>
      <c r="CC52" s="330"/>
      <c r="CD52" s="330"/>
      <c r="CE52" s="330"/>
      <c r="CF52" s="330"/>
      <c r="CG52" s="330"/>
      <c r="CH52" s="331"/>
      <c r="CI52" s="326"/>
      <c r="CJ52" s="332">
        <f t="shared" si="42"/>
        <v>0</v>
      </c>
      <c r="CK52" s="333">
        <f t="shared" si="43"/>
        <v>0</v>
      </c>
      <c r="CL52" s="334">
        <f t="shared" si="44"/>
        <v>0</v>
      </c>
      <c r="CM52" s="335">
        <f t="shared" si="45"/>
        <v>0</v>
      </c>
      <c r="CN52" s="336">
        <f t="shared" si="46"/>
        <v>0</v>
      </c>
      <c r="CQ52" s="480"/>
    </row>
    <row r="53" spans="1:95" s="33" customFormat="1" ht="17.100000000000001" customHeight="1">
      <c r="A53" s="1055" t="s">
        <v>28</v>
      </c>
      <c r="B53" s="1056"/>
      <c r="C53" s="129"/>
      <c r="D53" s="133"/>
      <c r="E53" s="126"/>
      <c r="F53" s="126"/>
      <c r="G53" s="134"/>
      <c r="H53" s="135"/>
      <c r="I53" s="135"/>
      <c r="J53" s="687"/>
      <c r="K53" s="337" t="str">
        <f>IFERROR(INDEX(#REF!,MATCH(#REF!&amp;F53&amp;H53,#REF!,0)),"")</f>
        <v/>
      </c>
      <c r="L53" s="355">
        <f t="shared" ref="L53:AS53" si="50">SUM(L35:L52)</f>
        <v>0</v>
      </c>
      <c r="M53" s="356">
        <f>SUM(M35:M52)</f>
        <v>0</v>
      </c>
      <c r="N53" s="454">
        <f t="shared" si="50"/>
        <v>0</v>
      </c>
      <c r="O53" s="453">
        <f t="shared" si="50"/>
        <v>0</v>
      </c>
      <c r="P53" s="353">
        <f t="shared" si="50"/>
        <v>0</v>
      </c>
      <c r="Q53" s="353">
        <f t="shared" si="50"/>
        <v>0</v>
      </c>
      <c r="R53" s="353">
        <f t="shared" si="50"/>
        <v>0</v>
      </c>
      <c r="S53" s="353">
        <f t="shared" si="50"/>
        <v>0</v>
      </c>
      <c r="T53" s="353">
        <f t="shared" si="50"/>
        <v>0</v>
      </c>
      <c r="U53" s="353">
        <f t="shared" si="50"/>
        <v>0</v>
      </c>
      <c r="V53" s="353">
        <f t="shared" si="50"/>
        <v>0</v>
      </c>
      <c r="W53" s="353">
        <f t="shared" si="50"/>
        <v>0</v>
      </c>
      <c r="X53" s="353">
        <f t="shared" si="50"/>
        <v>0</v>
      </c>
      <c r="Y53" s="353">
        <f t="shared" si="50"/>
        <v>0</v>
      </c>
      <c r="Z53" s="353">
        <f t="shared" si="50"/>
        <v>0</v>
      </c>
      <c r="AA53" s="355">
        <f t="shared" si="50"/>
        <v>0</v>
      </c>
      <c r="AB53" s="356">
        <f t="shared" si="50"/>
        <v>0</v>
      </c>
      <c r="AC53" s="338">
        <f t="shared" si="50"/>
        <v>0</v>
      </c>
      <c r="AD53" s="358">
        <f t="shared" si="50"/>
        <v>0</v>
      </c>
      <c r="AE53" s="358">
        <f t="shared" si="50"/>
        <v>0</v>
      </c>
      <c r="AF53" s="358">
        <f t="shared" si="50"/>
        <v>0</v>
      </c>
      <c r="AG53" s="358">
        <f t="shared" si="50"/>
        <v>0</v>
      </c>
      <c r="AH53" s="358">
        <f t="shared" si="50"/>
        <v>0</v>
      </c>
      <c r="AI53" s="358">
        <f t="shared" si="50"/>
        <v>0</v>
      </c>
      <c r="AJ53" s="358">
        <f t="shared" si="50"/>
        <v>0</v>
      </c>
      <c r="AK53" s="358">
        <f t="shared" si="50"/>
        <v>0</v>
      </c>
      <c r="AL53" s="358">
        <f t="shared" si="50"/>
        <v>0</v>
      </c>
      <c r="AM53" s="358">
        <f t="shared" si="50"/>
        <v>0</v>
      </c>
      <c r="AN53" s="358">
        <f t="shared" si="50"/>
        <v>0</v>
      </c>
      <c r="AO53" s="358">
        <f t="shared" si="50"/>
        <v>0</v>
      </c>
      <c r="AP53" s="359">
        <f t="shared" si="50"/>
        <v>0</v>
      </c>
      <c r="AQ53" s="360">
        <f t="shared" si="50"/>
        <v>0</v>
      </c>
      <c r="AR53" s="361">
        <f t="shared" si="50"/>
        <v>0</v>
      </c>
      <c r="AS53" s="358">
        <f t="shared" si="50"/>
        <v>0</v>
      </c>
      <c r="AT53" s="358">
        <f t="shared" ref="AT53:CN53" si="51">SUM(AT35:AT52)</f>
        <v>0</v>
      </c>
      <c r="AU53" s="358">
        <f t="shared" si="51"/>
        <v>0</v>
      </c>
      <c r="AV53" s="358">
        <f t="shared" si="51"/>
        <v>0</v>
      </c>
      <c r="AW53" s="358">
        <f t="shared" si="51"/>
        <v>0</v>
      </c>
      <c r="AX53" s="358">
        <f t="shared" si="51"/>
        <v>0</v>
      </c>
      <c r="AY53" s="358">
        <f t="shared" si="51"/>
        <v>0</v>
      </c>
      <c r="AZ53" s="358">
        <f t="shared" si="51"/>
        <v>0</v>
      </c>
      <c r="BA53" s="358">
        <f t="shared" si="51"/>
        <v>0</v>
      </c>
      <c r="BB53" s="358">
        <f t="shared" si="51"/>
        <v>0</v>
      </c>
      <c r="BC53" s="358">
        <f t="shared" si="51"/>
        <v>0</v>
      </c>
      <c r="BD53" s="358">
        <f t="shared" si="51"/>
        <v>0</v>
      </c>
      <c r="BE53" s="359">
        <f t="shared" si="51"/>
        <v>0</v>
      </c>
      <c r="BF53" s="360">
        <f t="shared" si="51"/>
        <v>0</v>
      </c>
      <c r="BG53" s="361">
        <f t="shared" si="51"/>
        <v>0</v>
      </c>
      <c r="BH53" s="400"/>
      <c r="BI53" s="400"/>
      <c r="BJ53" s="400"/>
      <c r="BK53" s="400"/>
      <c r="BL53" s="400"/>
      <c r="BM53" s="400"/>
      <c r="BN53" s="400"/>
      <c r="BO53" s="400"/>
      <c r="BP53" s="400"/>
      <c r="BQ53" s="400"/>
      <c r="BR53" s="400"/>
      <c r="BS53" s="400"/>
      <c r="BT53" s="359">
        <f t="shared" si="51"/>
        <v>0</v>
      </c>
      <c r="BU53" s="360">
        <f t="shared" si="51"/>
        <v>0</v>
      </c>
      <c r="BV53" s="361">
        <f t="shared" si="51"/>
        <v>0</v>
      </c>
      <c r="BW53" s="400"/>
      <c r="BX53" s="400"/>
      <c r="BY53" s="400"/>
      <c r="BZ53" s="400"/>
      <c r="CA53" s="400"/>
      <c r="CB53" s="400"/>
      <c r="CC53" s="400"/>
      <c r="CD53" s="400"/>
      <c r="CE53" s="400"/>
      <c r="CF53" s="400"/>
      <c r="CG53" s="400"/>
      <c r="CH53" s="400"/>
      <c r="CI53" s="359">
        <f t="shared" ref="CI53:CK53" si="52">SUM(CI35:CI52)</f>
        <v>0</v>
      </c>
      <c r="CJ53" s="360">
        <f t="shared" si="52"/>
        <v>0</v>
      </c>
      <c r="CK53" s="361">
        <f t="shared" si="52"/>
        <v>0</v>
      </c>
      <c r="CL53" s="362">
        <f t="shared" si="51"/>
        <v>0</v>
      </c>
      <c r="CM53" s="362">
        <f t="shared" si="51"/>
        <v>0</v>
      </c>
      <c r="CN53" s="339">
        <f t="shared" si="51"/>
        <v>0</v>
      </c>
      <c r="CQ53" s="480"/>
    </row>
    <row r="54" spans="1:95" ht="15.75" customHeight="1">
      <c r="A54" s="265" t="s">
        <v>31</v>
      </c>
      <c r="B54" s="1063" t="s">
        <v>1917</v>
      </c>
      <c r="C54" s="1064"/>
      <c r="D54" s="133"/>
      <c r="E54" s="127"/>
      <c r="F54" s="136"/>
      <c r="G54" s="137"/>
      <c r="H54" s="136"/>
      <c r="I54" s="137"/>
      <c r="J54" s="137"/>
      <c r="K54" s="375" t="str">
        <f>IFERROR(INDEX(#REF!,MATCH(#REF!&amp;F54&amp;H54,#REF!,0)),"")</f>
        <v/>
      </c>
      <c r="L54" s="364"/>
      <c r="M54" s="364"/>
      <c r="N54" s="364"/>
      <c r="O54" s="363"/>
      <c r="P54" s="364"/>
      <c r="Q54" s="364"/>
      <c r="R54" s="364"/>
      <c r="S54" s="364"/>
      <c r="T54" s="364"/>
      <c r="U54" s="364"/>
      <c r="V54" s="363"/>
      <c r="W54" s="363"/>
      <c r="X54" s="363"/>
      <c r="Y54" s="363"/>
      <c r="Z54" s="365"/>
      <c r="AA54" s="364"/>
      <c r="AB54" s="364"/>
      <c r="AC54" s="364"/>
      <c r="AD54" s="364"/>
      <c r="AE54" s="364"/>
      <c r="AF54" s="366"/>
      <c r="AG54" s="366"/>
      <c r="AH54" s="366"/>
      <c r="AI54" s="367"/>
      <c r="AJ54" s="366"/>
      <c r="AK54" s="366"/>
      <c r="AL54" s="366"/>
      <c r="AM54" s="366"/>
      <c r="AN54" s="366"/>
      <c r="AO54" s="366"/>
      <c r="AP54" s="366"/>
      <c r="AQ54" s="366"/>
      <c r="AR54" s="366"/>
      <c r="AS54" s="364"/>
      <c r="AT54" s="364"/>
      <c r="AU54" s="366"/>
      <c r="AV54" s="366"/>
      <c r="AW54" s="366"/>
      <c r="AX54" s="367"/>
      <c r="AY54" s="366"/>
      <c r="AZ54" s="366"/>
      <c r="BA54" s="366"/>
      <c r="BB54" s="366"/>
      <c r="BC54" s="366"/>
      <c r="BD54" s="366"/>
      <c r="BE54" s="366"/>
      <c r="BF54" s="366"/>
      <c r="BG54" s="366"/>
      <c r="BH54" s="366"/>
      <c r="BI54" s="366"/>
      <c r="BJ54" s="366"/>
      <c r="BK54" s="366"/>
      <c r="BL54" s="366"/>
      <c r="BM54" s="366"/>
      <c r="BN54" s="366"/>
      <c r="BO54" s="366"/>
      <c r="BP54" s="366"/>
      <c r="BQ54" s="366"/>
      <c r="BR54" s="366"/>
      <c r="BS54" s="366"/>
      <c r="BT54" s="366"/>
      <c r="BU54" s="366"/>
      <c r="BV54" s="366"/>
      <c r="BW54" s="366"/>
      <c r="BX54" s="366"/>
      <c r="BY54" s="366"/>
      <c r="BZ54" s="366"/>
      <c r="CA54" s="366"/>
      <c r="CB54" s="366"/>
      <c r="CC54" s="366"/>
      <c r="CD54" s="366"/>
      <c r="CE54" s="366"/>
      <c r="CF54" s="366"/>
      <c r="CG54" s="366"/>
      <c r="CH54" s="366"/>
      <c r="CI54" s="366"/>
      <c r="CJ54" s="366"/>
      <c r="CK54" s="366"/>
      <c r="CL54" s="363"/>
      <c r="CM54" s="363"/>
      <c r="CN54" s="368"/>
    </row>
    <row r="55" spans="1:95" s="33" customFormat="1" ht="38.25" customHeight="1">
      <c r="A55" s="1051" t="s">
        <v>1568</v>
      </c>
      <c r="B55" s="1048" t="s">
        <v>1480</v>
      </c>
      <c r="C55" s="1048" t="s">
        <v>1609</v>
      </c>
      <c r="D55" s="34"/>
      <c r="E55" s="125" t="s">
        <v>106</v>
      </c>
      <c r="F55" s="30"/>
      <c r="G55" s="31"/>
      <c r="H55" s="31"/>
      <c r="I55" s="110"/>
      <c r="J55" s="674" t="s">
        <v>1990</v>
      </c>
      <c r="K55" s="374" t="str">
        <f>IFERROR(VLOOKUP(H55,справочник!$A$3:$B$12,2,0),"нет данных")</f>
        <v>нет данных</v>
      </c>
      <c r="L55" s="326"/>
      <c r="M55" s="399"/>
      <c r="N55" s="333">
        <f t="shared" ref="N55:N78" si="53">IFERROR(ROUND((K55*M55+K55*L55),2),0)</f>
        <v>0</v>
      </c>
      <c r="O55" s="394"/>
      <c r="P55" s="352"/>
      <c r="Q55" s="352"/>
      <c r="R55" s="352"/>
      <c r="S55" s="352"/>
      <c r="T55" s="352"/>
      <c r="U55" s="324"/>
      <c r="V55" s="324"/>
      <c r="W55" s="324"/>
      <c r="X55" s="324"/>
      <c r="Y55" s="324"/>
      <c r="Z55" s="325"/>
      <c r="AA55" s="326"/>
      <c r="AB55" s="327">
        <f>SUM(O55:Z55)</f>
        <v>0</v>
      </c>
      <c r="AC55" s="328">
        <f t="shared" ref="AC55:AC78" si="54">IFERROR(ROUND(($K55*AB55+$K55*AA55),2),0)</f>
        <v>0</v>
      </c>
      <c r="AD55" s="329"/>
      <c r="AE55" s="330"/>
      <c r="AF55" s="330"/>
      <c r="AG55" s="330"/>
      <c r="AH55" s="330"/>
      <c r="AI55" s="330"/>
      <c r="AJ55" s="330"/>
      <c r="AK55" s="330"/>
      <c r="AL55" s="330"/>
      <c r="AM55" s="330"/>
      <c r="AN55" s="330"/>
      <c r="AO55" s="331"/>
      <c r="AP55" s="326"/>
      <c r="AQ55" s="332">
        <f>SUM(AD55:AO55)</f>
        <v>0</v>
      </c>
      <c r="AR55" s="333">
        <f t="shared" ref="AR55:AR78" si="55">IFERROR(ROUND(($K55*AQ55+$K55*AP55),2),0)</f>
        <v>0</v>
      </c>
      <c r="AS55" s="329"/>
      <c r="AT55" s="330"/>
      <c r="AU55" s="330"/>
      <c r="AV55" s="330"/>
      <c r="AW55" s="330"/>
      <c r="AX55" s="330"/>
      <c r="AY55" s="330"/>
      <c r="AZ55" s="330"/>
      <c r="BA55" s="330"/>
      <c r="BB55" s="330"/>
      <c r="BC55" s="330"/>
      <c r="BD55" s="331"/>
      <c r="BE55" s="326"/>
      <c r="BF55" s="332">
        <f>SUM(AS55:BD55)</f>
        <v>0</v>
      </c>
      <c r="BG55" s="333">
        <f t="shared" ref="BG55:BG78" si="56">IFERROR(ROUND(($K55*BF55+$K55*BE55),2),0)</f>
        <v>0</v>
      </c>
      <c r="BH55" s="329"/>
      <c r="BI55" s="330"/>
      <c r="BJ55" s="330"/>
      <c r="BK55" s="330"/>
      <c r="BL55" s="330"/>
      <c r="BM55" s="330"/>
      <c r="BN55" s="330"/>
      <c r="BO55" s="330"/>
      <c r="BP55" s="330"/>
      <c r="BQ55" s="330"/>
      <c r="BR55" s="330"/>
      <c r="BS55" s="331"/>
      <c r="BT55" s="326"/>
      <c r="BU55" s="332">
        <f t="shared" ref="BU55:BU78" si="57">SUM(BH55:BS55)</f>
        <v>0</v>
      </c>
      <c r="BV55" s="333">
        <f t="shared" ref="BV55:BV78" si="58">IFERROR(ROUND(($K55*BU55+$K55*BT55),2),0)</f>
        <v>0</v>
      </c>
      <c r="BW55" s="329"/>
      <c r="BX55" s="330"/>
      <c r="BY55" s="330"/>
      <c r="BZ55" s="330"/>
      <c r="CA55" s="330"/>
      <c r="CB55" s="330"/>
      <c r="CC55" s="330"/>
      <c r="CD55" s="330"/>
      <c r="CE55" s="330"/>
      <c r="CF55" s="330"/>
      <c r="CG55" s="330"/>
      <c r="CH55" s="331"/>
      <c r="CI55" s="326"/>
      <c r="CJ55" s="332">
        <f t="shared" ref="CJ55:CJ78" si="59">SUM(BW55:CH55)</f>
        <v>0</v>
      </c>
      <c r="CK55" s="333">
        <f t="shared" ref="CK55:CK78" si="60">IFERROR(ROUND(($K55*CJ55+$K55*CI55),2),0)</f>
        <v>0</v>
      </c>
      <c r="CL55" s="334">
        <f t="shared" ref="CL55:CL78" si="61">AA55+AP55+L55+BE55+BT55+CI55</f>
        <v>0</v>
      </c>
      <c r="CM55" s="335">
        <f t="shared" ref="CM55:CM78" si="62">AB55+AQ55+M55+BF55+BU55+CJ55</f>
        <v>0</v>
      </c>
      <c r="CN55" s="336">
        <f t="shared" ref="CN55:CN78" si="63">AC55+AR55+N55+BG55+BV55+CK55</f>
        <v>0</v>
      </c>
      <c r="CQ55" s="480"/>
    </row>
    <row r="56" spans="1:95" s="33" customFormat="1" ht="38.25" customHeight="1">
      <c r="A56" s="1052"/>
      <c r="B56" s="1050"/>
      <c r="C56" s="1050"/>
      <c r="D56" s="34"/>
      <c r="E56" s="125" t="s">
        <v>106</v>
      </c>
      <c r="F56" s="30"/>
      <c r="G56" s="31"/>
      <c r="H56" s="31"/>
      <c r="I56" s="110"/>
      <c r="J56" s="674" t="s">
        <v>1990</v>
      </c>
      <c r="K56" s="374" t="str">
        <f>IFERROR(VLOOKUP(H56,справочник!$A$3:$B$12,2,0),"нет данных")</f>
        <v>нет данных</v>
      </c>
      <c r="L56" s="326"/>
      <c r="M56" s="399"/>
      <c r="N56" s="346">
        <f t="shared" si="53"/>
        <v>0</v>
      </c>
      <c r="O56" s="394"/>
      <c r="P56" s="352"/>
      <c r="Q56" s="352"/>
      <c r="R56" s="352"/>
      <c r="S56" s="352"/>
      <c r="T56" s="352"/>
      <c r="U56" s="324"/>
      <c r="V56" s="324"/>
      <c r="W56" s="324"/>
      <c r="X56" s="324"/>
      <c r="Y56" s="324"/>
      <c r="Z56" s="325"/>
      <c r="AA56" s="326"/>
      <c r="AB56" s="327">
        <f t="shared" ref="AB56:AB78" si="64">SUM(O56:Z56)</f>
        <v>0</v>
      </c>
      <c r="AC56" s="328">
        <f t="shared" si="54"/>
        <v>0</v>
      </c>
      <c r="AD56" s="329"/>
      <c r="AE56" s="330"/>
      <c r="AF56" s="330"/>
      <c r="AG56" s="330"/>
      <c r="AH56" s="330"/>
      <c r="AI56" s="330"/>
      <c r="AJ56" s="330"/>
      <c r="AK56" s="330"/>
      <c r="AL56" s="330"/>
      <c r="AM56" s="330"/>
      <c r="AN56" s="330"/>
      <c r="AO56" s="331"/>
      <c r="AP56" s="326"/>
      <c r="AQ56" s="332">
        <f t="shared" ref="AQ56:AQ78" si="65">SUM(AD56:AO56)</f>
        <v>0</v>
      </c>
      <c r="AR56" s="333">
        <f t="shared" si="55"/>
        <v>0</v>
      </c>
      <c r="AS56" s="329"/>
      <c r="AT56" s="330"/>
      <c r="AU56" s="330"/>
      <c r="AV56" s="330"/>
      <c r="AW56" s="330"/>
      <c r="AX56" s="330"/>
      <c r="AY56" s="330"/>
      <c r="AZ56" s="330"/>
      <c r="BA56" s="330"/>
      <c r="BB56" s="330"/>
      <c r="BC56" s="330"/>
      <c r="BD56" s="331"/>
      <c r="BE56" s="326"/>
      <c r="BF56" s="332">
        <f t="shared" ref="BF56:BF77" si="66">SUM(AS56:BD56)</f>
        <v>0</v>
      </c>
      <c r="BG56" s="333">
        <f t="shared" si="56"/>
        <v>0</v>
      </c>
      <c r="BH56" s="329"/>
      <c r="BI56" s="330"/>
      <c r="BJ56" s="330"/>
      <c r="BK56" s="330"/>
      <c r="BL56" s="330"/>
      <c r="BM56" s="330"/>
      <c r="BN56" s="330"/>
      <c r="BO56" s="330"/>
      <c r="BP56" s="330"/>
      <c r="BQ56" s="330"/>
      <c r="BR56" s="330"/>
      <c r="BS56" s="331"/>
      <c r="BT56" s="326"/>
      <c r="BU56" s="332">
        <f t="shared" si="57"/>
        <v>0</v>
      </c>
      <c r="BV56" s="333">
        <f t="shared" si="58"/>
        <v>0</v>
      </c>
      <c r="BW56" s="329"/>
      <c r="BX56" s="330"/>
      <c r="BY56" s="330"/>
      <c r="BZ56" s="330"/>
      <c r="CA56" s="330"/>
      <c r="CB56" s="330"/>
      <c r="CC56" s="330"/>
      <c r="CD56" s="330"/>
      <c r="CE56" s="330"/>
      <c r="CF56" s="330"/>
      <c r="CG56" s="330"/>
      <c r="CH56" s="331"/>
      <c r="CI56" s="326"/>
      <c r="CJ56" s="332">
        <f t="shared" si="59"/>
        <v>0</v>
      </c>
      <c r="CK56" s="333">
        <f t="shared" si="60"/>
        <v>0</v>
      </c>
      <c r="CL56" s="334">
        <f t="shared" si="61"/>
        <v>0</v>
      </c>
      <c r="CM56" s="335">
        <f t="shared" si="62"/>
        <v>0</v>
      </c>
      <c r="CN56" s="336">
        <f t="shared" si="63"/>
        <v>0</v>
      </c>
      <c r="CQ56" s="480"/>
    </row>
    <row r="57" spans="1:95" s="33" customFormat="1" ht="27.75" customHeight="1">
      <c r="A57" s="1051" t="s">
        <v>1569</v>
      </c>
      <c r="B57" s="1048" t="s">
        <v>1481</v>
      </c>
      <c r="C57" s="1048" t="s">
        <v>1482</v>
      </c>
      <c r="D57" s="34"/>
      <c r="E57" s="125" t="s">
        <v>106</v>
      </c>
      <c r="F57" s="30"/>
      <c r="G57" s="31"/>
      <c r="H57" s="31"/>
      <c r="I57" s="110"/>
      <c r="J57" s="674" t="s">
        <v>1990</v>
      </c>
      <c r="K57" s="374" t="str">
        <f>IFERROR(VLOOKUP(H57,справочник!$A$3:$B$12,2,0),"нет данных")</f>
        <v>нет данных</v>
      </c>
      <c r="L57" s="326"/>
      <c r="M57" s="399"/>
      <c r="N57" s="346">
        <f t="shared" si="53"/>
        <v>0</v>
      </c>
      <c r="O57" s="394"/>
      <c r="P57" s="352"/>
      <c r="Q57" s="352"/>
      <c r="R57" s="352"/>
      <c r="S57" s="352"/>
      <c r="T57" s="352"/>
      <c r="U57" s="324"/>
      <c r="V57" s="324"/>
      <c r="W57" s="324"/>
      <c r="X57" s="324"/>
      <c r="Y57" s="324"/>
      <c r="Z57" s="325"/>
      <c r="AA57" s="326"/>
      <c r="AB57" s="327">
        <f t="shared" si="64"/>
        <v>0</v>
      </c>
      <c r="AC57" s="328">
        <f t="shared" si="54"/>
        <v>0</v>
      </c>
      <c r="AD57" s="329"/>
      <c r="AE57" s="330"/>
      <c r="AF57" s="330"/>
      <c r="AG57" s="330"/>
      <c r="AH57" s="330"/>
      <c r="AI57" s="330"/>
      <c r="AJ57" s="330"/>
      <c r="AK57" s="330"/>
      <c r="AL57" s="330"/>
      <c r="AM57" s="330"/>
      <c r="AN57" s="330"/>
      <c r="AO57" s="331"/>
      <c r="AP57" s="326"/>
      <c r="AQ57" s="332">
        <f t="shared" si="65"/>
        <v>0</v>
      </c>
      <c r="AR57" s="333">
        <f t="shared" si="55"/>
        <v>0</v>
      </c>
      <c r="AS57" s="329"/>
      <c r="AT57" s="330"/>
      <c r="AU57" s="330"/>
      <c r="AV57" s="330"/>
      <c r="AW57" s="330"/>
      <c r="AX57" s="330"/>
      <c r="AY57" s="330"/>
      <c r="AZ57" s="330"/>
      <c r="BA57" s="330"/>
      <c r="BB57" s="330"/>
      <c r="BC57" s="330"/>
      <c r="BD57" s="331"/>
      <c r="BE57" s="326"/>
      <c r="BF57" s="332">
        <f t="shared" si="66"/>
        <v>0</v>
      </c>
      <c r="BG57" s="333">
        <f t="shared" si="56"/>
        <v>0</v>
      </c>
      <c r="BH57" s="329"/>
      <c r="BI57" s="330"/>
      <c r="BJ57" s="330"/>
      <c r="BK57" s="330"/>
      <c r="BL57" s="330"/>
      <c r="BM57" s="330"/>
      <c r="BN57" s="330"/>
      <c r="BO57" s="330"/>
      <c r="BP57" s="330"/>
      <c r="BQ57" s="330"/>
      <c r="BR57" s="330"/>
      <c r="BS57" s="331"/>
      <c r="BT57" s="326"/>
      <c r="BU57" s="332">
        <f t="shared" si="57"/>
        <v>0</v>
      </c>
      <c r="BV57" s="333">
        <f t="shared" si="58"/>
        <v>0</v>
      </c>
      <c r="BW57" s="329"/>
      <c r="BX57" s="330"/>
      <c r="BY57" s="330"/>
      <c r="BZ57" s="330"/>
      <c r="CA57" s="330"/>
      <c r="CB57" s="330"/>
      <c r="CC57" s="330"/>
      <c r="CD57" s="330"/>
      <c r="CE57" s="330"/>
      <c r="CF57" s="330"/>
      <c r="CG57" s="330"/>
      <c r="CH57" s="331"/>
      <c r="CI57" s="326"/>
      <c r="CJ57" s="332">
        <f t="shared" si="59"/>
        <v>0</v>
      </c>
      <c r="CK57" s="333">
        <f t="shared" si="60"/>
        <v>0</v>
      </c>
      <c r="CL57" s="334">
        <f t="shared" si="61"/>
        <v>0</v>
      </c>
      <c r="CM57" s="335">
        <f t="shared" si="62"/>
        <v>0</v>
      </c>
      <c r="CN57" s="336">
        <f t="shared" si="63"/>
        <v>0</v>
      </c>
      <c r="CQ57" s="480"/>
    </row>
    <row r="58" spans="1:95" s="33" customFormat="1" ht="27.75" customHeight="1">
      <c r="A58" s="1052"/>
      <c r="B58" s="1050"/>
      <c r="C58" s="1050"/>
      <c r="D58" s="34"/>
      <c r="E58" s="125" t="s">
        <v>106</v>
      </c>
      <c r="F58" s="30"/>
      <c r="G58" s="31"/>
      <c r="H58" s="31"/>
      <c r="I58" s="110"/>
      <c r="J58" s="674" t="s">
        <v>1990</v>
      </c>
      <c r="K58" s="374" t="str">
        <f>IFERROR(VLOOKUP(H58,справочник!$A$3:$B$12,2,0),"нет данных")</f>
        <v>нет данных</v>
      </c>
      <c r="L58" s="326"/>
      <c r="M58" s="399"/>
      <c r="N58" s="346">
        <f t="shared" si="53"/>
        <v>0</v>
      </c>
      <c r="O58" s="394"/>
      <c r="P58" s="352"/>
      <c r="Q58" s="352"/>
      <c r="R58" s="352"/>
      <c r="S58" s="352"/>
      <c r="T58" s="352"/>
      <c r="U58" s="324"/>
      <c r="V58" s="324"/>
      <c r="W58" s="324"/>
      <c r="X58" s="324"/>
      <c r="Y58" s="324"/>
      <c r="Z58" s="325"/>
      <c r="AA58" s="326"/>
      <c r="AB58" s="327">
        <f t="shared" si="64"/>
        <v>0</v>
      </c>
      <c r="AC58" s="328">
        <f t="shared" si="54"/>
        <v>0</v>
      </c>
      <c r="AD58" s="329"/>
      <c r="AE58" s="330"/>
      <c r="AF58" s="330"/>
      <c r="AG58" s="330"/>
      <c r="AH58" s="330"/>
      <c r="AI58" s="330"/>
      <c r="AJ58" s="330"/>
      <c r="AK58" s="330"/>
      <c r="AL58" s="330"/>
      <c r="AM58" s="330"/>
      <c r="AN58" s="330"/>
      <c r="AO58" s="331"/>
      <c r="AP58" s="326"/>
      <c r="AQ58" s="332">
        <f t="shared" si="65"/>
        <v>0</v>
      </c>
      <c r="AR58" s="333">
        <f t="shared" si="55"/>
        <v>0</v>
      </c>
      <c r="AS58" s="329"/>
      <c r="AT58" s="330"/>
      <c r="AU58" s="330"/>
      <c r="AV58" s="330"/>
      <c r="AW58" s="330"/>
      <c r="AX58" s="330"/>
      <c r="AY58" s="330"/>
      <c r="AZ58" s="330"/>
      <c r="BA58" s="330"/>
      <c r="BB58" s="330"/>
      <c r="BC58" s="330"/>
      <c r="BD58" s="331"/>
      <c r="BE58" s="326"/>
      <c r="BF58" s="332">
        <f t="shared" si="66"/>
        <v>0</v>
      </c>
      <c r="BG58" s="333">
        <f t="shared" si="56"/>
        <v>0</v>
      </c>
      <c r="BH58" s="329"/>
      <c r="BI58" s="330"/>
      <c r="BJ58" s="330"/>
      <c r="BK58" s="330"/>
      <c r="BL58" s="330"/>
      <c r="BM58" s="330"/>
      <c r="BN58" s="330"/>
      <c r="BO58" s="330"/>
      <c r="BP58" s="330"/>
      <c r="BQ58" s="330"/>
      <c r="BR58" s="330"/>
      <c r="BS58" s="331"/>
      <c r="BT58" s="326"/>
      <c r="BU58" s="332">
        <f t="shared" si="57"/>
        <v>0</v>
      </c>
      <c r="BV58" s="333">
        <f t="shared" si="58"/>
        <v>0</v>
      </c>
      <c r="BW58" s="329"/>
      <c r="BX58" s="330"/>
      <c r="BY58" s="330"/>
      <c r="BZ58" s="330"/>
      <c r="CA58" s="330"/>
      <c r="CB58" s="330"/>
      <c r="CC58" s="330"/>
      <c r="CD58" s="330"/>
      <c r="CE58" s="330"/>
      <c r="CF58" s="330"/>
      <c r="CG58" s="330"/>
      <c r="CH58" s="331"/>
      <c r="CI58" s="326"/>
      <c r="CJ58" s="332">
        <f t="shared" si="59"/>
        <v>0</v>
      </c>
      <c r="CK58" s="333">
        <f t="shared" si="60"/>
        <v>0</v>
      </c>
      <c r="CL58" s="334">
        <f t="shared" si="61"/>
        <v>0</v>
      </c>
      <c r="CM58" s="335">
        <f t="shared" si="62"/>
        <v>0</v>
      </c>
      <c r="CN58" s="336">
        <f t="shared" si="63"/>
        <v>0</v>
      </c>
      <c r="CQ58" s="480"/>
    </row>
    <row r="59" spans="1:95" s="33" customFormat="1" ht="27.75" customHeight="1">
      <c r="A59" s="1051" t="s">
        <v>1570</v>
      </c>
      <c r="B59" s="1048" t="s">
        <v>1483</v>
      </c>
      <c r="C59" s="1048" t="s">
        <v>84</v>
      </c>
      <c r="D59" s="34"/>
      <c r="E59" s="125" t="s">
        <v>106</v>
      </c>
      <c r="F59" s="30"/>
      <c r="G59" s="31"/>
      <c r="H59" s="31"/>
      <c r="I59" s="110"/>
      <c r="J59" s="674" t="s">
        <v>1990</v>
      </c>
      <c r="K59" s="374" t="str">
        <f>IFERROR(VLOOKUP(H59,справочник!$A$3:$B$12,2,0),"нет данных")</f>
        <v>нет данных</v>
      </c>
      <c r="L59" s="326"/>
      <c r="M59" s="399"/>
      <c r="N59" s="346">
        <f t="shared" si="53"/>
        <v>0</v>
      </c>
      <c r="O59" s="394"/>
      <c r="P59" s="352"/>
      <c r="Q59" s="352"/>
      <c r="R59" s="352"/>
      <c r="S59" s="352"/>
      <c r="T59" s="352"/>
      <c r="U59" s="324"/>
      <c r="V59" s="324"/>
      <c r="W59" s="324"/>
      <c r="X59" s="324"/>
      <c r="Y59" s="324"/>
      <c r="Z59" s="325"/>
      <c r="AA59" s="326"/>
      <c r="AB59" s="327">
        <f t="shared" si="64"/>
        <v>0</v>
      </c>
      <c r="AC59" s="328">
        <f t="shared" si="54"/>
        <v>0</v>
      </c>
      <c r="AD59" s="329"/>
      <c r="AE59" s="330"/>
      <c r="AF59" s="330"/>
      <c r="AG59" s="330"/>
      <c r="AH59" s="330"/>
      <c r="AI59" s="330"/>
      <c r="AJ59" s="330"/>
      <c r="AK59" s="330"/>
      <c r="AL59" s="330"/>
      <c r="AM59" s="330"/>
      <c r="AN59" s="330"/>
      <c r="AO59" s="331"/>
      <c r="AP59" s="326"/>
      <c r="AQ59" s="332">
        <f t="shared" si="65"/>
        <v>0</v>
      </c>
      <c r="AR59" s="333">
        <f t="shared" si="55"/>
        <v>0</v>
      </c>
      <c r="AS59" s="329"/>
      <c r="AT59" s="330"/>
      <c r="AU59" s="330"/>
      <c r="AV59" s="330"/>
      <c r="AW59" s="330"/>
      <c r="AX59" s="330"/>
      <c r="AY59" s="330"/>
      <c r="AZ59" s="330"/>
      <c r="BA59" s="330"/>
      <c r="BB59" s="330"/>
      <c r="BC59" s="330"/>
      <c r="BD59" s="331"/>
      <c r="BE59" s="326"/>
      <c r="BF59" s="332">
        <f t="shared" si="66"/>
        <v>0</v>
      </c>
      <c r="BG59" s="333">
        <f t="shared" si="56"/>
        <v>0</v>
      </c>
      <c r="BH59" s="329"/>
      <c r="BI59" s="330"/>
      <c r="BJ59" s="330"/>
      <c r="BK59" s="330"/>
      <c r="BL59" s="330"/>
      <c r="BM59" s="330"/>
      <c r="BN59" s="330"/>
      <c r="BO59" s="330"/>
      <c r="BP59" s="330"/>
      <c r="BQ59" s="330"/>
      <c r="BR59" s="330"/>
      <c r="BS59" s="331"/>
      <c r="BT59" s="326"/>
      <c r="BU59" s="332">
        <f t="shared" si="57"/>
        <v>0</v>
      </c>
      <c r="BV59" s="333">
        <f t="shared" si="58"/>
        <v>0</v>
      </c>
      <c r="BW59" s="329"/>
      <c r="BX59" s="330"/>
      <c r="BY59" s="330"/>
      <c r="BZ59" s="330"/>
      <c r="CA59" s="330"/>
      <c r="CB59" s="330"/>
      <c r="CC59" s="330"/>
      <c r="CD59" s="330"/>
      <c r="CE59" s="330"/>
      <c r="CF59" s="330"/>
      <c r="CG59" s="330"/>
      <c r="CH59" s="331"/>
      <c r="CI59" s="326"/>
      <c r="CJ59" s="332">
        <f t="shared" si="59"/>
        <v>0</v>
      </c>
      <c r="CK59" s="333">
        <f t="shared" si="60"/>
        <v>0</v>
      </c>
      <c r="CL59" s="334">
        <f t="shared" si="61"/>
        <v>0</v>
      </c>
      <c r="CM59" s="335">
        <f t="shared" si="62"/>
        <v>0</v>
      </c>
      <c r="CN59" s="336">
        <f t="shared" si="63"/>
        <v>0</v>
      </c>
      <c r="CQ59" s="480"/>
    </row>
    <row r="60" spans="1:95" s="33" customFormat="1" ht="27.75" customHeight="1">
      <c r="A60" s="1052"/>
      <c r="B60" s="1050"/>
      <c r="C60" s="1050"/>
      <c r="D60" s="34"/>
      <c r="E60" s="125" t="s">
        <v>106</v>
      </c>
      <c r="F60" s="30"/>
      <c r="G60" s="31"/>
      <c r="H60" s="31"/>
      <c r="I60" s="110"/>
      <c r="J60" s="674" t="s">
        <v>1990</v>
      </c>
      <c r="K60" s="374" t="str">
        <f>IFERROR(VLOOKUP(H60,справочник!$A$3:$B$12,2,0),"нет данных")</f>
        <v>нет данных</v>
      </c>
      <c r="L60" s="326"/>
      <c r="M60" s="399"/>
      <c r="N60" s="346">
        <f t="shared" si="53"/>
        <v>0</v>
      </c>
      <c r="O60" s="394"/>
      <c r="P60" s="352"/>
      <c r="Q60" s="352"/>
      <c r="R60" s="352"/>
      <c r="S60" s="352"/>
      <c r="T60" s="352"/>
      <c r="U60" s="324"/>
      <c r="V60" s="324"/>
      <c r="W60" s="324"/>
      <c r="X60" s="324"/>
      <c r="Y60" s="324"/>
      <c r="Z60" s="325"/>
      <c r="AA60" s="326"/>
      <c r="AB60" s="327">
        <f t="shared" si="64"/>
        <v>0</v>
      </c>
      <c r="AC60" s="328">
        <f t="shared" si="54"/>
        <v>0</v>
      </c>
      <c r="AD60" s="329"/>
      <c r="AE60" s="330"/>
      <c r="AF60" s="330"/>
      <c r="AG60" s="330"/>
      <c r="AH60" s="330"/>
      <c r="AI60" s="330"/>
      <c r="AJ60" s="330"/>
      <c r="AK60" s="330"/>
      <c r="AL60" s="330"/>
      <c r="AM60" s="330"/>
      <c r="AN60" s="330"/>
      <c r="AO60" s="331"/>
      <c r="AP60" s="326"/>
      <c r="AQ60" s="332">
        <f t="shared" si="65"/>
        <v>0</v>
      </c>
      <c r="AR60" s="333">
        <f t="shared" si="55"/>
        <v>0</v>
      </c>
      <c r="AS60" s="329"/>
      <c r="AT60" s="330"/>
      <c r="AU60" s="330"/>
      <c r="AV60" s="330"/>
      <c r="AW60" s="330"/>
      <c r="AX60" s="330"/>
      <c r="AY60" s="330"/>
      <c r="AZ60" s="330"/>
      <c r="BA60" s="330"/>
      <c r="BB60" s="330"/>
      <c r="BC60" s="330"/>
      <c r="BD60" s="331"/>
      <c r="BE60" s="326"/>
      <c r="BF60" s="332">
        <f t="shared" si="66"/>
        <v>0</v>
      </c>
      <c r="BG60" s="333">
        <f t="shared" si="56"/>
        <v>0</v>
      </c>
      <c r="BH60" s="329"/>
      <c r="BI60" s="330"/>
      <c r="BJ60" s="330"/>
      <c r="BK60" s="330"/>
      <c r="BL60" s="330"/>
      <c r="BM60" s="330"/>
      <c r="BN60" s="330"/>
      <c r="BO60" s="330"/>
      <c r="BP60" s="330"/>
      <c r="BQ60" s="330"/>
      <c r="BR60" s="330"/>
      <c r="BS60" s="331"/>
      <c r="BT60" s="326"/>
      <c r="BU60" s="332">
        <f t="shared" si="57"/>
        <v>0</v>
      </c>
      <c r="BV60" s="333">
        <f t="shared" si="58"/>
        <v>0</v>
      </c>
      <c r="BW60" s="329"/>
      <c r="BX60" s="330"/>
      <c r="BY60" s="330"/>
      <c r="BZ60" s="330"/>
      <c r="CA60" s="330"/>
      <c r="CB60" s="330"/>
      <c r="CC60" s="330"/>
      <c r="CD60" s="330"/>
      <c r="CE60" s="330"/>
      <c r="CF60" s="330"/>
      <c r="CG60" s="330"/>
      <c r="CH60" s="331"/>
      <c r="CI60" s="326"/>
      <c r="CJ60" s="332">
        <f t="shared" si="59"/>
        <v>0</v>
      </c>
      <c r="CK60" s="333">
        <f t="shared" si="60"/>
        <v>0</v>
      </c>
      <c r="CL60" s="334">
        <f t="shared" si="61"/>
        <v>0</v>
      </c>
      <c r="CM60" s="335">
        <f t="shared" si="62"/>
        <v>0</v>
      </c>
      <c r="CN60" s="336">
        <f t="shared" si="63"/>
        <v>0</v>
      </c>
      <c r="CQ60" s="480"/>
    </row>
    <row r="61" spans="1:95" s="33" customFormat="1" ht="27.75" customHeight="1">
      <c r="A61" s="1051" t="s">
        <v>1571</v>
      </c>
      <c r="B61" s="1048" t="s">
        <v>1484</v>
      </c>
      <c r="C61" s="1048" t="s">
        <v>1461</v>
      </c>
      <c r="D61" s="34"/>
      <c r="E61" s="125" t="s">
        <v>106</v>
      </c>
      <c r="F61" s="30"/>
      <c r="G61" s="31"/>
      <c r="H61" s="31"/>
      <c r="I61" s="32"/>
      <c r="J61" s="674" t="s">
        <v>1990</v>
      </c>
      <c r="K61" s="374" t="str">
        <f>IFERROR(VLOOKUP(H61,справочник!$A$3:$B$12,2,0),"нет данных")</f>
        <v>нет данных</v>
      </c>
      <c r="L61" s="326"/>
      <c r="M61" s="399"/>
      <c r="N61" s="346">
        <f t="shared" si="53"/>
        <v>0</v>
      </c>
      <c r="O61" s="394"/>
      <c r="P61" s="352"/>
      <c r="Q61" s="352"/>
      <c r="R61" s="352"/>
      <c r="S61" s="352"/>
      <c r="T61" s="352"/>
      <c r="U61" s="324"/>
      <c r="V61" s="324"/>
      <c r="W61" s="324"/>
      <c r="X61" s="324"/>
      <c r="Y61" s="324"/>
      <c r="Z61" s="325"/>
      <c r="AA61" s="326"/>
      <c r="AB61" s="327">
        <f t="shared" si="64"/>
        <v>0</v>
      </c>
      <c r="AC61" s="328">
        <f t="shared" si="54"/>
        <v>0</v>
      </c>
      <c r="AD61" s="329"/>
      <c r="AE61" s="330"/>
      <c r="AF61" s="330"/>
      <c r="AG61" s="330"/>
      <c r="AH61" s="330"/>
      <c r="AI61" s="330"/>
      <c r="AJ61" s="330"/>
      <c r="AK61" s="330"/>
      <c r="AL61" s="330"/>
      <c r="AM61" s="330"/>
      <c r="AN61" s="330"/>
      <c r="AO61" s="331"/>
      <c r="AP61" s="326"/>
      <c r="AQ61" s="332">
        <f t="shared" si="65"/>
        <v>0</v>
      </c>
      <c r="AR61" s="333">
        <f t="shared" si="55"/>
        <v>0</v>
      </c>
      <c r="AS61" s="329"/>
      <c r="AT61" s="330"/>
      <c r="AU61" s="330"/>
      <c r="AV61" s="330"/>
      <c r="AW61" s="330"/>
      <c r="AX61" s="330"/>
      <c r="AY61" s="330"/>
      <c r="AZ61" s="330"/>
      <c r="BA61" s="330"/>
      <c r="BB61" s="330"/>
      <c r="BC61" s="330"/>
      <c r="BD61" s="331"/>
      <c r="BE61" s="326"/>
      <c r="BF61" s="332">
        <f t="shared" si="66"/>
        <v>0</v>
      </c>
      <c r="BG61" s="333">
        <f t="shared" si="56"/>
        <v>0</v>
      </c>
      <c r="BH61" s="329"/>
      <c r="BI61" s="330"/>
      <c r="BJ61" s="330"/>
      <c r="BK61" s="330"/>
      <c r="BL61" s="330"/>
      <c r="BM61" s="330"/>
      <c r="BN61" s="330"/>
      <c r="BO61" s="330"/>
      <c r="BP61" s="330"/>
      <c r="BQ61" s="330"/>
      <c r="BR61" s="330"/>
      <c r="BS61" s="331"/>
      <c r="BT61" s="326"/>
      <c r="BU61" s="332">
        <f t="shared" si="57"/>
        <v>0</v>
      </c>
      <c r="BV61" s="333">
        <f t="shared" si="58"/>
        <v>0</v>
      </c>
      <c r="BW61" s="329"/>
      <c r="BX61" s="330"/>
      <c r="BY61" s="330"/>
      <c r="BZ61" s="330"/>
      <c r="CA61" s="330"/>
      <c r="CB61" s="330"/>
      <c r="CC61" s="330"/>
      <c r="CD61" s="330"/>
      <c r="CE61" s="330"/>
      <c r="CF61" s="330"/>
      <c r="CG61" s="330"/>
      <c r="CH61" s="331"/>
      <c r="CI61" s="326"/>
      <c r="CJ61" s="332">
        <f t="shared" si="59"/>
        <v>0</v>
      </c>
      <c r="CK61" s="333">
        <f t="shared" si="60"/>
        <v>0</v>
      </c>
      <c r="CL61" s="334">
        <f t="shared" si="61"/>
        <v>0</v>
      </c>
      <c r="CM61" s="335">
        <f t="shared" si="62"/>
        <v>0</v>
      </c>
      <c r="CN61" s="336">
        <f t="shared" si="63"/>
        <v>0</v>
      </c>
      <c r="CQ61" s="480"/>
    </row>
    <row r="62" spans="1:95" s="33" customFormat="1" ht="27.75" customHeight="1">
      <c r="A62" s="1052"/>
      <c r="B62" s="1050"/>
      <c r="C62" s="1050"/>
      <c r="D62" s="34"/>
      <c r="E62" s="125" t="s">
        <v>106</v>
      </c>
      <c r="F62" s="30"/>
      <c r="G62" s="31"/>
      <c r="H62" s="31"/>
      <c r="I62" s="110"/>
      <c r="J62" s="674" t="s">
        <v>1990</v>
      </c>
      <c r="K62" s="374" t="str">
        <f>IFERROR(VLOOKUP(H62,справочник!$A$3:$B$12,2,0),"нет данных")</f>
        <v>нет данных</v>
      </c>
      <c r="L62" s="326"/>
      <c r="M62" s="399"/>
      <c r="N62" s="346">
        <f t="shared" si="53"/>
        <v>0</v>
      </c>
      <c r="O62" s="394"/>
      <c r="P62" s="352"/>
      <c r="Q62" s="352"/>
      <c r="R62" s="352"/>
      <c r="S62" s="352"/>
      <c r="T62" s="352"/>
      <c r="U62" s="324"/>
      <c r="V62" s="324"/>
      <c r="W62" s="324"/>
      <c r="X62" s="324"/>
      <c r="Y62" s="324"/>
      <c r="Z62" s="325"/>
      <c r="AA62" s="326"/>
      <c r="AB62" s="327">
        <f t="shared" si="64"/>
        <v>0</v>
      </c>
      <c r="AC62" s="328">
        <f t="shared" si="54"/>
        <v>0</v>
      </c>
      <c r="AD62" s="329"/>
      <c r="AE62" s="330"/>
      <c r="AF62" s="330"/>
      <c r="AG62" s="330"/>
      <c r="AH62" s="330"/>
      <c r="AI62" s="330"/>
      <c r="AJ62" s="330"/>
      <c r="AK62" s="330"/>
      <c r="AL62" s="330"/>
      <c r="AM62" s="330"/>
      <c r="AN62" s="330"/>
      <c r="AO62" s="331"/>
      <c r="AP62" s="326"/>
      <c r="AQ62" s="332">
        <f t="shared" si="65"/>
        <v>0</v>
      </c>
      <c r="AR62" s="333">
        <f t="shared" si="55"/>
        <v>0</v>
      </c>
      <c r="AS62" s="329"/>
      <c r="AT62" s="330"/>
      <c r="AU62" s="330"/>
      <c r="AV62" s="330"/>
      <c r="AW62" s="330"/>
      <c r="AX62" s="330"/>
      <c r="AY62" s="330"/>
      <c r="AZ62" s="330"/>
      <c r="BA62" s="330"/>
      <c r="BB62" s="330"/>
      <c r="BC62" s="330"/>
      <c r="BD62" s="331"/>
      <c r="BE62" s="326"/>
      <c r="BF62" s="332">
        <f t="shared" si="66"/>
        <v>0</v>
      </c>
      <c r="BG62" s="333">
        <f t="shared" si="56"/>
        <v>0</v>
      </c>
      <c r="BH62" s="329"/>
      <c r="BI62" s="330"/>
      <c r="BJ62" s="330"/>
      <c r="BK62" s="330"/>
      <c r="BL62" s="330"/>
      <c r="BM62" s="330"/>
      <c r="BN62" s="330"/>
      <c r="BO62" s="330"/>
      <c r="BP62" s="330"/>
      <c r="BQ62" s="330"/>
      <c r="BR62" s="330"/>
      <c r="BS62" s="331"/>
      <c r="BT62" s="326"/>
      <c r="BU62" s="332">
        <f t="shared" si="57"/>
        <v>0</v>
      </c>
      <c r="BV62" s="333">
        <f t="shared" si="58"/>
        <v>0</v>
      </c>
      <c r="BW62" s="329"/>
      <c r="BX62" s="330"/>
      <c r="BY62" s="330"/>
      <c r="BZ62" s="330"/>
      <c r="CA62" s="330"/>
      <c r="CB62" s="330"/>
      <c r="CC62" s="330"/>
      <c r="CD62" s="330"/>
      <c r="CE62" s="330"/>
      <c r="CF62" s="330"/>
      <c r="CG62" s="330"/>
      <c r="CH62" s="331"/>
      <c r="CI62" s="326"/>
      <c r="CJ62" s="332">
        <f t="shared" si="59"/>
        <v>0</v>
      </c>
      <c r="CK62" s="333">
        <f t="shared" si="60"/>
        <v>0</v>
      </c>
      <c r="CL62" s="334">
        <f t="shared" si="61"/>
        <v>0</v>
      </c>
      <c r="CM62" s="335">
        <f t="shared" si="62"/>
        <v>0</v>
      </c>
      <c r="CN62" s="336">
        <f t="shared" si="63"/>
        <v>0</v>
      </c>
      <c r="CQ62" s="480"/>
    </row>
    <row r="63" spans="1:95" s="35" customFormat="1" ht="27.75" customHeight="1">
      <c r="A63" s="1051" t="s">
        <v>1572</v>
      </c>
      <c r="B63" s="1048" t="s">
        <v>1485</v>
      </c>
      <c r="C63" s="1048" t="s">
        <v>120</v>
      </c>
      <c r="D63" s="34"/>
      <c r="E63" s="125" t="s">
        <v>106</v>
      </c>
      <c r="F63" s="30"/>
      <c r="G63" s="31"/>
      <c r="H63" s="31"/>
      <c r="I63" s="32"/>
      <c r="J63" s="674" t="s">
        <v>1990</v>
      </c>
      <c r="K63" s="374" t="str">
        <f>IFERROR(VLOOKUP(H63,справочник!$A$3:$B$12,2,0),"нет данных")</f>
        <v>нет данных</v>
      </c>
      <c r="L63" s="326"/>
      <c r="M63" s="399"/>
      <c r="N63" s="346">
        <f t="shared" si="53"/>
        <v>0</v>
      </c>
      <c r="O63" s="394"/>
      <c r="P63" s="352"/>
      <c r="Q63" s="352"/>
      <c r="R63" s="352"/>
      <c r="S63" s="352"/>
      <c r="T63" s="352"/>
      <c r="U63" s="324"/>
      <c r="V63" s="324"/>
      <c r="W63" s="324"/>
      <c r="X63" s="324"/>
      <c r="Y63" s="324"/>
      <c r="Z63" s="325"/>
      <c r="AA63" s="326"/>
      <c r="AB63" s="327">
        <f t="shared" si="64"/>
        <v>0</v>
      </c>
      <c r="AC63" s="328">
        <f t="shared" si="54"/>
        <v>0</v>
      </c>
      <c r="AD63" s="329"/>
      <c r="AE63" s="330"/>
      <c r="AF63" s="330"/>
      <c r="AG63" s="330"/>
      <c r="AH63" s="330"/>
      <c r="AI63" s="330"/>
      <c r="AJ63" s="330"/>
      <c r="AK63" s="330"/>
      <c r="AL63" s="330"/>
      <c r="AM63" s="330"/>
      <c r="AN63" s="330"/>
      <c r="AO63" s="331"/>
      <c r="AP63" s="326"/>
      <c r="AQ63" s="332">
        <f t="shared" si="65"/>
        <v>0</v>
      </c>
      <c r="AR63" s="333">
        <f t="shared" si="55"/>
        <v>0</v>
      </c>
      <c r="AS63" s="329"/>
      <c r="AT63" s="330"/>
      <c r="AU63" s="330"/>
      <c r="AV63" s="330"/>
      <c r="AW63" s="330"/>
      <c r="AX63" s="330"/>
      <c r="AY63" s="330"/>
      <c r="AZ63" s="330"/>
      <c r="BA63" s="330"/>
      <c r="BB63" s="330"/>
      <c r="BC63" s="330"/>
      <c r="BD63" s="331"/>
      <c r="BE63" s="326"/>
      <c r="BF63" s="332">
        <f t="shared" si="66"/>
        <v>0</v>
      </c>
      <c r="BG63" s="333">
        <f t="shared" si="56"/>
        <v>0</v>
      </c>
      <c r="BH63" s="329"/>
      <c r="BI63" s="330"/>
      <c r="BJ63" s="330"/>
      <c r="BK63" s="330"/>
      <c r="BL63" s="330"/>
      <c r="BM63" s="330"/>
      <c r="BN63" s="330"/>
      <c r="BO63" s="330"/>
      <c r="BP63" s="330"/>
      <c r="BQ63" s="330"/>
      <c r="BR63" s="330"/>
      <c r="BS63" s="331"/>
      <c r="BT63" s="326"/>
      <c r="BU63" s="332">
        <f t="shared" si="57"/>
        <v>0</v>
      </c>
      <c r="BV63" s="333">
        <f t="shared" si="58"/>
        <v>0</v>
      </c>
      <c r="BW63" s="329"/>
      <c r="BX63" s="330"/>
      <c r="BY63" s="330"/>
      <c r="BZ63" s="330"/>
      <c r="CA63" s="330"/>
      <c r="CB63" s="330"/>
      <c r="CC63" s="330"/>
      <c r="CD63" s="330"/>
      <c r="CE63" s="330"/>
      <c r="CF63" s="330"/>
      <c r="CG63" s="330"/>
      <c r="CH63" s="331"/>
      <c r="CI63" s="326"/>
      <c r="CJ63" s="332">
        <f t="shared" si="59"/>
        <v>0</v>
      </c>
      <c r="CK63" s="333">
        <f t="shared" si="60"/>
        <v>0</v>
      </c>
      <c r="CL63" s="334">
        <f t="shared" si="61"/>
        <v>0</v>
      </c>
      <c r="CM63" s="335">
        <f t="shared" si="62"/>
        <v>0</v>
      </c>
      <c r="CN63" s="336">
        <f t="shared" si="63"/>
        <v>0</v>
      </c>
      <c r="CQ63" s="481"/>
    </row>
    <row r="64" spans="1:95" ht="27.75" customHeight="1">
      <c r="A64" s="1052"/>
      <c r="B64" s="1050"/>
      <c r="C64" s="1050"/>
      <c r="D64" s="34"/>
      <c r="E64" s="125" t="s">
        <v>106</v>
      </c>
      <c r="F64" s="30"/>
      <c r="G64" s="31"/>
      <c r="H64" s="31"/>
      <c r="I64" s="110"/>
      <c r="J64" s="674" t="s">
        <v>1990</v>
      </c>
      <c r="K64" s="374" t="str">
        <f>IFERROR(VLOOKUP(H64,справочник!$A$3:$B$12,2,0),"нет данных")</f>
        <v>нет данных</v>
      </c>
      <c r="L64" s="326"/>
      <c r="M64" s="399"/>
      <c r="N64" s="346">
        <f t="shared" si="53"/>
        <v>0</v>
      </c>
      <c r="O64" s="394"/>
      <c r="P64" s="352"/>
      <c r="Q64" s="352"/>
      <c r="R64" s="352"/>
      <c r="S64" s="352"/>
      <c r="T64" s="352"/>
      <c r="U64" s="324"/>
      <c r="V64" s="324"/>
      <c r="W64" s="324"/>
      <c r="X64" s="324"/>
      <c r="Y64" s="324"/>
      <c r="Z64" s="325"/>
      <c r="AA64" s="326"/>
      <c r="AB64" s="327">
        <f t="shared" si="64"/>
        <v>0</v>
      </c>
      <c r="AC64" s="328">
        <f t="shared" si="54"/>
        <v>0</v>
      </c>
      <c r="AD64" s="329"/>
      <c r="AE64" s="330"/>
      <c r="AF64" s="330"/>
      <c r="AG64" s="330"/>
      <c r="AH64" s="330"/>
      <c r="AI64" s="330"/>
      <c r="AJ64" s="330"/>
      <c r="AK64" s="330"/>
      <c r="AL64" s="330"/>
      <c r="AM64" s="330"/>
      <c r="AN64" s="330"/>
      <c r="AO64" s="331"/>
      <c r="AP64" s="326"/>
      <c r="AQ64" s="332">
        <f t="shared" si="65"/>
        <v>0</v>
      </c>
      <c r="AR64" s="333">
        <f t="shared" si="55"/>
        <v>0</v>
      </c>
      <c r="AS64" s="329"/>
      <c r="AT64" s="330"/>
      <c r="AU64" s="330"/>
      <c r="AV64" s="330"/>
      <c r="AW64" s="330"/>
      <c r="AX64" s="330"/>
      <c r="AY64" s="330"/>
      <c r="AZ64" s="330"/>
      <c r="BA64" s="330"/>
      <c r="BB64" s="330"/>
      <c r="BC64" s="330"/>
      <c r="BD64" s="331"/>
      <c r="BE64" s="326"/>
      <c r="BF64" s="332">
        <f t="shared" si="66"/>
        <v>0</v>
      </c>
      <c r="BG64" s="333">
        <f t="shared" si="56"/>
        <v>0</v>
      </c>
      <c r="BH64" s="329"/>
      <c r="BI64" s="330"/>
      <c r="BJ64" s="330"/>
      <c r="BK64" s="330"/>
      <c r="BL64" s="330"/>
      <c r="BM64" s="330"/>
      <c r="BN64" s="330"/>
      <c r="BO64" s="330"/>
      <c r="BP64" s="330"/>
      <c r="BQ64" s="330"/>
      <c r="BR64" s="330"/>
      <c r="BS64" s="331"/>
      <c r="BT64" s="326"/>
      <c r="BU64" s="332">
        <f t="shared" si="57"/>
        <v>0</v>
      </c>
      <c r="BV64" s="333">
        <f t="shared" si="58"/>
        <v>0</v>
      </c>
      <c r="BW64" s="329"/>
      <c r="BX64" s="330"/>
      <c r="BY64" s="330"/>
      <c r="BZ64" s="330"/>
      <c r="CA64" s="330"/>
      <c r="CB64" s="330"/>
      <c r="CC64" s="330"/>
      <c r="CD64" s="330"/>
      <c r="CE64" s="330"/>
      <c r="CF64" s="330"/>
      <c r="CG64" s="330"/>
      <c r="CH64" s="331"/>
      <c r="CI64" s="326"/>
      <c r="CJ64" s="332">
        <f t="shared" si="59"/>
        <v>0</v>
      </c>
      <c r="CK64" s="333">
        <f t="shared" si="60"/>
        <v>0</v>
      </c>
      <c r="CL64" s="334">
        <f t="shared" si="61"/>
        <v>0</v>
      </c>
      <c r="CM64" s="335">
        <f t="shared" si="62"/>
        <v>0</v>
      </c>
      <c r="CN64" s="336">
        <f t="shared" si="63"/>
        <v>0</v>
      </c>
    </row>
    <row r="65" spans="1:95" s="33" customFormat="1" ht="27.75" customHeight="1">
      <c r="A65" s="1051" t="s">
        <v>1573</v>
      </c>
      <c r="B65" s="1048" t="s">
        <v>1486</v>
      </c>
      <c r="C65" s="1048" t="s">
        <v>115</v>
      </c>
      <c r="D65" s="34"/>
      <c r="E65" s="125" t="s">
        <v>106</v>
      </c>
      <c r="F65" s="30"/>
      <c r="G65" s="31"/>
      <c r="H65" s="31"/>
      <c r="I65" s="110"/>
      <c r="J65" s="674" t="s">
        <v>1990</v>
      </c>
      <c r="K65" s="374" t="str">
        <f>IFERROR(VLOOKUP(H65,справочник!$A$3:$B$12,2,0),"нет данных")</f>
        <v>нет данных</v>
      </c>
      <c r="L65" s="326"/>
      <c r="M65" s="399"/>
      <c r="N65" s="346">
        <f t="shared" si="53"/>
        <v>0</v>
      </c>
      <c r="O65" s="394"/>
      <c r="P65" s="352"/>
      <c r="Q65" s="352"/>
      <c r="R65" s="352"/>
      <c r="S65" s="352"/>
      <c r="T65" s="352"/>
      <c r="U65" s="324"/>
      <c r="V65" s="324"/>
      <c r="W65" s="324"/>
      <c r="X65" s="324"/>
      <c r="Y65" s="324"/>
      <c r="Z65" s="325"/>
      <c r="AA65" s="326"/>
      <c r="AB65" s="327">
        <f t="shared" si="64"/>
        <v>0</v>
      </c>
      <c r="AC65" s="328">
        <f t="shared" si="54"/>
        <v>0</v>
      </c>
      <c r="AD65" s="329"/>
      <c r="AE65" s="330"/>
      <c r="AF65" s="330"/>
      <c r="AG65" s="330"/>
      <c r="AH65" s="330"/>
      <c r="AI65" s="330"/>
      <c r="AJ65" s="330"/>
      <c r="AK65" s="330"/>
      <c r="AL65" s="330"/>
      <c r="AM65" s="330"/>
      <c r="AN65" s="330"/>
      <c r="AO65" s="331"/>
      <c r="AP65" s="326"/>
      <c r="AQ65" s="332">
        <f t="shared" si="65"/>
        <v>0</v>
      </c>
      <c r="AR65" s="333">
        <f t="shared" si="55"/>
        <v>0</v>
      </c>
      <c r="AS65" s="329"/>
      <c r="AT65" s="330"/>
      <c r="AU65" s="330"/>
      <c r="AV65" s="330"/>
      <c r="AW65" s="330"/>
      <c r="AX65" s="330"/>
      <c r="AY65" s="330"/>
      <c r="AZ65" s="330"/>
      <c r="BA65" s="330"/>
      <c r="BB65" s="330"/>
      <c r="BC65" s="330"/>
      <c r="BD65" s="331"/>
      <c r="BE65" s="326"/>
      <c r="BF65" s="332">
        <f t="shared" si="66"/>
        <v>0</v>
      </c>
      <c r="BG65" s="333">
        <f t="shared" si="56"/>
        <v>0</v>
      </c>
      <c r="BH65" s="329"/>
      <c r="BI65" s="330"/>
      <c r="BJ65" s="330"/>
      <c r="BK65" s="330"/>
      <c r="BL65" s="330"/>
      <c r="BM65" s="330"/>
      <c r="BN65" s="330"/>
      <c r="BO65" s="330"/>
      <c r="BP65" s="330"/>
      <c r="BQ65" s="330"/>
      <c r="BR65" s="330"/>
      <c r="BS65" s="331"/>
      <c r="BT65" s="326"/>
      <c r="BU65" s="332">
        <f t="shared" si="57"/>
        <v>0</v>
      </c>
      <c r="BV65" s="333">
        <f t="shared" si="58"/>
        <v>0</v>
      </c>
      <c r="BW65" s="329"/>
      <c r="BX65" s="330"/>
      <c r="BY65" s="330"/>
      <c r="BZ65" s="330"/>
      <c r="CA65" s="330"/>
      <c r="CB65" s="330"/>
      <c r="CC65" s="330"/>
      <c r="CD65" s="330"/>
      <c r="CE65" s="330"/>
      <c r="CF65" s="330"/>
      <c r="CG65" s="330"/>
      <c r="CH65" s="331"/>
      <c r="CI65" s="326"/>
      <c r="CJ65" s="332">
        <f t="shared" si="59"/>
        <v>0</v>
      </c>
      <c r="CK65" s="333">
        <f t="shared" si="60"/>
        <v>0</v>
      </c>
      <c r="CL65" s="334">
        <f t="shared" si="61"/>
        <v>0</v>
      </c>
      <c r="CM65" s="335">
        <f t="shared" si="62"/>
        <v>0</v>
      </c>
      <c r="CN65" s="336">
        <f t="shared" si="63"/>
        <v>0</v>
      </c>
      <c r="CQ65" s="480"/>
    </row>
    <row r="66" spans="1:95" s="33" customFormat="1" ht="27.75" customHeight="1">
      <c r="A66" s="1052"/>
      <c r="B66" s="1050"/>
      <c r="C66" s="1050"/>
      <c r="D66" s="34"/>
      <c r="E66" s="125" t="s">
        <v>106</v>
      </c>
      <c r="F66" s="30"/>
      <c r="G66" s="31"/>
      <c r="H66" s="31"/>
      <c r="I66" s="110"/>
      <c r="J66" s="674" t="s">
        <v>1990</v>
      </c>
      <c r="K66" s="374" t="str">
        <f>IFERROR(VLOOKUP(H66,справочник!$A$3:$B$12,2,0),"нет данных")</f>
        <v>нет данных</v>
      </c>
      <c r="L66" s="326"/>
      <c r="M66" s="399"/>
      <c r="N66" s="346">
        <f t="shared" si="53"/>
        <v>0</v>
      </c>
      <c r="O66" s="394"/>
      <c r="P66" s="352"/>
      <c r="Q66" s="352"/>
      <c r="R66" s="352"/>
      <c r="S66" s="352"/>
      <c r="T66" s="352"/>
      <c r="U66" s="324"/>
      <c r="V66" s="324"/>
      <c r="W66" s="324"/>
      <c r="X66" s="324"/>
      <c r="Y66" s="324"/>
      <c r="Z66" s="325"/>
      <c r="AA66" s="326"/>
      <c r="AB66" s="327">
        <f t="shared" si="64"/>
        <v>0</v>
      </c>
      <c r="AC66" s="328">
        <f t="shared" si="54"/>
        <v>0</v>
      </c>
      <c r="AD66" s="329"/>
      <c r="AE66" s="330"/>
      <c r="AF66" s="330"/>
      <c r="AG66" s="330"/>
      <c r="AH66" s="330"/>
      <c r="AI66" s="330"/>
      <c r="AJ66" s="330"/>
      <c r="AK66" s="330"/>
      <c r="AL66" s="330"/>
      <c r="AM66" s="330"/>
      <c r="AN66" s="330"/>
      <c r="AO66" s="331"/>
      <c r="AP66" s="326"/>
      <c r="AQ66" s="332">
        <f t="shared" si="65"/>
        <v>0</v>
      </c>
      <c r="AR66" s="333">
        <f t="shared" si="55"/>
        <v>0</v>
      </c>
      <c r="AS66" s="329"/>
      <c r="AT66" s="330"/>
      <c r="AU66" s="330"/>
      <c r="AV66" s="330"/>
      <c r="AW66" s="330"/>
      <c r="AX66" s="330"/>
      <c r="AY66" s="330"/>
      <c r="AZ66" s="330"/>
      <c r="BA66" s="330"/>
      <c r="BB66" s="330"/>
      <c r="BC66" s="330"/>
      <c r="BD66" s="331"/>
      <c r="BE66" s="326"/>
      <c r="BF66" s="332">
        <f t="shared" si="66"/>
        <v>0</v>
      </c>
      <c r="BG66" s="333">
        <f t="shared" si="56"/>
        <v>0</v>
      </c>
      <c r="BH66" s="329"/>
      <c r="BI66" s="330"/>
      <c r="BJ66" s="330"/>
      <c r="BK66" s="330"/>
      <c r="BL66" s="330"/>
      <c r="BM66" s="330"/>
      <c r="BN66" s="330"/>
      <c r="BO66" s="330"/>
      <c r="BP66" s="330"/>
      <c r="BQ66" s="330"/>
      <c r="BR66" s="330"/>
      <c r="BS66" s="331"/>
      <c r="BT66" s="326"/>
      <c r="BU66" s="332">
        <f t="shared" si="57"/>
        <v>0</v>
      </c>
      <c r="BV66" s="333">
        <f t="shared" si="58"/>
        <v>0</v>
      </c>
      <c r="BW66" s="329"/>
      <c r="BX66" s="330"/>
      <c r="BY66" s="330"/>
      <c r="BZ66" s="330"/>
      <c r="CA66" s="330"/>
      <c r="CB66" s="330"/>
      <c r="CC66" s="330"/>
      <c r="CD66" s="330"/>
      <c r="CE66" s="330"/>
      <c r="CF66" s="330"/>
      <c r="CG66" s="330"/>
      <c r="CH66" s="331"/>
      <c r="CI66" s="326"/>
      <c r="CJ66" s="332">
        <f t="shared" si="59"/>
        <v>0</v>
      </c>
      <c r="CK66" s="333">
        <f t="shared" si="60"/>
        <v>0</v>
      </c>
      <c r="CL66" s="334">
        <f t="shared" si="61"/>
        <v>0</v>
      </c>
      <c r="CM66" s="335">
        <f t="shared" si="62"/>
        <v>0</v>
      </c>
      <c r="CN66" s="336">
        <f t="shared" si="63"/>
        <v>0</v>
      </c>
      <c r="CQ66" s="480"/>
    </row>
    <row r="67" spans="1:95" s="33" customFormat="1" ht="27.75" customHeight="1">
      <c r="A67" s="1051" t="s">
        <v>1574</v>
      </c>
      <c r="B67" s="1048" t="s">
        <v>1487</v>
      </c>
      <c r="C67" s="1048" t="s">
        <v>114</v>
      </c>
      <c r="D67" s="34"/>
      <c r="E67" s="125" t="s">
        <v>106</v>
      </c>
      <c r="F67" s="30"/>
      <c r="G67" s="31"/>
      <c r="H67" s="31"/>
      <c r="I67" s="110"/>
      <c r="J67" s="674" t="s">
        <v>1990</v>
      </c>
      <c r="K67" s="374" t="str">
        <f>IFERROR(VLOOKUP(H67,справочник!$A$3:$B$12,2,0),"нет данных")</f>
        <v>нет данных</v>
      </c>
      <c r="L67" s="326"/>
      <c r="M67" s="399"/>
      <c r="N67" s="346">
        <f t="shared" si="53"/>
        <v>0</v>
      </c>
      <c r="O67" s="394"/>
      <c r="P67" s="352"/>
      <c r="Q67" s="352"/>
      <c r="R67" s="352"/>
      <c r="S67" s="352"/>
      <c r="T67" s="352"/>
      <c r="U67" s="324"/>
      <c r="V67" s="324"/>
      <c r="W67" s="324"/>
      <c r="X67" s="324"/>
      <c r="Y67" s="324"/>
      <c r="Z67" s="325"/>
      <c r="AA67" s="326"/>
      <c r="AB67" s="327">
        <f t="shared" si="64"/>
        <v>0</v>
      </c>
      <c r="AC67" s="328">
        <f t="shared" si="54"/>
        <v>0</v>
      </c>
      <c r="AD67" s="329"/>
      <c r="AE67" s="330"/>
      <c r="AF67" s="330"/>
      <c r="AG67" s="330"/>
      <c r="AH67" s="330"/>
      <c r="AI67" s="330"/>
      <c r="AJ67" s="330"/>
      <c r="AK67" s="330"/>
      <c r="AL67" s="330"/>
      <c r="AM67" s="330"/>
      <c r="AN67" s="330"/>
      <c r="AO67" s="331"/>
      <c r="AP67" s="326"/>
      <c r="AQ67" s="332">
        <f t="shared" si="65"/>
        <v>0</v>
      </c>
      <c r="AR67" s="333">
        <f t="shared" si="55"/>
        <v>0</v>
      </c>
      <c r="AS67" s="329"/>
      <c r="AT67" s="330"/>
      <c r="AU67" s="330"/>
      <c r="AV67" s="330"/>
      <c r="AW67" s="330"/>
      <c r="AX67" s="330"/>
      <c r="AY67" s="330"/>
      <c r="AZ67" s="330"/>
      <c r="BA67" s="330"/>
      <c r="BB67" s="330"/>
      <c r="BC67" s="330"/>
      <c r="BD67" s="331"/>
      <c r="BE67" s="326"/>
      <c r="BF67" s="332">
        <f t="shared" si="66"/>
        <v>0</v>
      </c>
      <c r="BG67" s="333">
        <f t="shared" si="56"/>
        <v>0</v>
      </c>
      <c r="BH67" s="329"/>
      <c r="BI67" s="330"/>
      <c r="BJ67" s="330"/>
      <c r="BK67" s="330"/>
      <c r="BL67" s="330"/>
      <c r="BM67" s="330"/>
      <c r="BN67" s="330"/>
      <c r="BO67" s="330"/>
      <c r="BP67" s="330"/>
      <c r="BQ67" s="330"/>
      <c r="BR67" s="330"/>
      <c r="BS67" s="331"/>
      <c r="BT67" s="326"/>
      <c r="BU67" s="332">
        <f t="shared" si="57"/>
        <v>0</v>
      </c>
      <c r="BV67" s="333">
        <f t="shared" si="58"/>
        <v>0</v>
      </c>
      <c r="BW67" s="329"/>
      <c r="BX67" s="330"/>
      <c r="BY67" s="330"/>
      <c r="BZ67" s="330"/>
      <c r="CA67" s="330"/>
      <c r="CB67" s="330"/>
      <c r="CC67" s="330"/>
      <c r="CD67" s="330"/>
      <c r="CE67" s="330"/>
      <c r="CF67" s="330"/>
      <c r="CG67" s="330"/>
      <c r="CH67" s="331"/>
      <c r="CI67" s="326"/>
      <c r="CJ67" s="332">
        <f t="shared" si="59"/>
        <v>0</v>
      </c>
      <c r="CK67" s="333">
        <f t="shared" si="60"/>
        <v>0</v>
      </c>
      <c r="CL67" s="334">
        <f t="shared" si="61"/>
        <v>0</v>
      </c>
      <c r="CM67" s="335">
        <f t="shared" si="62"/>
        <v>0</v>
      </c>
      <c r="CN67" s="336">
        <f t="shared" si="63"/>
        <v>0</v>
      </c>
      <c r="CQ67" s="480"/>
    </row>
    <row r="68" spans="1:95" s="33" customFormat="1" ht="27.75" customHeight="1">
      <c r="A68" s="1052"/>
      <c r="B68" s="1050"/>
      <c r="C68" s="1050"/>
      <c r="D68" s="34"/>
      <c r="E68" s="125" t="s">
        <v>106</v>
      </c>
      <c r="F68" s="30"/>
      <c r="G68" s="31"/>
      <c r="H68" s="31"/>
      <c r="I68" s="110"/>
      <c r="J68" s="674" t="s">
        <v>1990</v>
      </c>
      <c r="K68" s="374" t="str">
        <f>IFERROR(VLOOKUP(H68,справочник!$A$3:$B$12,2,0),"нет данных")</f>
        <v>нет данных</v>
      </c>
      <c r="L68" s="326"/>
      <c r="M68" s="399"/>
      <c r="N68" s="346">
        <f t="shared" si="53"/>
        <v>0</v>
      </c>
      <c r="O68" s="394"/>
      <c r="P68" s="352"/>
      <c r="Q68" s="352"/>
      <c r="R68" s="352"/>
      <c r="S68" s="352"/>
      <c r="T68" s="352"/>
      <c r="U68" s="324"/>
      <c r="V68" s="324"/>
      <c r="W68" s="324"/>
      <c r="X68" s="324"/>
      <c r="Y68" s="324"/>
      <c r="Z68" s="325"/>
      <c r="AA68" s="326"/>
      <c r="AB68" s="327">
        <f t="shared" si="64"/>
        <v>0</v>
      </c>
      <c r="AC68" s="328">
        <f t="shared" si="54"/>
        <v>0</v>
      </c>
      <c r="AD68" s="329"/>
      <c r="AE68" s="330"/>
      <c r="AF68" s="330"/>
      <c r="AG68" s="330"/>
      <c r="AH68" s="330"/>
      <c r="AI68" s="330"/>
      <c r="AJ68" s="330"/>
      <c r="AK68" s="330"/>
      <c r="AL68" s="330"/>
      <c r="AM68" s="330"/>
      <c r="AN68" s="330"/>
      <c r="AO68" s="331"/>
      <c r="AP68" s="326"/>
      <c r="AQ68" s="332">
        <f t="shared" si="65"/>
        <v>0</v>
      </c>
      <c r="AR68" s="333">
        <f t="shared" si="55"/>
        <v>0</v>
      </c>
      <c r="AS68" s="329"/>
      <c r="AT68" s="330"/>
      <c r="AU68" s="330"/>
      <c r="AV68" s="330"/>
      <c r="AW68" s="330"/>
      <c r="AX68" s="330"/>
      <c r="AY68" s="330"/>
      <c r="AZ68" s="330"/>
      <c r="BA68" s="330"/>
      <c r="BB68" s="330"/>
      <c r="BC68" s="330"/>
      <c r="BD68" s="331"/>
      <c r="BE68" s="326"/>
      <c r="BF68" s="332">
        <f t="shared" si="66"/>
        <v>0</v>
      </c>
      <c r="BG68" s="333">
        <f t="shared" si="56"/>
        <v>0</v>
      </c>
      <c r="BH68" s="329"/>
      <c r="BI68" s="330"/>
      <c r="BJ68" s="330"/>
      <c r="BK68" s="330"/>
      <c r="BL68" s="330"/>
      <c r="BM68" s="330"/>
      <c r="BN68" s="330"/>
      <c r="BO68" s="330"/>
      <c r="BP68" s="330"/>
      <c r="BQ68" s="330"/>
      <c r="BR68" s="330"/>
      <c r="BS68" s="331"/>
      <c r="BT68" s="326"/>
      <c r="BU68" s="332">
        <f t="shared" si="57"/>
        <v>0</v>
      </c>
      <c r="BV68" s="333">
        <f t="shared" si="58"/>
        <v>0</v>
      </c>
      <c r="BW68" s="329"/>
      <c r="BX68" s="330"/>
      <c r="BY68" s="330"/>
      <c r="BZ68" s="330"/>
      <c r="CA68" s="330"/>
      <c r="CB68" s="330"/>
      <c r="CC68" s="330"/>
      <c r="CD68" s="330"/>
      <c r="CE68" s="330"/>
      <c r="CF68" s="330"/>
      <c r="CG68" s="330"/>
      <c r="CH68" s="331"/>
      <c r="CI68" s="326"/>
      <c r="CJ68" s="332">
        <f t="shared" si="59"/>
        <v>0</v>
      </c>
      <c r="CK68" s="333">
        <f t="shared" si="60"/>
        <v>0</v>
      </c>
      <c r="CL68" s="334">
        <f t="shared" si="61"/>
        <v>0</v>
      </c>
      <c r="CM68" s="335">
        <f t="shared" si="62"/>
        <v>0</v>
      </c>
      <c r="CN68" s="336">
        <f t="shared" si="63"/>
        <v>0</v>
      </c>
      <c r="CQ68" s="480"/>
    </row>
    <row r="69" spans="1:95" s="33" customFormat="1" ht="27.75" customHeight="1">
      <c r="A69" s="1051" t="s">
        <v>1575</v>
      </c>
      <c r="B69" s="1048" t="s">
        <v>1488</v>
      </c>
      <c r="C69" s="1048" t="s">
        <v>1489</v>
      </c>
      <c r="D69" s="34"/>
      <c r="E69" s="125" t="s">
        <v>106</v>
      </c>
      <c r="F69" s="30"/>
      <c r="G69" s="31"/>
      <c r="H69" s="31"/>
      <c r="I69" s="32"/>
      <c r="J69" s="674" t="s">
        <v>1990</v>
      </c>
      <c r="K69" s="374" t="str">
        <f>IFERROR(VLOOKUP(H69,справочник!$A$3:$B$12,2,0),"нет данных")</f>
        <v>нет данных</v>
      </c>
      <c r="L69" s="326"/>
      <c r="M69" s="399"/>
      <c r="N69" s="346">
        <f t="shared" si="53"/>
        <v>0</v>
      </c>
      <c r="O69" s="394"/>
      <c r="P69" s="352"/>
      <c r="Q69" s="352"/>
      <c r="R69" s="352"/>
      <c r="S69" s="352"/>
      <c r="T69" s="352"/>
      <c r="U69" s="324"/>
      <c r="V69" s="324"/>
      <c r="W69" s="324"/>
      <c r="X69" s="324"/>
      <c r="Y69" s="324"/>
      <c r="Z69" s="325"/>
      <c r="AA69" s="326"/>
      <c r="AB69" s="327">
        <f t="shared" si="64"/>
        <v>0</v>
      </c>
      <c r="AC69" s="328">
        <f t="shared" si="54"/>
        <v>0</v>
      </c>
      <c r="AD69" s="329"/>
      <c r="AE69" s="330"/>
      <c r="AF69" s="330"/>
      <c r="AG69" s="330"/>
      <c r="AH69" s="330"/>
      <c r="AI69" s="330"/>
      <c r="AJ69" s="330"/>
      <c r="AK69" s="330"/>
      <c r="AL69" s="330"/>
      <c r="AM69" s="330"/>
      <c r="AN69" s="330"/>
      <c r="AO69" s="331"/>
      <c r="AP69" s="326"/>
      <c r="AQ69" s="332">
        <f t="shared" si="65"/>
        <v>0</v>
      </c>
      <c r="AR69" s="333">
        <f t="shared" si="55"/>
        <v>0</v>
      </c>
      <c r="AS69" s="329"/>
      <c r="AT69" s="330"/>
      <c r="AU69" s="330"/>
      <c r="AV69" s="330"/>
      <c r="AW69" s="330"/>
      <c r="AX69" s="330"/>
      <c r="AY69" s="330"/>
      <c r="AZ69" s="330"/>
      <c r="BA69" s="330"/>
      <c r="BB69" s="330"/>
      <c r="BC69" s="330"/>
      <c r="BD69" s="331"/>
      <c r="BE69" s="326"/>
      <c r="BF69" s="332">
        <f t="shared" si="66"/>
        <v>0</v>
      </c>
      <c r="BG69" s="333">
        <f t="shared" si="56"/>
        <v>0</v>
      </c>
      <c r="BH69" s="329"/>
      <c r="BI69" s="330"/>
      <c r="BJ69" s="330"/>
      <c r="BK69" s="330"/>
      <c r="BL69" s="330"/>
      <c r="BM69" s="330"/>
      <c r="BN69" s="330"/>
      <c r="BO69" s="330"/>
      <c r="BP69" s="330"/>
      <c r="BQ69" s="330"/>
      <c r="BR69" s="330"/>
      <c r="BS69" s="331"/>
      <c r="BT69" s="326"/>
      <c r="BU69" s="332">
        <f t="shared" si="57"/>
        <v>0</v>
      </c>
      <c r="BV69" s="333">
        <f t="shared" si="58"/>
        <v>0</v>
      </c>
      <c r="BW69" s="329"/>
      <c r="BX69" s="330"/>
      <c r="BY69" s="330"/>
      <c r="BZ69" s="330"/>
      <c r="CA69" s="330"/>
      <c r="CB69" s="330"/>
      <c r="CC69" s="330"/>
      <c r="CD69" s="330"/>
      <c r="CE69" s="330"/>
      <c r="CF69" s="330"/>
      <c r="CG69" s="330"/>
      <c r="CH69" s="331"/>
      <c r="CI69" s="326"/>
      <c r="CJ69" s="332">
        <f t="shared" si="59"/>
        <v>0</v>
      </c>
      <c r="CK69" s="333">
        <f t="shared" si="60"/>
        <v>0</v>
      </c>
      <c r="CL69" s="334">
        <f t="shared" si="61"/>
        <v>0</v>
      </c>
      <c r="CM69" s="335">
        <f t="shared" si="62"/>
        <v>0</v>
      </c>
      <c r="CN69" s="336">
        <f t="shared" si="63"/>
        <v>0</v>
      </c>
      <c r="CQ69" s="480"/>
    </row>
    <row r="70" spans="1:95" s="33" customFormat="1" ht="27.75" customHeight="1">
      <c r="A70" s="1052"/>
      <c r="B70" s="1050"/>
      <c r="C70" s="1050"/>
      <c r="D70" s="34"/>
      <c r="E70" s="125" t="s">
        <v>106</v>
      </c>
      <c r="F70" s="30"/>
      <c r="G70" s="31"/>
      <c r="H70" s="31"/>
      <c r="I70" s="110"/>
      <c r="J70" s="674" t="s">
        <v>1990</v>
      </c>
      <c r="K70" s="374" t="str">
        <f>IFERROR(VLOOKUP(H70,справочник!$A$3:$B$12,2,0),"нет данных")</f>
        <v>нет данных</v>
      </c>
      <c r="L70" s="326"/>
      <c r="M70" s="399"/>
      <c r="N70" s="346">
        <f t="shared" si="53"/>
        <v>0</v>
      </c>
      <c r="O70" s="394"/>
      <c r="P70" s="352"/>
      <c r="Q70" s="352"/>
      <c r="R70" s="352"/>
      <c r="S70" s="352"/>
      <c r="T70" s="352"/>
      <c r="U70" s="324"/>
      <c r="V70" s="324"/>
      <c r="W70" s="324"/>
      <c r="X70" s="324"/>
      <c r="Y70" s="324"/>
      <c r="Z70" s="325"/>
      <c r="AA70" s="326"/>
      <c r="AB70" s="327">
        <f t="shared" si="64"/>
        <v>0</v>
      </c>
      <c r="AC70" s="328">
        <f t="shared" si="54"/>
        <v>0</v>
      </c>
      <c r="AD70" s="329"/>
      <c r="AE70" s="330"/>
      <c r="AF70" s="330"/>
      <c r="AG70" s="330"/>
      <c r="AH70" s="330"/>
      <c r="AI70" s="330"/>
      <c r="AJ70" s="330"/>
      <c r="AK70" s="330"/>
      <c r="AL70" s="330"/>
      <c r="AM70" s="330"/>
      <c r="AN70" s="330"/>
      <c r="AO70" s="331"/>
      <c r="AP70" s="326"/>
      <c r="AQ70" s="332">
        <f t="shared" si="65"/>
        <v>0</v>
      </c>
      <c r="AR70" s="333">
        <f t="shared" si="55"/>
        <v>0</v>
      </c>
      <c r="AS70" s="329"/>
      <c r="AT70" s="330"/>
      <c r="AU70" s="330"/>
      <c r="AV70" s="330"/>
      <c r="AW70" s="330"/>
      <c r="AX70" s="330"/>
      <c r="AY70" s="330"/>
      <c r="AZ70" s="330"/>
      <c r="BA70" s="330"/>
      <c r="BB70" s="330"/>
      <c r="BC70" s="330"/>
      <c r="BD70" s="331"/>
      <c r="BE70" s="326"/>
      <c r="BF70" s="332">
        <f t="shared" si="66"/>
        <v>0</v>
      </c>
      <c r="BG70" s="333">
        <f t="shared" si="56"/>
        <v>0</v>
      </c>
      <c r="BH70" s="329"/>
      <c r="BI70" s="330"/>
      <c r="BJ70" s="330"/>
      <c r="BK70" s="330"/>
      <c r="BL70" s="330"/>
      <c r="BM70" s="330"/>
      <c r="BN70" s="330"/>
      <c r="BO70" s="330"/>
      <c r="BP70" s="330"/>
      <c r="BQ70" s="330"/>
      <c r="BR70" s="330"/>
      <c r="BS70" s="331"/>
      <c r="BT70" s="326"/>
      <c r="BU70" s="332">
        <f t="shared" si="57"/>
        <v>0</v>
      </c>
      <c r="BV70" s="333">
        <f t="shared" si="58"/>
        <v>0</v>
      </c>
      <c r="BW70" s="329"/>
      <c r="BX70" s="330"/>
      <c r="BY70" s="330"/>
      <c r="BZ70" s="330"/>
      <c r="CA70" s="330"/>
      <c r="CB70" s="330"/>
      <c r="CC70" s="330"/>
      <c r="CD70" s="330"/>
      <c r="CE70" s="330"/>
      <c r="CF70" s="330"/>
      <c r="CG70" s="330"/>
      <c r="CH70" s="331"/>
      <c r="CI70" s="326"/>
      <c r="CJ70" s="332">
        <f t="shared" si="59"/>
        <v>0</v>
      </c>
      <c r="CK70" s="333">
        <f t="shared" si="60"/>
        <v>0</v>
      </c>
      <c r="CL70" s="334">
        <f t="shared" si="61"/>
        <v>0</v>
      </c>
      <c r="CM70" s="335">
        <f t="shared" si="62"/>
        <v>0</v>
      </c>
      <c r="CN70" s="336">
        <f t="shared" si="63"/>
        <v>0</v>
      </c>
      <c r="CQ70" s="480"/>
    </row>
    <row r="71" spans="1:95" s="33" customFormat="1" ht="27.75" customHeight="1">
      <c r="A71" s="1051" t="s">
        <v>122</v>
      </c>
      <c r="B71" s="1048" t="s">
        <v>1490</v>
      </c>
      <c r="C71" s="1048" t="s">
        <v>85</v>
      </c>
      <c r="D71" s="34"/>
      <c r="E71" s="125" t="s">
        <v>106</v>
      </c>
      <c r="F71" s="30"/>
      <c r="G71" s="31"/>
      <c r="H71" s="31"/>
      <c r="I71" s="110"/>
      <c r="J71" s="674" t="s">
        <v>1990</v>
      </c>
      <c r="K71" s="374" t="str">
        <f>IFERROR(VLOOKUP(H71,справочник!$A$3:$B$12,2,0),"нет данных")</f>
        <v>нет данных</v>
      </c>
      <c r="L71" s="326"/>
      <c r="M71" s="399"/>
      <c r="N71" s="346">
        <f t="shared" si="53"/>
        <v>0</v>
      </c>
      <c r="O71" s="394"/>
      <c r="P71" s="352"/>
      <c r="Q71" s="352"/>
      <c r="R71" s="352"/>
      <c r="S71" s="352"/>
      <c r="T71" s="352"/>
      <c r="U71" s="324"/>
      <c r="V71" s="324"/>
      <c r="W71" s="324"/>
      <c r="X71" s="324"/>
      <c r="Y71" s="324"/>
      <c r="Z71" s="325"/>
      <c r="AA71" s="326"/>
      <c r="AB71" s="327">
        <f t="shared" si="64"/>
        <v>0</v>
      </c>
      <c r="AC71" s="328">
        <f t="shared" si="54"/>
        <v>0</v>
      </c>
      <c r="AD71" s="329"/>
      <c r="AE71" s="330"/>
      <c r="AF71" s="330"/>
      <c r="AG71" s="330"/>
      <c r="AH71" s="330"/>
      <c r="AI71" s="330"/>
      <c r="AJ71" s="330"/>
      <c r="AK71" s="330"/>
      <c r="AL71" s="330"/>
      <c r="AM71" s="330"/>
      <c r="AN71" s="330"/>
      <c r="AO71" s="331"/>
      <c r="AP71" s="326"/>
      <c r="AQ71" s="332">
        <f t="shared" si="65"/>
        <v>0</v>
      </c>
      <c r="AR71" s="333">
        <f t="shared" si="55"/>
        <v>0</v>
      </c>
      <c r="AS71" s="329"/>
      <c r="AT71" s="330"/>
      <c r="AU71" s="330"/>
      <c r="AV71" s="330"/>
      <c r="AW71" s="330"/>
      <c r="AX71" s="330"/>
      <c r="AY71" s="330"/>
      <c r="AZ71" s="330"/>
      <c r="BA71" s="330"/>
      <c r="BB71" s="330"/>
      <c r="BC71" s="330"/>
      <c r="BD71" s="331"/>
      <c r="BE71" s="326"/>
      <c r="BF71" s="332">
        <f t="shared" si="66"/>
        <v>0</v>
      </c>
      <c r="BG71" s="333">
        <f t="shared" si="56"/>
        <v>0</v>
      </c>
      <c r="BH71" s="329"/>
      <c r="BI71" s="330"/>
      <c r="BJ71" s="330"/>
      <c r="BK71" s="330"/>
      <c r="BL71" s="330"/>
      <c r="BM71" s="330"/>
      <c r="BN71" s="330"/>
      <c r="BO71" s="330"/>
      <c r="BP71" s="330"/>
      <c r="BQ71" s="330"/>
      <c r="BR71" s="330"/>
      <c r="BS71" s="331"/>
      <c r="BT71" s="326"/>
      <c r="BU71" s="332">
        <f t="shared" si="57"/>
        <v>0</v>
      </c>
      <c r="BV71" s="333">
        <f t="shared" si="58"/>
        <v>0</v>
      </c>
      <c r="BW71" s="329"/>
      <c r="BX71" s="330"/>
      <c r="BY71" s="330"/>
      <c r="BZ71" s="330"/>
      <c r="CA71" s="330"/>
      <c r="CB71" s="330"/>
      <c r="CC71" s="330"/>
      <c r="CD71" s="330"/>
      <c r="CE71" s="330"/>
      <c r="CF71" s="330"/>
      <c r="CG71" s="330"/>
      <c r="CH71" s="331"/>
      <c r="CI71" s="326"/>
      <c r="CJ71" s="332">
        <f t="shared" si="59"/>
        <v>0</v>
      </c>
      <c r="CK71" s="333">
        <f t="shared" si="60"/>
        <v>0</v>
      </c>
      <c r="CL71" s="334">
        <f t="shared" si="61"/>
        <v>0</v>
      </c>
      <c r="CM71" s="335">
        <f t="shared" si="62"/>
        <v>0</v>
      </c>
      <c r="CN71" s="336">
        <f t="shared" si="63"/>
        <v>0</v>
      </c>
      <c r="CQ71" s="480"/>
    </row>
    <row r="72" spans="1:95" s="33" customFormat="1" ht="27.75" customHeight="1">
      <c r="A72" s="1052"/>
      <c r="B72" s="1050"/>
      <c r="C72" s="1050"/>
      <c r="D72" s="34"/>
      <c r="E72" s="125" t="s">
        <v>106</v>
      </c>
      <c r="F72" s="30"/>
      <c r="G72" s="31"/>
      <c r="H72" s="31"/>
      <c r="I72" s="110"/>
      <c r="J72" s="674" t="s">
        <v>1990</v>
      </c>
      <c r="K72" s="374" t="str">
        <f>IFERROR(VLOOKUP(H72,справочник!$A$3:$B$12,2,0),"нет данных")</f>
        <v>нет данных</v>
      </c>
      <c r="L72" s="326"/>
      <c r="M72" s="399"/>
      <c r="N72" s="346">
        <f t="shared" si="53"/>
        <v>0</v>
      </c>
      <c r="O72" s="394"/>
      <c r="P72" s="352"/>
      <c r="Q72" s="352"/>
      <c r="R72" s="352"/>
      <c r="S72" s="352"/>
      <c r="T72" s="352"/>
      <c r="U72" s="324"/>
      <c r="V72" s="324"/>
      <c r="W72" s="324"/>
      <c r="X72" s="324"/>
      <c r="Y72" s="324"/>
      <c r="Z72" s="325"/>
      <c r="AA72" s="326"/>
      <c r="AB72" s="327">
        <f t="shared" si="64"/>
        <v>0</v>
      </c>
      <c r="AC72" s="328">
        <f t="shared" si="54"/>
        <v>0</v>
      </c>
      <c r="AD72" s="329"/>
      <c r="AE72" s="330"/>
      <c r="AF72" s="330"/>
      <c r="AG72" s="330"/>
      <c r="AH72" s="330"/>
      <c r="AI72" s="330"/>
      <c r="AJ72" s="330"/>
      <c r="AK72" s="330"/>
      <c r="AL72" s="330"/>
      <c r="AM72" s="330"/>
      <c r="AN72" s="330"/>
      <c r="AO72" s="331"/>
      <c r="AP72" s="326"/>
      <c r="AQ72" s="332">
        <f t="shared" si="65"/>
        <v>0</v>
      </c>
      <c r="AR72" s="333">
        <f t="shared" si="55"/>
        <v>0</v>
      </c>
      <c r="AS72" s="329"/>
      <c r="AT72" s="330"/>
      <c r="AU72" s="330"/>
      <c r="AV72" s="330"/>
      <c r="AW72" s="330"/>
      <c r="AX72" s="330"/>
      <c r="AY72" s="330"/>
      <c r="AZ72" s="330"/>
      <c r="BA72" s="330"/>
      <c r="BB72" s="330"/>
      <c r="BC72" s="330"/>
      <c r="BD72" s="331"/>
      <c r="BE72" s="326"/>
      <c r="BF72" s="332">
        <f t="shared" si="66"/>
        <v>0</v>
      </c>
      <c r="BG72" s="333">
        <f t="shared" si="56"/>
        <v>0</v>
      </c>
      <c r="BH72" s="329"/>
      <c r="BI72" s="330"/>
      <c r="BJ72" s="330"/>
      <c r="BK72" s="330"/>
      <c r="BL72" s="330"/>
      <c r="BM72" s="330"/>
      <c r="BN72" s="330"/>
      <c r="BO72" s="330"/>
      <c r="BP72" s="330"/>
      <c r="BQ72" s="330"/>
      <c r="BR72" s="330"/>
      <c r="BS72" s="331"/>
      <c r="BT72" s="326"/>
      <c r="BU72" s="332">
        <f t="shared" si="57"/>
        <v>0</v>
      </c>
      <c r="BV72" s="333">
        <f t="shared" si="58"/>
        <v>0</v>
      </c>
      <c r="BW72" s="329"/>
      <c r="BX72" s="330"/>
      <c r="BY72" s="330"/>
      <c r="BZ72" s="330"/>
      <c r="CA72" s="330"/>
      <c r="CB72" s="330"/>
      <c r="CC72" s="330"/>
      <c r="CD72" s="330"/>
      <c r="CE72" s="330"/>
      <c r="CF72" s="330"/>
      <c r="CG72" s="330"/>
      <c r="CH72" s="331"/>
      <c r="CI72" s="326"/>
      <c r="CJ72" s="332">
        <f t="shared" si="59"/>
        <v>0</v>
      </c>
      <c r="CK72" s="333">
        <f t="shared" si="60"/>
        <v>0</v>
      </c>
      <c r="CL72" s="334">
        <f t="shared" si="61"/>
        <v>0</v>
      </c>
      <c r="CM72" s="335">
        <f t="shared" si="62"/>
        <v>0</v>
      </c>
      <c r="CN72" s="336">
        <f t="shared" si="63"/>
        <v>0</v>
      </c>
      <c r="CQ72" s="480"/>
    </row>
    <row r="73" spans="1:95" s="33" customFormat="1" ht="27.75" customHeight="1">
      <c r="A73" s="1051" t="s">
        <v>123</v>
      </c>
      <c r="B73" s="1048" t="s">
        <v>80</v>
      </c>
      <c r="C73" s="1048" t="s">
        <v>80</v>
      </c>
      <c r="D73" s="34"/>
      <c r="E73" s="125" t="s">
        <v>106</v>
      </c>
      <c r="F73" s="30"/>
      <c r="G73" s="31"/>
      <c r="H73" s="31"/>
      <c r="I73" s="110"/>
      <c r="J73" s="674" t="s">
        <v>1990</v>
      </c>
      <c r="K73" s="374" t="str">
        <f>IFERROR(VLOOKUP(H73,справочник!$A$3:$B$12,2,0),"нет данных")</f>
        <v>нет данных</v>
      </c>
      <c r="L73" s="326"/>
      <c r="M73" s="399"/>
      <c r="N73" s="346">
        <f t="shared" si="53"/>
        <v>0</v>
      </c>
      <c r="O73" s="394"/>
      <c r="P73" s="352"/>
      <c r="Q73" s="352"/>
      <c r="R73" s="352"/>
      <c r="S73" s="352"/>
      <c r="T73" s="352"/>
      <c r="U73" s="324"/>
      <c r="V73" s="324"/>
      <c r="W73" s="324"/>
      <c r="X73" s="324"/>
      <c r="Y73" s="324"/>
      <c r="Z73" s="325"/>
      <c r="AA73" s="326"/>
      <c r="AB73" s="327">
        <f t="shared" si="64"/>
        <v>0</v>
      </c>
      <c r="AC73" s="328">
        <f t="shared" si="54"/>
        <v>0</v>
      </c>
      <c r="AD73" s="329"/>
      <c r="AE73" s="330"/>
      <c r="AF73" s="330"/>
      <c r="AG73" s="330"/>
      <c r="AH73" s="330"/>
      <c r="AI73" s="330"/>
      <c r="AJ73" s="330"/>
      <c r="AK73" s="330"/>
      <c r="AL73" s="330"/>
      <c r="AM73" s="330"/>
      <c r="AN73" s="330"/>
      <c r="AO73" s="331"/>
      <c r="AP73" s="326"/>
      <c r="AQ73" s="332">
        <f t="shared" si="65"/>
        <v>0</v>
      </c>
      <c r="AR73" s="333">
        <f t="shared" si="55"/>
        <v>0</v>
      </c>
      <c r="AS73" s="329"/>
      <c r="AT73" s="330"/>
      <c r="AU73" s="330"/>
      <c r="AV73" s="330"/>
      <c r="AW73" s="330"/>
      <c r="AX73" s="330"/>
      <c r="AY73" s="330"/>
      <c r="AZ73" s="330"/>
      <c r="BA73" s="330"/>
      <c r="BB73" s="330"/>
      <c r="BC73" s="330"/>
      <c r="BD73" s="331"/>
      <c r="BE73" s="326"/>
      <c r="BF73" s="332">
        <f t="shared" si="66"/>
        <v>0</v>
      </c>
      <c r="BG73" s="333">
        <f t="shared" si="56"/>
        <v>0</v>
      </c>
      <c r="BH73" s="329"/>
      <c r="BI73" s="330"/>
      <c r="BJ73" s="330"/>
      <c r="BK73" s="330"/>
      <c r="BL73" s="330"/>
      <c r="BM73" s="330"/>
      <c r="BN73" s="330"/>
      <c r="BO73" s="330"/>
      <c r="BP73" s="330"/>
      <c r="BQ73" s="330"/>
      <c r="BR73" s="330"/>
      <c r="BS73" s="331"/>
      <c r="BT73" s="326"/>
      <c r="BU73" s="332">
        <f t="shared" si="57"/>
        <v>0</v>
      </c>
      <c r="BV73" s="333">
        <f t="shared" si="58"/>
        <v>0</v>
      </c>
      <c r="BW73" s="329"/>
      <c r="BX73" s="330"/>
      <c r="BY73" s="330"/>
      <c r="BZ73" s="330"/>
      <c r="CA73" s="330"/>
      <c r="CB73" s="330"/>
      <c r="CC73" s="330"/>
      <c r="CD73" s="330"/>
      <c r="CE73" s="330"/>
      <c r="CF73" s="330"/>
      <c r="CG73" s="330"/>
      <c r="CH73" s="331"/>
      <c r="CI73" s="326"/>
      <c r="CJ73" s="332">
        <f t="shared" si="59"/>
        <v>0</v>
      </c>
      <c r="CK73" s="333">
        <f t="shared" si="60"/>
        <v>0</v>
      </c>
      <c r="CL73" s="334">
        <f t="shared" si="61"/>
        <v>0</v>
      </c>
      <c r="CM73" s="335">
        <f t="shared" si="62"/>
        <v>0</v>
      </c>
      <c r="CN73" s="336">
        <f t="shared" si="63"/>
        <v>0</v>
      </c>
      <c r="CQ73" s="480"/>
    </row>
    <row r="74" spans="1:95" s="33" customFormat="1" ht="27.75" customHeight="1">
      <c r="A74" s="1052"/>
      <c r="B74" s="1050"/>
      <c r="C74" s="1050"/>
      <c r="D74" s="34"/>
      <c r="E74" s="125" t="s">
        <v>106</v>
      </c>
      <c r="F74" s="30"/>
      <c r="G74" s="31"/>
      <c r="H74" s="31"/>
      <c r="I74" s="110"/>
      <c r="J74" s="674" t="s">
        <v>1990</v>
      </c>
      <c r="K74" s="374" t="str">
        <f>IFERROR(VLOOKUP(H74,справочник!$A$3:$B$12,2,0),"нет данных")</f>
        <v>нет данных</v>
      </c>
      <c r="L74" s="326"/>
      <c r="M74" s="399"/>
      <c r="N74" s="346">
        <f t="shared" si="53"/>
        <v>0</v>
      </c>
      <c r="O74" s="394"/>
      <c r="P74" s="352"/>
      <c r="Q74" s="352"/>
      <c r="R74" s="352"/>
      <c r="S74" s="352"/>
      <c r="T74" s="352"/>
      <c r="U74" s="324"/>
      <c r="V74" s="324"/>
      <c r="W74" s="324"/>
      <c r="X74" s="324"/>
      <c r="Y74" s="324"/>
      <c r="Z74" s="325"/>
      <c r="AA74" s="326"/>
      <c r="AB74" s="327">
        <f t="shared" si="64"/>
        <v>0</v>
      </c>
      <c r="AC74" s="328">
        <f t="shared" si="54"/>
        <v>0</v>
      </c>
      <c r="AD74" s="329"/>
      <c r="AE74" s="330"/>
      <c r="AF74" s="330"/>
      <c r="AG74" s="330"/>
      <c r="AH74" s="330"/>
      <c r="AI74" s="330"/>
      <c r="AJ74" s="330"/>
      <c r="AK74" s="330"/>
      <c r="AL74" s="330"/>
      <c r="AM74" s="330"/>
      <c r="AN74" s="330"/>
      <c r="AO74" s="331"/>
      <c r="AP74" s="326"/>
      <c r="AQ74" s="332">
        <f t="shared" si="65"/>
        <v>0</v>
      </c>
      <c r="AR74" s="333">
        <f t="shared" si="55"/>
        <v>0</v>
      </c>
      <c r="AS74" s="329"/>
      <c r="AT74" s="330"/>
      <c r="AU74" s="330"/>
      <c r="AV74" s="330"/>
      <c r="AW74" s="330"/>
      <c r="AX74" s="330"/>
      <c r="AY74" s="330"/>
      <c r="AZ74" s="330"/>
      <c r="BA74" s="330"/>
      <c r="BB74" s="330"/>
      <c r="BC74" s="330"/>
      <c r="BD74" s="331"/>
      <c r="BE74" s="326"/>
      <c r="BF74" s="332">
        <f t="shared" si="66"/>
        <v>0</v>
      </c>
      <c r="BG74" s="333">
        <f t="shared" si="56"/>
        <v>0</v>
      </c>
      <c r="BH74" s="329"/>
      <c r="BI74" s="330"/>
      <c r="BJ74" s="330"/>
      <c r="BK74" s="330"/>
      <c r="BL74" s="330"/>
      <c r="BM74" s="330"/>
      <c r="BN74" s="330"/>
      <c r="BO74" s="330"/>
      <c r="BP74" s="330"/>
      <c r="BQ74" s="330"/>
      <c r="BR74" s="330"/>
      <c r="BS74" s="331"/>
      <c r="BT74" s="326"/>
      <c r="BU74" s="332">
        <f t="shared" si="57"/>
        <v>0</v>
      </c>
      <c r="BV74" s="333">
        <f t="shared" si="58"/>
        <v>0</v>
      </c>
      <c r="BW74" s="329"/>
      <c r="BX74" s="330"/>
      <c r="BY74" s="330"/>
      <c r="BZ74" s="330"/>
      <c r="CA74" s="330"/>
      <c r="CB74" s="330"/>
      <c r="CC74" s="330"/>
      <c r="CD74" s="330"/>
      <c r="CE74" s="330"/>
      <c r="CF74" s="330"/>
      <c r="CG74" s="330"/>
      <c r="CH74" s="331"/>
      <c r="CI74" s="326"/>
      <c r="CJ74" s="332">
        <f t="shared" si="59"/>
        <v>0</v>
      </c>
      <c r="CK74" s="333">
        <f t="shared" si="60"/>
        <v>0</v>
      </c>
      <c r="CL74" s="334">
        <f t="shared" si="61"/>
        <v>0</v>
      </c>
      <c r="CM74" s="335">
        <f t="shared" si="62"/>
        <v>0</v>
      </c>
      <c r="CN74" s="336">
        <f t="shared" si="63"/>
        <v>0</v>
      </c>
      <c r="CQ74" s="480"/>
    </row>
    <row r="75" spans="1:95" s="33" customFormat="1" ht="27.75" customHeight="1">
      <c r="A75" s="1051" t="s">
        <v>124</v>
      </c>
      <c r="B75" s="1048" t="s">
        <v>1491</v>
      </c>
      <c r="C75" s="1048" t="s">
        <v>1492</v>
      </c>
      <c r="D75" s="34"/>
      <c r="E75" s="125" t="s">
        <v>107</v>
      </c>
      <c r="F75" s="30"/>
      <c r="G75" s="31"/>
      <c r="H75" s="31"/>
      <c r="I75" s="110"/>
      <c r="J75" s="674" t="s">
        <v>1990</v>
      </c>
      <c r="K75" s="374" t="str">
        <f>IFERROR(VLOOKUP(H75,справочник!$A$3:$B$12,2,0),"нет данных")</f>
        <v>нет данных</v>
      </c>
      <c r="L75" s="326"/>
      <c r="M75" s="399"/>
      <c r="N75" s="346">
        <f t="shared" si="53"/>
        <v>0</v>
      </c>
      <c r="O75" s="394"/>
      <c r="P75" s="352"/>
      <c r="Q75" s="352"/>
      <c r="R75" s="352"/>
      <c r="S75" s="352"/>
      <c r="T75" s="352"/>
      <c r="U75" s="324"/>
      <c r="V75" s="324"/>
      <c r="W75" s="324"/>
      <c r="X75" s="324"/>
      <c r="Y75" s="324"/>
      <c r="Z75" s="325"/>
      <c r="AA75" s="326"/>
      <c r="AB75" s="327">
        <f t="shared" si="64"/>
        <v>0</v>
      </c>
      <c r="AC75" s="328">
        <f t="shared" si="54"/>
        <v>0</v>
      </c>
      <c r="AD75" s="329"/>
      <c r="AE75" s="330"/>
      <c r="AF75" s="330"/>
      <c r="AG75" s="330"/>
      <c r="AH75" s="330"/>
      <c r="AI75" s="330"/>
      <c r="AJ75" s="330"/>
      <c r="AK75" s="330"/>
      <c r="AL75" s="330"/>
      <c r="AM75" s="330"/>
      <c r="AN75" s="330"/>
      <c r="AO75" s="331"/>
      <c r="AP75" s="326"/>
      <c r="AQ75" s="332">
        <f t="shared" si="65"/>
        <v>0</v>
      </c>
      <c r="AR75" s="333">
        <f t="shared" si="55"/>
        <v>0</v>
      </c>
      <c r="AS75" s="329"/>
      <c r="AT75" s="330"/>
      <c r="AU75" s="330"/>
      <c r="AV75" s="330"/>
      <c r="AW75" s="330"/>
      <c r="AX75" s="330"/>
      <c r="AY75" s="330"/>
      <c r="AZ75" s="330"/>
      <c r="BA75" s="330"/>
      <c r="BB75" s="330"/>
      <c r="BC75" s="330"/>
      <c r="BD75" s="331"/>
      <c r="BE75" s="326"/>
      <c r="BF75" s="332">
        <f t="shared" si="66"/>
        <v>0</v>
      </c>
      <c r="BG75" s="333">
        <f t="shared" si="56"/>
        <v>0</v>
      </c>
      <c r="BH75" s="329"/>
      <c r="BI75" s="330"/>
      <c r="BJ75" s="330"/>
      <c r="BK75" s="330"/>
      <c r="BL75" s="330"/>
      <c r="BM75" s="330"/>
      <c r="BN75" s="330"/>
      <c r="BO75" s="330"/>
      <c r="BP75" s="330"/>
      <c r="BQ75" s="330"/>
      <c r="BR75" s="330"/>
      <c r="BS75" s="331"/>
      <c r="BT75" s="326"/>
      <c r="BU75" s="332">
        <f t="shared" si="57"/>
        <v>0</v>
      </c>
      <c r="BV75" s="333">
        <f t="shared" si="58"/>
        <v>0</v>
      </c>
      <c r="BW75" s="329"/>
      <c r="BX75" s="330"/>
      <c r="BY75" s="330"/>
      <c r="BZ75" s="330"/>
      <c r="CA75" s="330"/>
      <c r="CB75" s="330"/>
      <c r="CC75" s="330"/>
      <c r="CD75" s="330"/>
      <c r="CE75" s="330"/>
      <c r="CF75" s="330"/>
      <c r="CG75" s="330"/>
      <c r="CH75" s="331"/>
      <c r="CI75" s="326"/>
      <c r="CJ75" s="332">
        <f t="shared" si="59"/>
        <v>0</v>
      </c>
      <c r="CK75" s="333">
        <f t="shared" si="60"/>
        <v>0</v>
      </c>
      <c r="CL75" s="334">
        <f t="shared" si="61"/>
        <v>0</v>
      </c>
      <c r="CM75" s="335">
        <f t="shared" si="62"/>
        <v>0</v>
      </c>
      <c r="CN75" s="336">
        <f t="shared" si="63"/>
        <v>0</v>
      </c>
      <c r="CQ75" s="480"/>
    </row>
    <row r="76" spans="1:95" s="33" customFormat="1" ht="27.75" customHeight="1">
      <c r="A76" s="1052"/>
      <c r="B76" s="1050"/>
      <c r="C76" s="1050"/>
      <c r="D76" s="34"/>
      <c r="E76" s="125" t="s">
        <v>107</v>
      </c>
      <c r="F76" s="30"/>
      <c r="G76" s="31"/>
      <c r="H76" s="31"/>
      <c r="I76" s="110"/>
      <c r="J76" s="674" t="s">
        <v>1990</v>
      </c>
      <c r="K76" s="374" t="str">
        <f>IFERROR(VLOOKUP(H76,справочник!$A$3:$B$12,2,0),"нет данных")</f>
        <v>нет данных</v>
      </c>
      <c r="L76" s="326"/>
      <c r="M76" s="399"/>
      <c r="N76" s="346">
        <f t="shared" si="53"/>
        <v>0</v>
      </c>
      <c r="O76" s="394"/>
      <c r="P76" s="352"/>
      <c r="Q76" s="352"/>
      <c r="R76" s="352"/>
      <c r="S76" s="352"/>
      <c r="T76" s="352"/>
      <c r="U76" s="324"/>
      <c r="V76" s="324"/>
      <c r="W76" s="324"/>
      <c r="X76" s="324"/>
      <c r="Y76" s="324"/>
      <c r="Z76" s="325"/>
      <c r="AA76" s="326"/>
      <c r="AB76" s="327">
        <f t="shared" si="64"/>
        <v>0</v>
      </c>
      <c r="AC76" s="328">
        <f t="shared" si="54"/>
        <v>0</v>
      </c>
      <c r="AD76" s="329"/>
      <c r="AE76" s="330"/>
      <c r="AF76" s="330"/>
      <c r="AG76" s="330"/>
      <c r="AH76" s="330"/>
      <c r="AI76" s="330"/>
      <c r="AJ76" s="330"/>
      <c r="AK76" s="330"/>
      <c r="AL76" s="330"/>
      <c r="AM76" s="330"/>
      <c r="AN76" s="330"/>
      <c r="AO76" s="331"/>
      <c r="AP76" s="326"/>
      <c r="AQ76" s="332">
        <f t="shared" si="65"/>
        <v>0</v>
      </c>
      <c r="AR76" s="333">
        <f t="shared" si="55"/>
        <v>0</v>
      </c>
      <c r="AS76" s="329"/>
      <c r="AT76" s="330"/>
      <c r="AU76" s="330"/>
      <c r="AV76" s="330"/>
      <c r="AW76" s="330"/>
      <c r="AX76" s="330"/>
      <c r="AY76" s="330"/>
      <c r="AZ76" s="330"/>
      <c r="BA76" s="330"/>
      <c r="BB76" s="330"/>
      <c r="BC76" s="330"/>
      <c r="BD76" s="331"/>
      <c r="BE76" s="326"/>
      <c r="BF76" s="332">
        <f t="shared" si="66"/>
        <v>0</v>
      </c>
      <c r="BG76" s="333">
        <f t="shared" si="56"/>
        <v>0</v>
      </c>
      <c r="BH76" s="329"/>
      <c r="BI76" s="330"/>
      <c r="BJ76" s="330"/>
      <c r="BK76" s="330"/>
      <c r="BL76" s="330"/>
      <c r="BM76" s="330"/>
      <c r="BN76" s="330"/>
      <c r="BO76" s="330"/>
      <c r="BP76" s="330"/>
      <c r="BQ76" s="330"/>
      <c r="BR76" s="330"/>
      <c r="BS76" s="331"/>
      <c r="BT76" s="326"/>
      <c r="BU76" s="332">
        <f t="shared" si="57"/>
        <v>0</v>
      </c>
      <c r="BV76" s="333">
        <f t="shared" si="58"/>
        <v>0</v>
      </c>
      <c r="BW76" s="329"/>
      <c r="BX76" s="330"/>
      <c r="BY76" s="330"/>
      <c r="BZ76" s="330"/>
      <c r="CA76" s="330"/>
      <c r="CB76" s="330"/>
      <c r="CC76" s="330"/>
      <c r="CD76" s="330"/>
      <c r="CE76" s="330"/>
      <c r="CF76" s="330"/>
      <c r="CG76" s="330"/>
      <c r="CH76" s="331"/>
      <c r="CI76" s="326"/>
      <c r="CJ76" s="332">
        <f t="shared" si="59"/>
        <v>0</v>
      </c>
      <c r="CK76" s="333">
        <f t="shared" si="60"/>
        <v>0</v>
      </c>
      <c r="CL76" s="334">
        <f t="shared" si="61"/>
        <v>0</v>
      </c>
      <c r="CM76" s="335">
        <f t="shared" si="62"/>
        <v>0</v>
      </c>
      <c r="CN76" s="336">
        <f t="shared" si="63"/>
        <v>0</v>
      </c>
      <c r="CQ76" s="480"/>
    </row>
    <row r="77" spans="1:95" s="33" customFormat="1" ht="27.75" customHeight="1">
      <c r="A77" s="1051" t="s">
        <v>125</v>
      </c>
      <c r="B77" s="1048" t="s">
        <v>1493</v>
      </c>
      <c r="C77" s="1048" t="s">
        <v>1494</v>
      </c>
      <c r="D77" s="34"/>
      <c r="E77" s="125" t="s">
        <v>107</v>
      </c>
      <c r="F77" s="30"/>
      <c r="G77" s="31"/>
      <c r="H77" s="31"/>
      <c r="I77" s="110"/>
      <c r="J77" s="674" t="s">
        <v>1990</v>
      </c>
      <c r="K77" s="374" t="str">
        <f>IFERROR(VLOOKUP(H77,справочник!$A$3:$B$12,2,0),"нет данных")</f>
        <v>нет данных</v>
      </c>
      <c r="L77" s="326"/>
      <c r="M77" s="399"/>
      <c r="N77" s="346">
        <f t="shared" si="53"/>
        <v>0</v>
      </c>
      <c r="O77" s="394"/>
      <c r="P77" s="352"/>
      <c r="Q77" s="352"/>
      <c r="R77" s="352"/>
      <c r="S77" s="352"/>
      <c r="T77" s="352"/>
      <c r="U77" s="324"/>
      <c r="V77" s="324"/>
      <c r="W77" s="324"/>
      <c r="X77" s="324"/>
      <c r="Y77" s="324"/>
      <c r="Z77" s="325"/>
      <c r="AA77" s="326"/>
      <c r="AB77" s="327">
        <f t="shared" si="64"/>
        <v>0</v>
      </c>
      <c r="AC77" s="328">
        <f t="shared" si="54"/>
        <v>0</v>
      </c>
      <c r="AD77" s="329"/>
      <c r="AE77" s="330"/>
      <c r="AF77" s="330"/>
      <c r="AG77" s="330"/>
      <c r="AH77" s="330"/>
      <c r="AI77" s="330"/>
      <c r="AJ77" s="330"/>
      <c r="AK77" s="330"/>
      <c r="AL77" s="330"/>
      <c r="AM77" s="330"/>
      <c r="AN77" s="330"/>
      <c r="AO77" s="331"/>
      <c r="AP77" s="326"/>
      <c r="AQ77" s="332">
        <f t="shared" si="65"/>
        <v>0</v>
      </c>
      <c r="AR77" s="333">
        <f t="shared" si="55"/>
        <v>0</v>
      </c>
      <c r="AS77" s="329"/>
      <c r="AT77" s="330"/>
      <c r="AU77" s="330"/>
      <c r="AV77" s="330"/>
      <c r="AW77" s="330"/>
      <c r="AX77" s="330"/>
      <c r="AY77" s="330"/>
      <c r="AZ77" s="330"/>
      <c r="BA77" s="330"/>
      <c r="BB77" s="330"/>
      <c r="BC77" s="330"/>
      <c r="BD77" s="331"/>
      <c r="BE77" s="326"/>
      <c r="BF77" s="332">
        <f t="shared" si="66"/>
        <v>0</v>
      </c>
      <c r="BG77" s="333">
        <f t="shared" si="56"/>
        <v>0</v>
      </c>
      <c r="BH77" s="329"/>
      <c r="BI77" s="330"/>
      <c r="BJ77" s="330"/>
      <c r="BK77" s="330"/>
      <c r="BL77" s="330"/>
      <c r="BM77" s="330"/>
      <c r="BN77" s="330"/>
      <c r="BO77" s="330"/>
      <c r="BP77" s="330"/>
      <c r="BQ77" s="330"/>
      <c r="BR77" s="330"/>
      <c r="BS77" s="331"/>
      <c r="BT77" s="326"/>
      <c r="BU77" s="332">
        <f t="shared" si="57"/>
        <v>0</v>
      </c>
      <c r="BV77" s="333">
        <f t="shared" si="58"/>
        <v>0</v>
      </c>
      <c r="BW77" s="329"/>
      <c r="BX77" s="330"/>
      <c r="BY77" s="330"/>
      <c r="BZ77" s="330"/>
      <c r="CA77" s="330"/>
      <c r="CB77" s="330"/>
      <c r="CC77" s="330"/>
      <c r="CD77" s="330"/>
      <c r="CE77" s="330"/>
      <c r="CF77" s="330"/>
      <c r="CG77" s="330"/>
      <c r="CH77" s="331"/>
      <c r="CI77" s="326"/>
      <c r="CJ77" s="332">
        <f t="shared" si="59"/>
        <v>0</v>
      </c>
      <c r="CK77" s="333">
        <f t="shared" si="60"/>
        <v>0</v>
      </c>
      <c r="CL77" s="334">
        <f t="shared" si="61"/>
        <v>0</v>
      </c>
      <c r="CM77" s="335">
        <f t="shared" si="62"/>
        <v>0</v>
      </c>
      <c r="CN77" s="336">
        <f t="shared" si="63"/>
        <v>0</v>
      </c>
      <c r="CQ77" s="480"/>
    </row>
    <row r="78" spans="1:95" s="33" customFormat="1" ht="27.75" customHeight="1">
      <c r="A78" s="1052"/>
      <c r="B78" s="1050"/>
      <c r="C78" s="1050"/>
      <c r="D78" s="34"/>
      <c r="E78" s="125" t="s">
        <v>107</v>
      </c>
      <c r="F78" s="30"/>
      <c r="G78" s="31"/>
      <c r="H78" s="31"/>
      <c r="I78" s="110"/>
      <c r="J78" s="674" t="s">
        <v>1990</v>
      </c>
      <c r="K78" s="374" t="str">
        <f>IFERROR(VLOOKUP(H78,справочник!$A$3:$B$12,2,0),"нет данных")</f>
        <v>нет данных</v>
      </c>
      <c r="L78" s="326"/>
      <c r="M78" s="399"/>
      <c r="N78" s="346">
        <f t="shared" si="53"/>
        <v>0</v>
      </c>
      <c r="O78" s="394"/>
      <c r="P78" s="352"/>
      <c r="Q78" s="352"/>
      <c r="R78" s="352"/>
      <c r="S78" s="352"/>
      <c r="T78" s="352"/>
      <c r="U78" s="324"/>
      <c r="V78" s="324"/>
      <c r="W78" s="324"/>
      <c r="X78" s="324"/>
      <c r="Y78" s="324"/>
      <c r="Z78" s="325"/>
      <c r="AA78" s="326"/>
      <c r="AB78" s="327">
        <f t="shared" si="64"/>
        <v>0</v>
      </c>
      <c r="AC78" s="328">
        <f t="shared" si="54"/>
        <v>0</v>
      </c>
      <c r="AD78" s="329"/>
      <c r="AE78" s="330"/>
      <c r="AF78" s="330"/>
      <c r="AG78" s="330"/>
      <c r="AH78" s="330"/>
      <c r="AI78" s="330"/>
      <c r="AJ78" s="330"/>
      <c r="AK78" s="330"/>
      <c r="AL78" s="330"/>
      <c r="AM78" s="330"/>
      <c r="AN78" s="330"/>
      <c r="AO78" s="331"/>
      <c r="AP78" s="326"/>
      <c r="AQ78" s="332">
        <f t="shared" si="65"/>
        <v>0</v>
      </c>
      <c r="AR78" s="333">
        <f t="shared" si="55"/>
        <v>0</v>
      </c>
      <c r="AS78" s="329"/>
      <c r="AT78" s="330"/>
      <c r="AU78" s="330"/>
      <c r="AV78" s="330"/>
      <c r="AW78" s="330"/>
      <c r="AX78" s="330"/>
      <c r="AY78" s="330"/>
      <c r="AZ78" s="330"/>
      <c r="BA78" s="330"/>
      <c r="BB78" s="330"/>
      <c r="BC78" s="330"/>
      <c r="BD78" s="331"/>
      <c r="BE78" s="326"/>
      <c r="BF78" s="332">
        <f>SUM(AS78:BD78)</f>
        <v>0</v>
      </c>
      <c r="BG78" s="333">
        <f t="shared" si="56"/>
        <v>0</v>
      </c>
      <c r="BH78" s="329"/>
      <c r="BI78" s="330"/>
      <c r="BJ78" s="330"/>
      <c r="BK78" s="330"/>
      <c r="BL78" s="330"/>
      <c r="BM78" s="330"/>
      <c r="BN78" s="330"/>
      <c r="BO78" s="330"/>
      <c r="BP78" s="330"/>
      <c r="BQ78" s="330"/>
      <c r="BR78" s="330"/>
      <c r="BS78" s="331"/>
      <c r="BT78" s="326"/>
      <c r="BU78" s="332">
        <f t="shared" si="57"/>
        <v>0</v>
      </c>
      <c r="BV78" s="333">
        <f t="shared" si="58"/>
        <v>0</v>
      </c>
      <c r="BW78" s="329"/>
      <c r="BX78" s="330"/>
      <c r="BY78" s="330"/>
      <c r="BZ78" s="330"/>
      <c r="CA78" s="330"/>
      <c r="CB78" s="330"/>
      <c r="CC78" s="330"/>
      <c r="CD78" s="330"/>
      <c r="CE78" s="330"/>
      <c r="CF78" s="330"/>
      <c r="CG78" s="330"/>
      <c r="CH78" s="331"/>
      <c r="CI78" s="326"/>
      <c r="CJ78" s="332">
        <f t="shared" si="59"/>
        <v>0</v>
      </c>
      <c r="CK78" s="333">
        <f t="shared" si="60"/>
        <v>0</v>
      </c>
      <c r="CL78" s="334">
        <f t="shared" si="61"/>
        <v>0</v>
      </c>
      <c r="CM78" s="335">
        <f t="shared" si="62"/>
        <v>0</v>
      </c>
      <c r="CN78" s="336">
        <f t="shared" si="63"/>
        <v>0</v>
      </c>
      <c r="CQ78" s="480"/>
    </row>
    <row r="79" spans="1:95" s="33" customFormat="1" ht="17.100000000000001" customHeight="1">
      <c r="A79" s="1055" t="s">
        <v>71</v>
      </c>
      <c r="B79" s="1056"/>
      <c r="C79" s="129"/>
      <c r="D79" s="133"/>
      <c r="E79" s="126"/>
      <c r="F79" s="126"/>
      <c r="G79" s="134"/>
      <c r="H79" s="135"/>
      <c r="I79" s="135"/>
      <c r="J79" s="687"/>
      <c r="K79" s="337" t="str">
        <f>IFERROR(INDEX(#REF!,MATCH(#REF!&amp;F79&amp;H79,#REF!,0)),"")</f>
        <v/>
      </c>
      <c r="L79" s="355">
        <f>SUM(L55:L78)</f>
        <v>0</v>
      </c>
      <c r="M79" s="356">
        <f>SUM(M55:M78)</f>
        <v>0</v>
      </c>
      <c r="N79" s="454">
        <f t="shared" ref="N79" si="67">SUM(N55:N78)</f>
        <v>0</v>
      </c>
      <c r="O79" s="453">
        <f t="shared" ref="O79:CN79" si="68">SUM(O55:O78)</f>
        <v>0</v>
      </c>
      <c r="P79" s="353">
        <f t="shared" si="68"/>
        <v>0</v>
      </c>
      <c r="Q79" s="353">
        <f t="shared" si="68"/>
        <v>0</v>
      </c>
      <c r="R79" s="353">
        <f t="shared" si="68"/>
        <v>0</v>
      </c>
      <c r="S79" s="353">
        <f t="shared" si="68"/>
        <v>0</v>
      </c>
      <c r="T79" s="353">
        <f t="shared" si="68"/>
        <v>0</v>
      </c>
      <c r="U79" s="353">
        <f t="shared" si="68"/>
        <v>0</v>
      </c>
      <c r="V79" s="353">
        <f t="shared" si="68"/>
        <v>0</v>
      </c>
      <c r="W79" s="353">
        <f t="shared" si="68"/>
        <v>0</v>
      </c>
      <c r="X79" s="353">
        <f t="shared" si="68"/>
        <v>0</v>
      </c>
      <c r="Y79" s="353">
        <f t="shared" si="68"/>
        <v>0</v>
      </c>
      <c r="Z79" s="353">
        <f t="shared" si="68"/>
        <v>0</v>
      </c>
      <c r="AA79" s="355">
        <f t="shared" si="68"/>
        <v>0</v>
      </c>
      <c r="AB79" s="356">
        <f t="shared" si="68"/>
        <v>0</v>
      </c>
      <c r="AC79" s="338">
        <f t="shared" si="68"/>
        <v>0</v>
      </c>
      <c r="AD79" s="358">
        <f t="shared" si="68"/>
        <v>0</v>
      </c>
      <c r="AE79" s="358">
        <f t="shared" si="68"/>
        <v>0</v>
      </c>
      <c r="AF79" s="358">
        <f t="shared" si="68"/>
        <v>0</v>
      </c>
      <c r="AG79" s="358">
        <f t="shared" si="68"/>
        <v>0</v>
      </c>
      <c r="AH79" s="358">
        <f t="shared" si="68"/>
        <v>0</v>
      </c>
      <c r="AI79" s="358">
        <f t="shared" si="68"/>
        <v>0</v>
      </c>
      <c r="AJ79" s="358">
        <f t="shared" si="68"/>
        <v>0</v>
      </c>
      <c r="AK79" s="358">
        <f t="shared" si="68"/>
        <v>0</v>
      </c>
      <c r="AL79" s="358">
        <f t="shared" si="68"/>
        <v>0</v>
      </c>
      <c r="AM79" s="358">
        <f t="shared" si="68"/>
        <v>0</v>
      </c>
      <c r="AN79" s="358">
        <f t="shared" si="68"/>
        <v>0</v>
      </c>
      <c r="AO79" s="358">
        <f t="shared" si="68"/>
        <v>0</v>
      </c>
      <c r="AP79" s="359">
        <f t="shared" si="68"/>
        <v>0</v>
      </c>
      <c r="AQ79" s="360">
        <f t="shared" si="68"/>
        <v>0</v>
      </c>
      <c r="AR79" s="361">
        <f t="shared" si="68"/>
        <v>0</v>
      </c>
      <c r="AS79" s="358">
        <f t="shared" ref="AS79:BG79" si="69">SUM(AS55:AS78)</f>
        <v>0</v>
      </c>
      <c r="AT79" s="358">
        <f t="shared" si="69"/>
        <v>0</v>
      </c>
      <c r="AU79" s="358">
        <f t="shared" si="69"/>
        <v>0</v>
      </c>
      <c r="AV79" s="358">
        <f t="shared" si="69"/>
        <v>0</v>
      </c>
      <c r="AW79" s="358">
        <f t="shared" si="69"/>
        <v>0</v>
      </c>
      <c r="AX79" s="358">
        <f t="shared" si="69"/>
        <v>0</v>
      </c>
      <c r="AY79" s="358">
        <f t="shared" si="69"/>
        <v>0</v>
      </c>
      <c r="AZ79" s="358">
        <f t="shared" si="69"/>
        <v>0</v>
      </c>
      <c r="BA79" s="358">
        <f t="shared" si="69"/>
        <v>0</v>
      </c>
      <c r="BB79" s="358">
        <f t="shared" si="69"/>
        <v>0</v>
      </c>
      <c r="BC79" s="358">
        <f t="shared" si="69"/>
        <v>0</v>
      </c>
      <c r="BD79" s="358">
        <f t="shared" si="69"/>
        <v>0</v>
      </c>
      <c r="BE79" s="359">
        <f t="shared" si="69"/>
        <v>0</v>
      </c>
      <c r="BF79" s="360">
        <f t="shared" si="69"/>
        <v>0</v>
      </c>
      <c r="BG79" s="361">
        <f t="shared" si="69"/>
        <v>0</v>
      </c>
      <c r="BH79" s="400"/>
      <c r="BI79" s="400"/>
      <c r="BJ79" s="400"/>
      <c r="BK79" s="400"/>
      <c r="BL79" s="400"/>
      <c r="BM79" s="400"/>
      <c r="BN79" s="400"/>
      <c r="BO79" s="400"/>
      <c r="BP79" s="400"/>
      <c r="BQ79" s="400"/>
      <c r="BR79" s="400"/>
      <c r="BS79" s="400"/>
      <c r="BT79" s="359">
        <f t="shared" ref="BT79:BV79" si="70">SUM(BT55:BT78)</f>
        <v>0</v>
      </c>
      <c r="BU79" s="360">
        <f t="shared" si="70"/>
        <v>0</v>
      </c>
      <c r="BV79" s="361">
        <f t="shared" si="70"/>
        <v>0</v>
      </c>
      <c r="BW79" s="400"/>
      <c r="BX79" s="400"/>
      <c r="BY79" s="400"/>
      <c r="BZ79" s="400"/>
      <c r="CA79" s="400"/>
      <c r="CB79" s="400"/>
      <c r="CC79" s="400"/>
      <c r="CD79" s="400"/>
      <c r="CE79" s="400"/>
      <c r="CF79" s="400"/>
      <c r="CG79" s="400"/>
      <c r="CH79" s="400"/>
      <c r="CI79" s="359">
        <f t="shared" ref="CI79:CK79" si="71">SUM(CI55:CI78)</f>
        <v>0</v>
      </c>
      <c r="CJ79" s="360">
        <f t="shared" si="71"/>
        <v>0</v>
      </c>
      <c r="CK79" s="361">
        <f t="shared" si="71"/>
        <v>0</v>
      </c>
      <c r="CL79" s="362">
        <f t="shared" si="68"/>
        <v>0</v>
      </c>
      <c r="CM79" s="362">
        <f t="shared" si="68"/>
        <v>0</v>
      </c>
      <c r="CN79" s="339">
        <f t="shared" si="68"/>
        <v>0</v>
      </c>
      <c r="CQ79" s="480"/>
    </row>
    <row r="80" spans="1:95" ht="17.25" customHeight="1">
      <c r="A80" s="265" t="s">
        <v>37</v>
      </c>
      <c r="B80" s="1063" t="s">
        <v>1633</v>
      </c>
      <c r="C80" s="1064"/>
      <c r="D80" s="133"/>
      <c r="E80" s="127"/>
      <c r="F80" s="136"/>
      <c r="G80" s="137"/>
      <c r="H80" s="136"/>
      <c r="I80" s="137"/>
      <c r="J80" s="137"/>
      <c r="K80" s="375" t="str">
        <f>IFERROR(INDEX(#REF!,MATCH(#REF!&amp;F80&amp;H80,#REF!,0)),"")</f>
        <v/>
      </c>
      <c r="L80" s="364"/>
      <c r="M80" s="364"/>
      <c r="N80" s="364"/>
      <c r="O80" s="363"/>
      <c r="P80" s="364"/>
      <c r="Q80" s="364"/>
      <c r="R80" s="364"/>
      <c r="S80" s="364"/>
      <c r="T80" s="364"/>
      <c r="U80" s="364"/>
      <c r="V80" s="363"/>
      <c r="W80" s="363"/>
      <c r="X80" s="363"/>
      <c r="Y80" s="363"/>
      <c r="Z80" s="365"/>
      <c r="AA80" s="364"/>
      <c r="AB80" s="364"/>
      <c r="AC80" s="364"/>
      <c r="AD80" s="364"/>
      <c r="AE80" s="364"/>
      <c r="AF80" s="366"/>
      <c r="AG80" s="366"/>
      <c r="AH80" s="366"/>
      <c r="AI80" s="367"/>
      <c r="AJ80" s="366"/>
      <c r="AK80" s="366"/>
      <c r="AL80" s="366"/>
      <c r="AM80" s="366"/>
      <c r="AN80" s="366"/>
      <c r="AO80" s="366"/>
      <c r="AP80" s="366"/>
      <c r="AQ80" s="366"/>
      <c r="AR80" s="366"/>
      <c r="AS80" s="364"/>
      <c r="AT80" s="364"/>
      <c r="AU80" s="366"/>
      <c r="AV80" s="366"/>
      <c r="AW80" s="366"/>
      <c r="AX80" s="367"/>
      <c r="AY80" s="366"/>
      <c r="AZ80" s="366"/>
      <c r="BA80" s="366"/>
      <c r="BB80" s="366"/>
      <c r="BC80" s="366"/>
      <c r="BD80" s="366"/>
      <c r="BE80" s="366"/>
      <c r="BF80" s="366"/>
      <c r="BG80" s="366"/>
      <c r="BH80" s="366"/>
      <c r="BI80" s="366"/>
      <c r="BJ80" s="366"/>
      <c r="BK80" s="366"/>
      <c r="BL80" s="366"/>
      <c r="BM80" s="366"/>
      <c r="BN80" s="366"/>
      <c r="BO80" s="366"/>
      <c r="BP80" s="366"/>
      <c r="BQ80" s="366"/>
      <c r="BR80" s="366"/>
      <c r="BS80" s="366"/>
      <c r="BT80" s="366"/>
      <c r="BU80" s="366"/>
      <c r="BV80" s="366"/>
      <c r="BW80" s="366"/>
      <c r="BX80" s="366"/>
      <c r="BY80" s="366"/>
      <c r="BZ80" s="366"/>
      <c r="CA80" s="366"/>
      <c r="CB80" s="366"/>
      <c r="CC80" s="366"/>
      <c r="CD80" s="366"/>
      <c r="CE80" s="366"/>
      <c r="CF80" s="366"/>
      <c r="CG80" s="366"/>
      <c r="CH80" s="366"/>
      <c r="CI80" s="366"/>
      <c r="CJ80" s="366"/>
      <c r="CK80" s="366"/>
      <c r="CL80" s="363"/>
      <c r="CM80" s="363"/>
      <c r="CN80" s="368"/>
    </row>
    <row r="81" spans="1:95" s="33" customFormat="1" ht="48" customHeight="1">
      <c r="A81" s="1051" t="s">
        <v>1576</v>
      </c>
      <c r="B81" s="1048" t="s">
        <v>1480</v>
      </c>
      <c r="C81" s="1048" t="s">
        <v>1610</v>
      </c>
      <c r="D81" s="895"/>
      <c r="E81" s="125" t="s">
        <v>107</v>
      </c>
      <c r="F81" s="898"/>
      <c r="G81" s="899" t="s">
        <v>33</v>
      </c>
      <c r="H81" s="899" t="s">
        <v>61</v>
      </c>
      <c r="I81" s="900" t="s">
        <v>2045</v>
      </c>
      <c r="J81" s="674" t="s">
        <v>1990</v>
      </c>
      <c r="K81" s="374">
        <f>IFERROR(VLOOKUP(H81,справочник!$A$3:$B$12,2,0),"нет данных")</f>
        <v>15930</v>
      </c>
      <c r="L81" s="326"/>
      <c r="M81" s="399"/>
      <c r="N81" s="333">
        <f t="shared" ref="N81:N170" si="72">IFERROR(ROUND((K81*M81+K81*L81),2),0)</f>
        <v>0</v>
      </c>
      <c r="O81" s="394"/>
      <c r="P81" s="352"/>
      <c r="Q81" s="352"/>
      <c r="R81" s="352"/>
      <c r="S81" s="352"/>
      <c r="T81" s="352"/>
      <c r="U81" s="324"/>
      <c r="V81" s="324"/>
      <c r="W81" s="324"/>
      <c r="X81" s="324"/>
      <c r="Y81" s="324"/>
      <c r="Z81" s="325"/>
      <c r="AA81" s="326"/>
      <c r="AB81" s="327">
        <f>SUM(O81:Z81)</f>
        <v>0</v>
      </c>
      <c r="AC81" s="328">
        <f t="shared" ref="AC81:AC170" si="73">IFERROR(ROUND(($K81*AB81+$K81*AA81),2),0)</f>
        <v>0</v>
      </c>
      <c r="AD81" s="918"/>
      <c r="AE81" s="919"/>
      <c r="AF81" s="931">
        <v>20</v>
      </c>
      <c r="AG81" s="931">
        <v>21</v>
      </c>
      <c r="AH81" s="931">
        <v>20</v>
      </c>
      <c r="AI81" s="931">
        <v>20</v>
      </c>
      <c r="AJ81" s="930">
        <v>22</v>
      </c>
      <c r="AK81" s="930">
        <v>23</v>
      </c>
      <c r="AL81" s="930">
        <v>20</v>
      </c>
      <c r="AM81" s="930">
        <v>23</v>
      </c>
      <c r="AN81" s="932">
        <v>21</v>
      </c>
      <c r="AO81" s="932">
        <v>21</v>
      </c>
      <c r="AP81" s="917"/>
      <c r="AQ81" s="332">
        <f>SUM(AD81:AO81)</f>
        <v>211</v>
      </c>
      <c r="AR81" s="333">
        <f t="shared" ref="AR81:AR170" si="74">IFERROR(ROUND(($K81*AQ81+$K81*AP81),2),0)</f>
        <v>3361230</v>
      </c>
      <c r="AS81" s="944">
        <v>17</v>
      </c>
      <c r="AT81" s="944">
        <v>19</v>
      </c>
      <c r="AU81" s="947">
        <v>20</v>
      </c>
      <c r="AV81" s="947">
        <v>22</v>
      </c>
      <c r="AW81" s="947">
        <v>21</v>
      </c>
      <c r="AX81" s="947">
        <v>19</v>
      </c>
      <c r="AY81" s="946">
        <v>23</v>
      </c>
      <c r="AZ81" s="946">
        <v>22</v>
      </c>
      <c r="BA81" s="946">
        <v>21</v>
      </c>
      <c r="BB81" s="946">
        <v>20</v>
      </c>
      <c r="BC81" s="948">
        <v>3</v>
      </c>
      <c r="BD81" s="950"/>
      <c r="BE81" s="938"/>
      <c r="BF81" s="332">
        <f>SUM(AS81:BD81)</f>
        <v>207</v>
      </c>
      <c r="BG81" s="333">
        <f t="shared" ref="BG81:BG170" si="75">IFERROR(ROUND(($K81*BF81+$K81*BE81),2),0)</f>
        <v>3297510</v>
      </c>
      <c r="BH81" s="329"/>
      <c r="BI81" s="330"/>
      <c r="BJ81" s="330"/>
      <c r="BK81" s="330"/>
      <c r="BL81" s="330"/>
      <c r="BM81" s="330"/>
      <c r="BN81" s="330"/>
      <c r="BO81" s="330"/>
      <c r="BP81" s="330"/>
      <c r="BQ81" s="330"/>
      <c r="BR81" s="330"/>
      <c r="BS81" s="331"/>
      <c r="BT81" s="326"/>
      <c r="BU81" s="332">
        <f>SUM(BH81:BS81)</f>
        <v>0</v>
      </c>
      <c r="BV81" s="333">
        <f t="shared" ref="BV81:BV170" si="76">IFERROR(ROUND(($K81*BU81+$K81*BT81),2),0)</f>
        <v>0</v>
      </c>
      <c r="BW81" s="329"/>
      <c r="BX81" s="330"/>
      <c r="BY81" s="330"/>
      <c r="BZ81" s="330"/>
      <c r="CA81" s="330"/>
      <c r="CB81" s="330"/>
      <c r="CC81" s="330"/>
      <c r="CD81" s="330"/>
      <c r="CE81" s="330"/>
      <c r="CF81" s="330"/>
      <c r="CG81" s="330"/>
      <c r="CH81" s="331"/>
      <c r="CI81" s="326"/>
      <c r="CJ81" s="332">
        <f>SUM(BW81:CH81)</f>
        <v>0</v>
      </c>
      <c r="CK81" s="333">
        <f t="shared" ref="CK81:CK170" si="77">IFERROR(ROUND(($K81*CJ81+$K81*CI81),2),0)</f>
        <v>0</v>
      </c>
      <c r="CL81" s="334">
        <f t="shared" ref="CL81:CL170" si="78">AA81+AP81+L81+BE81+BT81+CI81</f>
        <v>0</v>
      </c>
      <c r="CM81" s="335">
        <f t="shared" ref="CM81:CM170" si="79">AB81+AQ81+M81+BF81+BU81+CJ81</f>
        <v>418</v>
      </c>
      <c r="CN81" s="336">
        <f t="shared" ref="CN81:CN170" si="80">AC81+AR81+N81+BG81+BV81+CK81</f>
        <v>6658740</v>
      </c>
      <c r="CQ81" s="480"/>
    </row>
    <row r="82" spans="1:95" s="33" customFormat="1" ht="48" customHeight="1">
      <c r="A82" s="1052"/>
      <c r="B82" s="1050"/>
      <c r="C82" s="1050"/>
      <c r="D82" s="895"/>
      <c r="E82" s="125" t="s">
        <v>107</v>
      </c>
      <c r="F82" s="898"/>
      <c r="G82" s="899"/>
      <c r="H82" s="899"/>
      <c r="I82" s="902"/>
      <c r="J82" s="674" t="s">
        <v>1990</v>
      </c>
      <c r="K82" s="374" t="str">
        <f>IFERROR(VLOOKUP(H82,справочник!$A$3:$B$12,2,0),"нет данных")</f>
        <v>нет данных</v>
      </c>
      <c r="L82" s="326"/>
      <c r="M82" s="399"/>
      <c r="N82" s="346">
        <f t="shared" si="72"/>
        <v>0</v>
      </c>
      <c r="O82" s="394"/>
      <c r="P82" s="352"/>
      <c r="Q82" s="352"/>
      <c r="R82" s="352"/>
      <c r="S82" s="352"/>
      <c r="T82" s="352"/>
      <c r="U82" s="324"/>
      <c r="V82" s="324"/>
      <c r="W82" s="324"/>
      <c r="X82" s="324"/>
      <c r="Y82" s="324"/>
      <c r="Z82" s="325"/>
      <c r="AA82" s="326"/>
      <c r="AB82" s="327">
        <f t="shared" ref="AB82:AB171" si="81">SUM(O82:Z82)</f>
        <v>0</v>
      </c>
      <c r="AC82" s="328">
        <f t="shared" si="73"/>
        <v>0</v>
      </c>
      <c r="AD82" s="926"/>
      <c r="AE82" s="927"/>
      <c r="AF82" s="927"/>
      <c r="AG82" s="927"/>
      <c r="AH82" s="927"/>
      <c r="AI82" s="927"/>
      <c r="AJ82" s="927"/>
      <c r="AK82" s="927"/>
      <c r="AL82" s="927"/>
      <c r="AM82" s="927"/>
      <c r="AN82" s="927"/>
      <c r="AO82" s="928"/>
      <c r="AP82" s="917"/>
      <c r="AQ82" s="332">
        <f t="shared" ref="AQ82:AQ171" si="82">SUM(AD82:AO82)</f>
        <v>0</v>
      </c>
      <c r="AR82" s="333">
        <f t="shared" si="74"/>
        <v>0</v>
      </c>
      <c r="AS82" s="939"/>
      <c r="AT82" s="940"/>
      <c r="AU82" s="940"/>
      <c r="AV82" s="940"/>
      <c r="AW82" s="940"/>
      <c r="AX82" s="940"/>
      <c r="AY82" s="940"/>
      <c r="AZ82" s="940"/>
      <c r="BA82" s="940"/>
      <c r="BB82" s="940"/>
      <c r="BC82" s="940"/>
      <c r="BD82" s="941"/>
      <c r="BE82" s="938"/>
      <c r="BF82" s="332">
        <f t="shared" ref="BF82:BF170" si="83">SUM(AS82:BD82)</f>
        <v>0</v>
      </c>
      <c r="BG82" s="333">
        <f t="shared" si="75"/>
        <v>0</v>
      </c>
      <c r="BH82" s="329"/>
      <c r="BI82" s="330"/>
      <c r="BJ82" s="330"/>
      <c r="BK82" s="330"/>
      <c r="BL82" s="330"/>
      <c r="BM82" s="330"/>
      <c r="BN82" s="330"/>
      <c r="BO82" s="330"/>
      <c r="BP82" s="330"/>
      <c r="BQ82" s="330"/>
      <c r="BR82" s="330"/>
      <c r="BS82" s="331"/>
      <c r="BT82" s="326"/>
      <c r="BU82" s="332">
        <f t="shared" ref="BU82:BU170" si="84">SUM(BH82:BS82)</f>
        <v>0</v>
      </c>
      <c r="BV82" s="333">
        <f t="shared" si="76"/>
        <v>0</v>
      </c>
      <c r="BW82" s="329"/>
      <c r="BX82" s="330"/>
      <c r="BY82" s="330"/>
      <c r="BZ82" s="330"/>
      <c r="CA82" s="330"/>
      <c r="CB82" s="330"/>
      <c r="CC82" s="330"/>
      <c r="CD82" s="330"/>
      <c r="CE82" s="330"/>
      <c r="CF82" s="330"/>
      <c r="CG82" s="330"/>
      <c r="CH82" s="331"/>
      <c r="CI82" s="326"/>
      <c r="CJ82" s="332">
        <f t="shared" ref="CJ82:CJ170" si="85">SUM(BW82:CH82)</f>
        <v>0</v>
      </c>
      <c r="CK82" s="333">
        <f t="shared" si="77"/>
        <v>0</v>
      </c>
      <c r="CL82" s="334">
        <f t="shared" si="78"/>
        <v>0</v>
      </c>
      <c r="CM82" s="335">
        <f t="shared" si="79"/>
        <v>0</v>
      </c>
      <c r="CN82" s="336">
        <f t="shared" si="80"/>
        <v>0</v>
      </c>
      <c r="CQ82" s="480"/>
    </row>
    <row r="83" spans="1:95" s="33" customFormat="1" ht="36" customHeight="1">
      <c r="A83" s="1051" t="s">
        <v>1753</v>
      </c>
      <c r="B83" s="1048" t="s">
        <v>1481</v>
      </c>
      <c r="C83" s="1048" t="s">
        <v>1611</v>
      </c>
      <c r="D83" s="895"/>
      <c r="E83" s="125" t="s">
        <v>107</v>
      </c>
      <c r="F83" s="898"/>
      <c r="G83" s="899" t="s">
        <v>1616</v>
      </c>
      <c r="H83" s="899" t="s">
        <v>60</v>
      </c>
      <c r="I83" s="900" t="s">
        <v>2046</v>
      </c>
      <c r="J83" s="674" t="s">
        <v>1990</v>
      </c>
      <c r="K83" s="374">
        <f>IFERROR(VLOOKUP(H83,справочник!$A$3:$B$12,2,0),"нет данных")</f>
        <v>11900</v>
      </c>
      <c r="L83" s="326"/>
      <c r="M83" s="399"/>
      <c r="N83" s="346">
        <f t="shared" si="72"/>
        <v>0</v>
      </c>
      <c r="O83" s="394"/>
      <c r="P83" s="352"/>
      <c r="Q83" s="352"/>
      <c r="R83" s="352"/>
      <c r="S83" s="352"/>
      <c r="T83" s="352"/>
      <c r="U83" s="324"/>
      <c r="V83" s="324"/>
      <c r="W83" s="324"/>
      <c r="X83" s="324"/>
      <c r="Y83" s="324"/>
      <c r="Z83" s="325"/>
      <c r="AA83" s="326"/>
      <c r="AB83" s="327">
        <f t="shared" si="81"/>
        <v>0</v>
      </c>
      <c r="AC83" s="328">
        <f t="shared" si="73"/>
        <v>0</v>
      </c>
      <c r="AD83" s="918"/>
      <c r="AE83" s="919"/>
      <c r="AF83" s="931">
        <v>20</v>
      </c>
      <c r="AG83" s="931">
        <v>21</v>
      </c>
      <c r="AH83" s="931">
        <v>20</v>
      </c>
      <c r="AI83" s="931">
        <v>20</v>
      </c>
      <c r="AJ83" s="930">
        <v>22</v>
      </c>
      <c r="AK83" s="930">
        <v>23</v>
      </c>
      <c r="AL83" s="930">
        <v>20</v>
      </c>
      <c r="AM83" s="930">
        <v>23</v>
      </c>
      <c r="AN83" s="932">
        <v>21</v>
      </c>
      <c r="AO83" s="933">
        <v>21</v>
      </c>
      <c r="AP83" s="918"/>
      <c r="AQ83" s="332">
        <f t="shared" si="82"/>
        <v>211</v>
      </c>
      <c r="AR83" s="333">
        <f t="shared" si="74"/>
        <v>2510900</v>
      </c>
      <c r="AS83" s="943">
        <v>17</v>
      </c>
      <c r="AT83" s="944">
        <v>19</v>
      </c>
      <c r="AU83" s="947">
        <v>20</v>
      </c>
      <c r="AV83" s="947">
        <v>22</v>
      </c>
      <c r="AW83" s="947">
        <v>21</v>
      </c>
      <c r="AX83" s="947">
        <v>19</v>
      </c>
      <c r="AY83" s="946">
        <v>23</v>
      </c>
      <c r="AZ83" s="946">
        <v>12</v>
      </c>
      <c r="BA83" s="946">
        <v>3</v>
      </c>
      <c r="BB83" s="940"/>
      <c r="BC83" s="940"/>
      <c r="BD83" s="940"/>
      <c r="BE83" s="938"/>
      <c r="BF83" s="332">
        <f t="shared" si="83"/>
        <v>156</v>
      </c>
      <c r="BG83" s="333">
        <f t="shared" si="75"/>
        <v>1856400</v>
      </c>
      <c r="BH83" s="329"/>
      <c r="BI83" s="330"/>
      <c r="BJ83" s="330"/>
      <c r="BK83" s="330"/>
      <c r="BL83" s="330"/>
      <c r="BM83" s="330"/>
      <c r="BN83" s="330"/>
      <c r="BO83" s="330"/>
      <c r="BP83" s="330"/>
      <c r="BQ83" s="330"/>
      <c r="BR83" s="330"/>
      <c r="BS83" s="331"/>
      <c r="BT83" s="326"/>
      <c r="BU83" s="332">
        <f t="shared" si="84"/>
        <v>0</v>
      </c>
      <c r="BV83" s="333">
        <f t="shared" si="76"/>
        <v>0</v>
      </c>
      <c r="BW83" s="329"/>
      <c r="BX83" s="330"/>
      <c r="BY83" s="330"/>
      <c r="BZ83" s="330"/>
      <c r="CA83" s="330"/>
      <c r="CB83" s="330"/>
      <c r="CC83" s="330"/>
      <c r="CD83" s="330"/>
      <c r="CE83" s="330"/>
      <c r="CF83" s="330"/>
      <c r="CG83" s="330"/>
      <c r="CH83" s="331"/>
      <c r="CI83" s="326"/>
      <c r="CJ83" s="332">
        <f t="shared" si="85"/>
        <v>0</v>
      </c>
      <c r="CK83" s="333">
        <f t="shared" si="77"/>
        <v>0</v>
      </c>
      <c r="CL83" s="334">
        <f t="shared" si="78"/>
        <v>0</v>
      </c>
      <c r="CM83" s="335">
        <f t="shared" si="79"/>
        <v>367</v>
      </c>
      <c r="CN83" s="336">
        <f t="shared" si="80"/>
        <v>4367300</v>
      </c>
      <c r="CQ83" s="480"/>
    </row>
    <row r="84" spans="1:95" s="33" customFormat="1" ht="36" customHeight="1">
      <c r="A84" s="1052"/>
      <c r="B84" s="1050"/>
      <c r="C84" s="1050"/>
      <c r="D84" s="895"/>
      <c r="E84" s="125" t="s">
        <v>107</v>
      </c>
      <c r="F84" s="898"/>
      <c r="G84" s="899"/>
      <c r="H84" s="899"/>
      <c r="I84" s="902"/>
      <c r="J84" s="674" t="s">
        <v>1990</v>
      </c>
      <c r="K84" s="374" t="str">
        <f>IFERROR(VLOOKUP(H84,справочник!$A$3:$B$12,2,0),"нет данных")</f>
        <v>нет данных</v>
      </c>
      <c r="L84" s="326"/>
      <c r="M84" s="399"/>
      <c r="N84" s="346">
        <f t="shared" si="72"/>
        <v>0</v>
      </c>
      <c r="O84" s="394"/>
      <c r="P84" s="352"/>
      <c r="Q84" s="352"/>
      <c r="R84" s="352"/>
      <c r="S84" s="352"/>
      <c r="T84" s="352"/>
      <c r="U84" s="324"/>
      <c r="V84" s="324"/>
      <c r="W84" s="324"/>
      <c r="X84" s="324"/>
      <c r="Y84" s="324"/>
      <c r="Z84" s="325"/>
      <c r="AA84" s="326"/>
      <c r="AB84" s="327">
        <f t="shared" si="81"/>
        <v>0</v>
      </c>
      <c r="AC84" s="328">
        <f t="shared" si="73"/>
        <v>0</v>
      </c>
      <c r="AD84" s="924"/>
      <c r="AE84" s="925"/>
      <c r="AF84" s="925"/>
      <c r="AG84" s="925"/>
      <c r="AH84" s="925"/>
      <c r="AI84" s="925"/>
      <c r="AJ84" s="925"/>
      <c r="AK84" s="925"/>
      <c r="AL84" s="925"/>
      <c r="AM84" s="925"/>
      <c r="AN84" s="925"/>
      <c r="AO84" s="929"/>
      <c r="AP84" s="917"/>
      <c r="AQ84" s="332">
        <f t="shared" si="82"/>
        <v>0</v>
      </c>
      <c r="AR84" s="333">
        <f t="shared" si="74"/>
        <v>0</v>
      </c>
      <c r="AS84" s="939"/>
      <c r="AT84" s="940"/>
      <c r="AU84" s="940"/>
      <c r="AV84" s="940"/>
      <c r="AW84" s="940"/>
      <c r="AX84" s="940"/>
      <c r="AY84" s="940"/>
      <c r="AZ84" s="940"/>
      <c r="BA84" s="940"/>
      <c r="BB84" s="940"/>
      <c r="BC84" s="940"/>
      <c r="BD84" s="941"/>
      <c r="BE84" s="938"/>
      <c r="BF84" s="332">
        <f t="shared" si="83"/>
        <v>0</v>
      </c>
      <c r="BG84" s="333">
        <f t="shared" si="75"/>
        <v>0</v>
      </c>
      <c r="BH84" s="329"/>
      <c r="BI84" s="330"/>
      <c r="BJ84" s="330"/>
      <c r="BK84" s="330"/>
      <c r="BL84" s="330"/>
      <c r="BM84" s="330"/>
      <c r="BN84" s="330"/>
      <c r="BO84" s="330"/>
      <c r="BP84" s="330"/>
      <c r="BQ84" s="330"/>
      <c r="BR84" s="330"/>
      <c r="BS84" s="331"/>
      <c r="BT84" s="326"/>
      <c r="BU84" s="332">
        <f t="shared" si="84"/>
        <v>0</v>
      </c>
      <c r="BV84" s="333">
        <f t="shared" si="76"/>
        <v>0</v>
      </c>
      <c r="BW84" s="329"/>
      <c r="BX84" s="330"/>
      <c r="BY84" s="330"/>
      <c r="BZ84" s="330"/>
      <c r="CA84" s="330"/>
      <c r="CB84" s="330"/>
      <c r="CC84" s="330"/>
      <c r="CD84" s="330"/>
      <c r="CE84" s="330"/>
      <c r="CF84" s="330"/>
      <c r="CG84" s="330"/>
      <c r="CH84" s="331"/>
      <c r="CI84" s="326"/>
      <c r="CJ84" s="332">
        <f t="shared" si="85"/>
        <v>0</v>
      </c>
      <c r="CK84" s="333">
        <f t="shared" si="77"/>
        <v>0</v>
      </c>
      <c r="CL84" s="334">
        <f t="shared" si="78"/>
        <v>0</v>
      </c>
      <c r="CM84" s="335">
        <f t="shared" si="79"/>
        <v>0</v>
      </c>
      <c r="CN84" s="336">
        <f t="shared" si="80"/>
        <v>0</v>
      </c>
      <c r="CQ84" s="480"/>
    </row>
    <row r="85" spans="1:95" s="33" customFormat="1" ht="27.75" customHeight="1">
      <c r="A85" s="1051" t="s">
        <v>1578</v>
      </c>
      <c r="B85" s="1048" t="s">
        <v>1495</v>
      </c>
      <c r="C85" s="1048" t="s">
        <v>1675</v>
      </c>
      <c r="D85" s="895"/>
      <c r="E85" s="125" t="s">
        <v>107</v>
      </c>
      <c r="F85" s="898"/>
      <c r="G85" s="899" t="s">
        <v>44</v>
      </c>
      <c r="H85" s="899" t="s">
        <v>1453</v>
      </c>
      <c r="I85" s="909" t="s">
        <v>2047</v>
      </c>
      <c r="J85" s="674" t="s">
        <v>1990</v>
      </c>
      <c r="K85" s="374">
        <f>IFERROR(VLOOKUP(H85,справочник!$A$3:$B$12,2,0),"нет данных")</f>
        <v>21520</v>
      </c>
      <c r="L85" s="326"/>
      <c r="M85" s="399"/>
      <c r="N85" s="346">
        <f t="shared" si="72"/>
        <v>0</v>
      </c>
      <c r="O85" s="394"/>
      <c r="P85" s="352"/>
      <c r="Q85" s="352"/>
      <c r="R85" s="352"/>
      <c r="S85" s="352"/>
      <c r="T85" s="352"/>
      <c r="U85" s="324"/>
      <c r="V85" s="324"/>
      <c r="W85" s="324"/>
      <c r="X85" s="324"/>
      <c r="Y85" s="324"/>
      <c r="Z85" s="325"/>
      <c r="AA85" s="326"/>
      <c r="AB85" s="327">
        <f t="shared" si="81"/>
        <v>0</v>
      </c>
      <c r="AC85" s="328">
        <f t="shared" si="73"/>
        <v>0</v>
      </c>
      <c r="AD85" s="918"/>
      <c r="AE85" s="934">
        <v>19</v>
      </c>
      <c r="AF85" s="931">
        <v>20</v>
      </c>
      <c r="AG85" s="931">
        <v>21</v>
      </c>
      <c r="AH85" s="931">
        <v>20</v>
      </c>
      <c r="AI85" s="931">
        <v>20</v>
      </c>
      <c r="AJ85" s="919"/>
      <c r="AK85" s="919"/>
      <c r="AL85" s="919"/>
      <c r="AM85" s="919"/>
      <c r="AN85" s="919"/>
      <c r="AO85" s="920"/>
      <c r="AP85" s="917"/>
      <c r="AQ85" s="332">
        <f t="shared" si="82"/>
        <v>100</v>
      </c>
      <c r="AR85" s="333">
        <f t="shared" si="74"/>
        <v>2152000</v>
      </c>
      <c r="AS85" s="939"/>
      <c r="AT85" s="940"/>
      <c r="AU85" s="940"/>
      <c r="AV85" s="940"/>
      <c r="AW85" s="940"/>
      <c r="AX85" s="940"/>
      <c r="AY85" s="940"/>
      <c r="AZ85" s="940"/>
      <c r="BA85" s="940"/>
      <c r="BB85" s="940"/>
      <c r="BC85" s="940"/>
      <c r="BD85" s="941"/>
      <c r="BE85" s="938"/>
      <c r="BF85" s="332">
        <f t="shared" si="83"/>
        <v>0</v>
      </c>
      <c r="BG85" s="333">
        <f t="shared" si="75"/>
        <v>0</v>
      </c>
      <c r="BH85" s="329"/>
      <c r="BI85" s="330"/>
      <c r="BJ85" s="330"/>
      <c r="BK85" s="330"/>
      <c r="BL85" s="330"/>
      <c r="BM85" s="330"/>
      <c r="BN85" s="330"/>
      <c r="BO85" s="330"/>
      <c r="BP85" s="330"/>
      <c r="BQ85" s="330"/>
      <c r="BR85" s="330"/>
      <c r="BS85" s="331"/>
      <c r="BT85" s="326"/>
      <c r="BU85" s="332">
        <f t="shared" si="84"/>
        <v>0</v>
      </c>
      <c r="BV85" s="333">
        <f t="shared" si="76"/>
        <v>0</v>
      </c>
      <c r="BW85" s="329"/>
      <c r="BX85" s="330"/>
      <c r="BY85" s="330"/>
      <c r="BZ85" s="330"/>
      <c r="CA85" s="330"/>
      <c r="CB85" s="330"/>
      <c r="CC85" s="330"/>
      <c r="CD85" s="330"/>
      <c r="CE85" s="330"/>
      <c r="CF85" s="330"/>
      <c r="CG85" s="330"/>
      <c r="CH85" s="331"/>
      <c r="CI85" s="326"/>
      <c r="CJ85" s="332">
        <f t="shared" si="85"/>
        <v>0</v>
      </c>
      <c r="CK85" s="333">
        <f t="shared" si="77"/>
        <v>0</v>
      </c>
      <c r="CL85" s="334">
        <f t="shared" si="78"/>
        <v>0</v>
      </c>
      <c r="CM85" s="335">
        <f t="shared" si="79"/>
        <v>100</v>
      </c>
      <c r="CN85" s="336">
        <f t="shared" si="80"/>
        <v>2152000</v>
      </c>
      <c r="CQ85" s="480"/>
    </row>
    <row r="86" spans="1:95" s="866" customFormat="1" ht="27.75" customHeight="1">
      <c r="A86" s="1068"/>
      <c r="B86" s="1049"/>
      <c r="C86" s="1049"/>
      <c r="D86" s="895"/>
      <c r="E86" s="867" t="s">
        <v>107</v>
      </c>
      <c r="F86" s="898" t="s">
        <v>1699</v>
      </c>
      <c r="G86" s="899" t="s">
        <v>43</v>
      </c>
      <c r="H86" s="899" t="s">
        <v>1453</v>
      </c>
      <c r="I86" s="907" t="s">
        <v>2048</v>
      </c>
      <c r="J86" s="674" t="s">
        <v>1990</v>
      </c>
      <c r="K86" s="883">
        <f>IFERROR(VLOOKUP(H86,справочник!$A$3:$B$12,2,0),"нет данных")</f>
        <v>21520</v>
      </c>
      <c r="L86" s="870"/>
      <c r="M86" s="885"/>
      <c r="N86" s="881">
        <f t="shared" ref="N86" si="86">IFERROR(ROUND((K86*M86+K86*L86),2),0)</f>
        <v>0</v>
      </c>
      <c r="O86" s="884"/>
      <c r="P86" s="882"/>
      <c r="Q86" s="882"/>
      <c r="R86" s="882"/>
      <c r="S86" s="882"/>
      <c r="T86" s="882"/>
      <c r="U86" s="868"/>
      <c r="V86" s="868"/>
      <c r="W86" s="868"/>
      <c r="X86" s="868"/>
      <c r="Y86" s="868"/>
      <c r="Z86" s="869"/>
      <c r="AA86" s="870"/>
      <c r="AB86" s="871">
        <f t="shared" ref="AB86" si="87">SUM(O86:Z86)</f>
        <v>0</v>
      </c>
      <c r="AC86" s="872">
        <f t="shared" ref="AC86" si="88">IFERROR(ROUND(($K86*AB86+$K86*AA86),2),0)</f>
        <v>0</v>
      </c>
      <c r="AD86" s="918"/>
      <c r="AE86" s="919"/>
      <c r="AF86" s="931">
        <v>5</v>
      </c>
      <c r="AG86" s="931">
        <v>5</v>
      </c>
      <c r="AH86" s="919"/>
      <c r="AI86" s="919"/>
      <c r="AJ86" s="919"/>
      <c r="AK86" s="919"/>
      <c r="AL86" s="919"/>
      <c r="AM86" s="919"/>
      <c r="AN86" s="919"/>
      <c r="AO86" s="920"/>
      <c r="AP86" s="917"/>
      <c r="AQ86" s="876">
        <f t="shared" ref="AQ86" si="89">SUM(AD86:AO86)</f>
        <v>10</v>
      </c>
      <c r="AR86" s="877">
        <f t="shared" ref="AR86" si="90">IFERROR(ROUND(($K86*AQ86+$K86*AP86),2),0)</f>
        <v>215200</v>
      </c>
      <c r="AS86" s="939"/>
      <c r="AT86" s="940"/>
      <c r="AU86" s="947">
        <v>5</v>
      </c>
      <c r="AV86" s="940"/>
      <c r="AW86" s="940"/>
      <c r="AX86" s="940"/>
      <c r="AY86" s="940"/>
      <c r="AZ86" s="940"/>
      <c r="BA86" s="940"/>
      <c r="BB86" s="940"/>
      <c r="BC86" s="940"/>
      <c r="BD86" s="941"/>
      <c r="BE86" s="938"/>
      <c r="BF86" s="876">
        <f t="shared" ref="BF86" si="91">SUM(AS86:BD86)</f>
        <v>5</v>
      </c>
      <c r="BG86" s="877">
        <f t="shared" ref="BG86" si="92">IFERROR(ROUND(($K86*BF86+$K86*BE86),2),0)</f>
        <v>107600</v>
      </c>
      <c r="BH86" s="873"/>
      <c r="BI86" s="874"/>
      <c r="BJ86" s="874"/>
      <c r="BK86" s="874"/>
      <c r="BL86" s="874"/>
      <c r="BM86" s="874"/>
      <c r="BN86" s="874"/>
      <c r="BO86" s="874"/>
      <c r="BP86" s="874"/>
      <c r="BQ86" s="874"/>
      <c r="BR86" s="874"/>
      <c r="BS86" s="875"/>
      <c r="BT86" s="870"/>
      <c r="BU86" s="876">
        <f t="shared" ref="BU86" si="93">SUM(BH86:BS86)</f>
        <v>0</v>
      </c>
      <c r="BV86" s="877">
        <f t="shared" ref="BV86" si="94">IFERROR(ROUND(($K86*BU86+$K86*BT86),2),0)</f>
        <v>0</v>
      </c>
      <c r="BW86" s="873"/>
      <c r="BX86" s="874"/>
      <c r="BY86" s="874"/>
      <c r="BZ86" s="874"/>
      <c r="CA86" s="874"/>
      <c r="CB86" s="874"/>
      <c r="CC86" s="874"/>
      <c r="CD86" s="874"/>
      <c r="CE86" s="874"/>
      <c r="CF86" s="874"/>
      <c r="CG86" s="874"/>
      <c r="CH86" s="875"/>
      <c r="CI86" s="870"/>
      <c r="CJ86" s="876">
        <f t="shared" ref="CJ86" si="95">SUM(BW86:CH86)</f>
        <v>0</v>
      </c>
      <c r="CK86" s="877">
        <f t="shared" ref="CK86" si="96">IFERROR(ROUND(($K86*CJ86+$K86*CI86),2),0)</f>
        <v>0</v>
      </c>
      <c r="CL86" s="878">
        <f t="shared" ref="CL86" si="97">AA86+AP86+L86+BE86+BT86+CI86</f>
        <v>0</v>
      </c>
      <c r="CM86" s="879">
        <f t="shared" ref="CM86" si="98">AB86+AQ86+M86+BF86+BU86+CJ86</f>
        <v>15</v>
      </c>
      <c r="CN86" s="880">
        <f t="shared" ref="CN86" si="99">AC86+AR86+N86+BG86+BV86+CK86</f>
        <v>322800</v>
      </c>
      <c r="CQ86" s="886"/>
    </row>
    <row r="87" spans="1:95" s="33" customFormat="1" ht="27.75" customHeight="1">
      <c r="A87" s="1052"/>
      <c r="B87" s="1050"/>
      <c r="C87" s="1050"/>
      <c r="D87" s="895"/>
      <c r="E87" s="125" t="s">
        <v>107</v>
      </c>
      <c r="F87" s="898"/>
      <c r="G87" s="899" t="s">
        <v>40</v>
      </c>
      <c r="H87" s="904" t="s">
        <v>1453</v>
      </c>
      <c r="I87" s="902" t="s">
        <v>2049</v>
      </c>
      <c r="J87" s="674" t="s">
        <v>1990</v>
      </c>
      <c r="K87" s="374">
        <f>IFERROR(VLOOKUP(H87,справочник!$A$3:$B$12,2,0),"нет данных")</f>
        <v>21520</v>
      </c>
      <c r="L87" s="326"/>
      <c r="M87" s="399"/>
      <c r="N87" s="346">
        <f t="shared" si="72"/>
        <v>0</v>
      </c>
      <c r="O87" s="394"/>
      <c r="P87" s="352"/>
      <c r="Q87" s="352"/>
      <c r="R87" s="352"/>
      <c r="S87" s="352"/>
      <c r="T87" s="352"/>
      <c r="U87" s="324"/>
      <c r="V87" s="324"/>
      <c r="W87" s="324"/>
      <c r="X87" s="324"/>
      <c r="Y87" s="324"/>
      <c r="Z87" s="325"/>
      <c r="AA87" s="326"/>
      <c r="AB87" s="327">
        <f t="shared" si="81"/>
        <v>0</v>
      </c>
      <c r="AC87" s="328">
        <f t="shared" si="73"/>
        <v>0</v>
      </c>
      <c r="AD87" s="918"/>
      <c r="AE87" s="919"/>
      <c r="AF87" s="931">
        <v>10</v>
      </c>
      <c r="AG87" s="931">
        <v>10</v>
      </c>
      <c r="AH87" s="931">
        <v>10</v>
      </c>
      <c r="AI87" s="919"/>
      <c r="AJ87" s="919"/>
      <c r="AK87" s="919"/>
      <c r="AL87" s="919"/>
      <c r="AM87" s="919"/>
      <c r="AN87" s="919"/>
      <c r="AO87" s="920"/>
      <c r="AP87" s="917"/>
      <c r="AQ87" s="332">
        <f t="shared" si="82"/>
        <v>30</v>
      </c>
      <c r="AR87" s="333">
        <f t="shared" si="74"/>
        <v>645600</v>
      </c>
      <c r="AS87" s="939"/>
      <c r="AT87" s="940"/>
      <c r="AU87" s="940"/>
      <c r="AV87" s="940"/>
      <c r="AW87" s="940"/>
      <c r="AX87" s="940"/>
      <c r="AY87" s="940"/>
      <c r="AZ87" s="940"/>
      <c r="BA87" s="940"/>
      <c r="BB87" s="940"/>
      <c r="BC87" s="940"/>
      <c r="BD87" s="941"/>
      <c r="BE87" s="938"/>
      <c r="BF87" s="332">
        <f t="shared" si="83"/>
        <v>0</v>
      </c>
      <c r="BG87" s="333">
        <f t="shared" si="75"/>
        <v>0</v>
      </c>
      <c r="BH87" s="329"/>
      <c r="BI87" s="330"/>
      <c r="BJ87" s="330"/>
      <c r="BK87" s="330"/>
      <c r="BL87" s="330"/>
      <c r="BM87" s="330"/>
      <c r="BN87" s="330"/>
      <c r="BO87" s="330"/>
      <c r="BP87" s="330"/>
      <c r="BQ87" s="330"/>
      <c r="BR87" s="330"/>
      <c r="BS87" s="331"/>
      <c r="BT87" s="326"/>
      <c r="BU87" s="332">
        <f t="shared" si="84"/>
        <v>0</v>
      </c>
      <c r="BV87" s="333">
        <f t="shared" si="76"/>
        <v>0</v>
      </c>
      <c r="BW87" s="329"/>
      <c r="BX87" s="330"/>
      <c r="BY87" s="330"/>
      <c r="BZ87" s="330"/>
      <c r="CA87" s="330"/>
      <c r="CB87" s="330"/>
      <c r="CC87" s="330"/>
      <c r="CD87" s="330"/>
      <c r="CE87" s="330"/>
      <c r="CF87" s="330"/>
      <c r="CG87" s="330"/>
      <c r="CH87" s="331"/>
      <c r="CI87" s="326"/>
      <c r="CJ87" s="332">
        <f t="shared" si="85"/>
        <v>0</v>
      </c>
      <c r="CK87" s="333">
        <f t="shared" si="77"/>
        <v>0</v>
      </c>
      <c r="CL87" s="334">
        <f t="shared" si="78"/>
        <v>0</v>
      </c>
      <c r="CM87" s="335">
        <f t="shared" si="79"/>
        <v>30</v>
      </c>
      <c r="CN87" s="336">
        <f t="shared" si="80"/>
        <v>645600</v>
      </c>
      <c r="CQ87" s="480"/>
    </row>
    <row r="88" spans="1:95" s="33" customFormat="1" ht="27.75" customHeight="1">
      <c r="A88" s="1051" t="s">
        <v>1579</v>
      </c>
      <c r="B88" s="1048" t="s">
        <v>1496</v>
      </c>
      <c r="C88" s="1048" t="s">
        <v>1496</v>
      </c>
      <c r="D88" s="895"/>
      <c r="E88" s="125" t="s">
        <v>107</v>
      </c>
      <c r="F88" s="898"/>
      <c r="G88" s="899" t="s">
        <v>40</v>
      </c>
      <c r="H88" s="904" t="s">
        <v>1453</v>
      </c>
      <c r="I88" s="902" t="s">
        <v>2049</v>
      </c>
      <c r="J88" s="674" t="s">
        <v>1990</v>
      </c>
      <c r="K88" s="374">
        <f>IFERROR(VLOOKUP(H88,справочник!$A$3:$B$12,2,0),"нет данных")</f>
        <v>21520</v>
      </c>
      <c r="L88" s="326"/>
      <c r="M88" s="399"/>
      <c r="N88" s="346">
        <f t="shared" si="72"/>
        <v>0</v>
      </c>
      <c r="O88" s="394"/>
      <c r="P88" s="352"/>
      <c r="Q88" s="352"/>
      <c r="R88" s="352"/>
      <c r="S88" s="352"/>
      <c r="T88" s="352"/>
      <c r="U88" s="324"/>
      <c r="V88" s="324"/>
      <c r="W88" s="324"/>
      <c r="X88" s="324"/>
      <c r="Y88" s="324"/>
      <c r="Z88" s="325"/>
      <c r="AA88" s="326"/>
      <c r="AB88" s="327">
        <f t="shared" si="81"/>
        <v>0</v>
      </c>
      <c r="AC88" s="328">
        <f t="shared" si="73"/>
        <v>0</v>
      </c>
      <c r="AD88" s="918"/>
      <c r="AE88" s="919"/>
      <c r="AF88" s="931">
        <v>5</v>
      </c>
      <c r="AG88" s="931">
        <v>6</v>
      </c>
      <c r="AH88" s="931">
        <v>5</v>
      </c>
      <c r="AI88" s="931">
        <v>5</v>
      </c>
      <c r="AJ88" s="919"/>
      <c r="AK88" s="919"/>
      <c r="AL88" s="919"/>
      <c r="AM88" s="919"/>
      <c r="AN88" s="919"/>
      <c r="AO88" s="920"/>
      <c r="AP88" s="917"/>
      <c r="AQ88" s="332">
        <f t="shared" si="82"/>
        <v>21</v>
      </c>
      <c r="AR88" s="333">
        <f t="shared" si="74"/>
        <v>451920</v>
      </c>
      <c r="AS88" s="939"/>
      <c r="AT88" s="940"/>
      <c r="AU88" s="940"/>
      <c r="AV88" s="940"/>
      <c r="AW88" s="940"/>
      <c r="AX88" s="940"/>
      <c r="AY88" s="940"/>
      <c r="AZ88" s="940"/>
      <c r="BA88" s="940"/>
      <c r="BB88" s="940"/>
      <c r="BC88" s="940"/>
      <c r="BD88" s="941"/>
      <c r="BE88" s="938"/>
      <c r="BF88" s="332">
        <f t="shared" si="83"/>
        <v>0</v>
      </c>
      <c r="BG88" s="333">
        <f t="shared" si="75"/>
        <v>0</v>
      </c>
      <c r="BH88" s="329"/>
      <c r="BI88" s="330"/>
      <c r="BJ88" s="330"/>
      <c r="BK88" s="330"/>
      <c r="BL88" s="330"/>
      <c r="BM88" s="330"/>
      <c r="BN88" s="330"/>
      <c r="BO88" s="330"/>
      <c r="BP88" s="330"/>
      <c r="BQ88" s="330"/>
      <c r="BR88" s="330"/>
      <c r="BS88" s="331"/>
      <c r="BT88" s="326"/>
      <c r="BU88" s="332">
        <f t="shared" si="84"/>
        <v>0</v>
      </c>
      <c r="BV88" s="333">
        <f t="shared" si="76"/>
        <v>0</v>
      </c>
      <c r="BW88" s="329"/>
      <c r="BX88" s="330"/>
      <c r="BY88" s="330"/>
      <c r="BZ88" s="330"/>
      <c r="CA88" s="330"/>
      <c r="CB88" s="330"/>
      <c r="CC88" s="330"/>
      <c r="CD88" s="330"/>
      <c r="CE88" s="330"/>
      <c r="CF88" s="330"/>
      <c r="CG88" s="330"/>
      <c r="CH88" s="331"/>
      <c r="CI88" s="326"/>
      <c r="CJ88" s="332">
        <f t="shared" si="85"/>
        <v>0</v>
      </c>
      <c r="CK88" s="333">
        <f t="shared" si="77"/>
        <v>0</v>
      </c>
      <c r="CL88" s="334">
        <f t="shared" si="78"/>
        <v>0</v>
      </c>
      <c r="CM88" s="335">
        <f t="shared" si="79"/>
        <v>21</v>
      </c>
      <c r="CN88" s="336">
        <f t="shared" si="80"/>
        <v>451920</v>
      </c>
      <c r="CQ88" s="480"/>
    </row>
    <row r="89" spans="1:95" s="33" customFormat="1" ht="27.75" customHeight="1">
      <c r="A89" s="1052"/>
      <c r="B89" s="1050"/>
      <c r="C89" s="1050"/>
      <c r="D89" s="895"/>
      <c r="E89" s="125" t="s">
        <v>107</v>
      </c>
      <c r="F89" s="898"/>
      <c r="G89" s="899" t="s">
        <v>43</v>
      </c>
      <c r="H89" s="899" t="s">
        <v>1453</v>
      </c>
      <c r="I89" s="907" t="s">
        <v>2048</v>
      </c>
      <c r="J89" s="674" t="s">
        <v>1990</v>
      </c>
      <c r="K89" s="374">
        <f>IFERROR(VLOOKUP(H89,справочник!$A$3:$B$12,2,0),"нет данных")</f>
        <v>21520</v>
      </c>
      <c r="L89" s="326"/>
      <c r="M89" s="399"/>
      <c r="N89" s="346">
        <f t="shared" si="72"/>
        <v>0</v>
      </c>
      <c r="O89" s="394"/>
      <c r="P89" s="352"/>
      <c r="Q89" s="352"/>
      <c r="R89" s="352"/>
      <c r="S89" s="352"/>
      <c r="T89" s="352"/>
      <c r="U89" s="324"/>
      <c r="V89" s="324"/>
      <c r="W89" s="324"/>
      <c r="X89" s="324"/>
      <c r="Y89" s="324"/>
      <c r="Z89" s="325"/>
      <c r="AA89" s="326"/>
      <c r="AB89" s="327">
        <f t="shared" si="81"/>
        <v>0</v>
      </c>
      <c r="AC89" s="328">
        <f t="shared" si="73"/>
        <v>0</v>
      </c>
      <c r="AD89" s="918"/>
      <c r="AE89" s="919"/>
      <c r="AF89" s="919"/>
      <c r="AG89" s="919"/>
      <c r="AH89" s="919"/>
      <c r="AI89" s="931">
        <v>5</v>
      </c>
      <c r="AJ89" s="919"/>
      <c r="AK89" s="919"/>
      <c r="AL89" s="919"/>
      <c r="AM89" s="919"/>
      <c r="AN89" s="919"/>
      <c r="AO89" s="920"/>
      <c r="AP89" s="917"/>
      <c r="AQ89" s="332">
        <f t="shared" si="82"/>
        <v>5</v>
      </c>
      <c r="AR89" s="333">
        <f t="shared" si="74"/>
        <v>107600</v>
      </c>
      <c r="AS89" s="939"/>
      <c r="AT89" s="940"/>
      <c r="AU89" s="940"/>
      <c r="AV89" s="940"/>
      <c r="AW89" s="940"/>
      <c r="AX89" s="940"/>
      <c r="AY89" s="940"/>
      <c r="AZ89" s="940"/>
      <c r="BA89" s="940"/>
      <c r="BB89" s="940"/>
      <c r="BC89" s="940"/>
      <c r="BD89" s="941"/>
      <c r="BE89" s="938"/>
      <c r="BF89" s="332">
        <f t="shared" si="83"/>
        <v>0</v>
      </c>
      <c r="BG89" s="333">
        <f t="shared" si="75"/>
        <v>0</v>
      </c>
      <c r="BH89" s="329"/>
      <c r="BI89" s="330"/>
      <c r="BJ89" s="330"/>
      <c r="BK89" s="330"/>
      <c r="BL89" s="330"/>
      <c r="BM89" s="330"/>
      <c r="BN89" s="330"/>
      <c r="BO89" s="330"/>
      <c r="BP89" s="330"/>
      <c r="BQ89" s="330"/>
      <c r="BR89" s="330"/>
      <c r="BS89" s="331"/>
      <c r="BT89" s="326"/>
      <c r="BU89" s="332">
        <f t="shared" si="84"/>
        <v>0</v>
      </c>
      <c r="BV89" s="333">
        <f t="shared" si="76"/>
        <v>0</v>
      </c>
      <c r="BW89" s="329"/>
      <c r="BX89" s="330"/>
      <c r="BY89" s="330"/>
      <c r="BZ89" s="330"/>
      <c r="CA89" s="330"/>
      <c r="CB89" s="330"/>
      <c r="CC89" s="330"/>
      <c r="CD89" s="330"/>
      <c r="CE89" s="330"/>
      <c r="CF89" s="330"/>
      <c r="CG89" s="330"/>
      <c r="CH89" s="331"/>
      <c r="CI89" s="326"/>
      <c r="CJ89" s="332">
        <f t="shared" si="85"/>
        <v>0</v>
      </c>
      <c r="CK89" s="333">
        <f t="shared" si="77"/>
        <v>0</v>
      </c>
      <c r="CL89" s="334">
        <f t="shared" si="78"/>
        <v>0</v>
      </c>
      <c r="CM89" s="335">
        <f t="shared" si="79"/>
        <v>5</v>
      </c>
      <c r="CN89" s="336">
        <f t="shared" si="80"/>
        <v>107600</v>
      </c>
      <c r="CQ89" s="480"/>
    </row>
    <row r="90" spans="1:95" s="33" customFormat="1" ht="27.75" customHeight="1">
      <c r="A90" s="1051" t="s">
        <v>1580</v>
      </c>
      <c r="B90" s="1048" t="s">
        <v>1497</v>
      </c>
      <c r="C90" s="1048" t="s">
        <v>1498</v>
      </c>
      <c r="D90" s="895"/>
      <c r="E90" s="125" t="s">
        <v>107</v>
      </c>
      <c r="F90" s="898"/>
      <c r="G90" s="899" t="s">
        <v>40</v>
      </c>
      <c r="H90" s="904" t="s">
        <v>1453</v>
      </c>
      <c r="I90" s="902" t="s">
        <v>2049</v>
      </c>
      <c r="J90" s="674" t="s">
        <v>1990</v>
      </c>
      <c r="K90" s="374">
        <f>IFERROR(VLOOKUP(H90,справочник!$A$3:$B$12,2,0),"нет данных")</f>
        <v>21520</v>
      </c>
      <c r="L90" s="326"/>
      <c r="M90" s="399"/>
      <c r="N90" s="346">
        <f t="shared" si="72"/>
        <v>0</v>
      </c>
      <c r="O90" s="394"/>
      <c r="P90" s="352"/>
      <c r="Q90" s="352"/>
      <c r="R90" s="352"/>
      <c r="S90" s="352"/>
      <c r="T90" s="352"/>
      <c r="U90" s="324"/>
      <c r="V90" s="324"/>
      <c r="W90" s="324"/>
      <c r="X90" s="324"/>
      <c r="Y90" s="324"/>
      <c r="Z90" s="325"/>
      <c r="AA90" s="326"/>
      <c r="AB90" s="327">
        <f t="shared" si="81"/>
        <v>0</v>
      </c>
      <c r="AC90" s="328">
        <f t="shared" si="73"/>
        <v>0</v>
      </c>
      <c r="AD90" s="918"/>
      <c r="AE90" s="919"/>
      <c r="AF90" s="931">
        <v>5</v>
      </c>
      <c r="AG90" s="931">
        <v>5</v>
      </c>
      <c r="AH90" s="931">
        <v>5</v>
      </c>
      <c r="AI90" s="931">
        <v>5</v>
      </c>
      <c r="AJ90" s="919"/>
      <c r="AK90" s="919"/>
      <c r="AL90" s="919"/>
      <c r="AM90" s="919"/>
      <c r="AN90" s="919"/>
      <c r="AO90" s="920"/>
      <c r="AP90" s="917"/>
      <c r="AQ90" s="332">
        <f t="shared" si="82"/>
        <v>20</v>
      </c>
      <c r="AR90" s="333">
        <f t="shared" si="74"/>
        <v>430400</v>
      </c>
      <c r="AS90" s="939"/>
      <c r="AT90" s="940"/>
      <c r="AU90" s="940"/>
      <c r="AV90" s="940"/>
      <c r="AW90" s="940"/>
      <c r="AX90" s="940"/>
      <c r="AY90" s="940"/>
      <c r="AZ90" s="940"/>
      <c r="BA90" s="940"/>
      <c r="BB90" s="940"/>
      <c r="BC90" s="940"/>
      <c r="BD90" s="941"/>
      <c r="BE90" s="938"/>
      <c r="BF90" s="332">
        <f t="shared" si="83"/>
        <v>0</v>
      </c>
      <c r="BG90" s="333">
        <f t="shared" si="75"/>
        <v>0</v>
      </c>
      <c r="BH90" s="329"/>
      <c r="BI90" s="330"/>
      <c r="BJ90" s="330"/>
      <c r="BK90" s="330"/>
      <c r="BL90" s="330"/>
      <c r="BM90" s="330"/>
      <c r="BN90" s="330"/>
      <c r="BO90" s="330"/>
      <c r="BP90" s="330"/>
      <c r="BQ90" s="330"/>
      <c r="BR90" s="330"/>
      <c r="BS90" s="331"/>
      <c r="BT90" s="326"/>
      <c r="BU90" s="332">
        <f t="shared" si="84"/>
        <v>0</v>
      </c>
      <c r="BV90" s="333">
        <f t="shared" si="76"/>
        <v>0</v>
      </c>
      <c r="BW90" s="329"/>
      <c r="BX90" s="330"/>
      <c r="BY90" s="330"/>
      <c r="BZ90" s="330"/>
      <c r="CA90" s="330"/>
      <c r="CB90" s="330"/>
      <c r="CC90" s="330"/>
      <c r="CD90" s="330"/>
      <c r="CE90" s="330"/>
      <c r="CF90" s="330"/>
      <c r="CG90" s="330"/>
      <c r="CH90" s="331"/>
      <c r="CI90" s="326"/>
      <c r="CJ90" s="332">
        <f t="shared" si="85"/>
        <v>0</v>
      </c>
      <c r="CK90" s="333">
        <f t="shared" si="77"/>
        <v>0</v>
      </c>
      <c r="CL90" s="334">
        <f t="shared" si="78"/>
        <v>0</v>
      </c>
      <c r="CM90" s="335">
        <f t="shared" si="79"/>
        <v>20</v>
      </c>
      <c r="CN90" s="336">
        <f t="shared" si="80"/>
        <v>430400</v>
      </c>
      <c r="CQ90" s="480"/>
    </row>
    <row r="91" spans="1:95" s="866" customFormat="1" ht="27.75" customHeight="1">
      <c r="A91" s="1068"/>
      <c r="B91" s="1049"/>
      <c r="C91" s="1049"/>
      <c r="D91" s="895"/>
      <c r="E91" s="867" t="s">
        <v>107</v>
      </c>
      <c r="F91" s="898" t="s">
        <v>1699</v>
      </c>
      <c r="G91" s="899" t="s">
        <v>1619</v>
      </c>
      <c r="H91" s="904" t="s">
        <v>60</v>
      </c>
      <c r="I91" s="907" t="s">
        <v>2050</v>
      </c>
      <c r="J91" s="674" t="s">
        <v>1990</v>
      </c>
      <c r="K91" s="883">
        <f>IFERROR(VLOOKUP(H91,справочник!$A$3:$B$12,2,0),"нет данных")</f>
        <v>11900</v>
      </c>
      <c r="L91" s="870"/>
      <c r="M91" s="885"/>
      <c r="N91" s="881">
        <f t="shared" ref="N91" si="100">IFERROR(ROUND((K91*M91+K91*L91),2),0)</f>
        <v>0</v>
      </c>
      <c r="O91" s="884"/>
      <c r="P91" s="882"/>
      <c r="Q91" s="882"/>
      <c r="R91" s="882"/>
      <c r="S91" s="882"/>
      <c r="T91" s="882"/>
      <c r="U91" s="868"/>
      <c r="V91" s="868"/>
      <c r="W91" s="868"/>
      <c r="X91" s="868"/>
      <c r="Y91" s="868"/>
      <c r="Z91" s="869"/>
      <c r="AA91" s="870"/>
      <c r="AB91" s="871">
        <f t="shared" ref="AB91" si="101">SUM(O91:Z91)</f>
        <v>0</v>
      </c>
      <c r="AC91" s="872">
        <f t="shared" ref="AC91" si="102">IFERROR(ROUND(($K91*AB91+$K91*AA91),2),0)</f>
        <v>0</v>
      </c>
      <c r="AD91" s="918"/>
      <c r="AE91" s="919"/>
      <c r="AF91" s="919"/>
      <c r="AG91" s="919"/>
      <c r="AH91" s="931">
        <v>10</v>
      </c>
      <c r="AI91" s="931">
        <v>5</v>
      </c>
      <c r="AJ91" s="919"/>
      <c r="AK91" s="919"/>
      <c r="AL91" s="919"/>
      <c r="AM91" s="930">
        <v>2</v>
      </c>
      <c r="AN91" s="919"/>
      <c r="AO91" s="920"/>
      <c r="AP91" s="917"/>
      <c r="AQ91" s="876">
        <f t="shared" ref="AQ91" si="103">SUM(AD91:AO91)</f>
        <v>17</v>
      </c>
      <c r="AR91" s="877">
        <f t="shared" ref="AR91" si="104">IFERROR(ROUND(($K91*AQ91+$K91*AP91),2),0)</f>
        <v>202300</v>
      </c>
      <c r="AS91" s="939"/>
      <c r="AT91" s="940"/>
      <c r="AU91" s="940"/>
      <c r="AV91" s="940"/>
      <c r="AW91" s="940"/>
      <c r="AX91" s="940"/>
      <c r="AY91" s="940"/>
      <c r="AZ91" s="940"/>
      <c r="BA91" s="940"/>
      <c r="BB91" s="940"/>
      <c r="BC91" s="940"/>
      <c r="BD91" s="941"/>
      <c r="BE91" s="938"/>
      <c r="BF91" s="876">
        <f t="shared" ref="BF91" si="105">SUM(AS91:BD91)</f>
        <v>0</v>
      </c>
      <c r="BG91" s="877">
        <f t="shared" ref="BG91" si="106">IFERROR(ROUND(($K91*BF91+$K91*BE91),2),0)</f>
        <v>0</v>
      </c>
      <c r="BH91" s="873"/>
      <c r="BI91" s="874"/>
      <c r="BJ91" s="874"/>
      <c r="BK91" s="874"/>
      <c r="BL91" s="874"/>
      <c r="BM91" s="874"/>
      <c r="BN91" s="874"/>
      <c r="BO91" s="874"/>
      <c r="BP91" s="874"/>
      <c r="BQ91" s="874"/>
      <c r="BR91" s="874"/>
      <c r="BS91" s="875"/>
      <c r="BT91" s="870"/>
      <c r="BU91" s="876">
        <f t="shared" ref="BU91" si="107">SUM(BH91:BS91)</f>
        <v>0</v>
      </c>
      <c r="BV91" s="877">
        <f t="shared" ref="BV91" si="108">IFERROR(ROUND(($K91*BU91+$K91*BT91),2),0)</f>
        <v>0</v>
      </c>
      <c r="BW91" s="873"/>
      <c r="BX91" s="874"/>
      <c r="BY91" s="874"/>
      <c r="BZ91" s="874"/>
      <c r="CA91" s="874"/>
      <c r="CB91" s="874"/>
      <c r="CC91" s="874"/>
      <c r="CD91" s="874"/>
      <c r="CE91" s="874"/>
      <c r="CF91" s="874"/>
      <c r="CG91" s="874"/>
      <c r="CH91" s="875"/>
      <c r="CI91" s="870"/>
      <c r="CJ91" s="876">
        <f t="shared" ref="CJ91" si="109">SUM(BW91:CH91)</f>
        <v>0</v>
      </c>
      <c r="CK91" s="877">
        <f t="shared" ref="CK91" si="110">IFERROR(ROUND(($K91*CJ91+$K91*CI91),2),0)</f>
        <v>0</v>
      </c>
      <c r="CL91" s="878">
        <f t="shared" ref="CL91" si="111">AA91+AP91+L91+BE91+BT91+CI91</f>
        <v>0</v>
      </c>
      <c r="CM91" s="879">
        <f t="shared" ref="CM91" si="112">AB91+AQ91+M91+BF91+BU91+CJ91</f>
        <v>17</v>
      </c>
      <c r="CN91" s="880">
        <f t="shared" ref="CN91" si="113">AC91+AR91+N91+BG91+BV91+CK91</f>
        <v>202300</v>
      </c>
      <c r="CQ91" s="886"/>
    </row>
    <row r="92" spans="1:95" s="866" customFormat="1" ht="27.75" customHeight="1">
      <c r="A92" s="1068"/>
      <c r="B92" s="1049"/>
      <c r="C92" s="1049"/>
      <c r="D92" s="895"/>
      <c r="E92" s="867" t="s">
        <v>107</v>
      </c>
      <c r="F92" s="898" t="s">
        <v>1699</v>
      </c>
      <c r="G92" s="899" t="s">
        <v>43</v>
      </c>
      <c r="H92" s="1013" t="s">
        <v>61</v>
      </c>
      <c r="I92" s="1014" t="s">
        <v>2051</v>
      </c>
      <c r="J92" s="674" t="s">
        <v>1990</v>
      </c>
      <c r="K92" s="962">
        <f>IFERROR(VLOOKUP(H92,справочник!$A$3:$B$12,2,0),"нет данных")</f>
        <v>15930</v>
      </c>
      <c r="L92" s="870"/>
      <c r="M92" s="885"/>
      <c r="N92" s="881">
        <f t="shared" ref="N92" si="114">IFERROR(ROUND((K92*M92+K92*L92),2),0)</f>
        <v>0</v>
      </c>
      <c r="O92" s="884"/>
      <c r="P92" s="882"/>
      <c r="Q92" s="882"/>
      <c r="R92" s="882"/>
      <c r="S92" s="882"/>
      <c r="T92" s="882"/>
      <c r="U92" s="868"/>
      <c r="V92" s="868"/>
      <c r="W92" s="868"/>
      <c r="X92" s="868"/>
      <c r="Y92" s="868"/>
      <c r="Z92" s="869"/>
      <c r="AA92" s="870"/>
      <c r="AB92" s="871">
        <f t="shared" ref="AB92" si="115">SUM(O92:Z92)</f>
        <v>0</v>
      </c>
      <c r="AC92" s="872">
        <f t="shared" ref="AC92" si="116">IFERROR(ROUND(($K92*AB92+$K92*AA92),2),0)</f>
        <v>0</v>
      </c>
      <c r="AD92" s="919"/>
      <c r="AE92" s="919"/>
      <c r="AF92" s="919"/>
      <c r="AG92" s="919"/>
      <c r="AH92" s="931">
        <v>1</v>
      </c>
      <c r="AI92" s="919"/>
      <c r="AJ92" s="919"/>
      <c r="AK92" s="919"/>
      <c r="AL92" s="920"/>
      <c r="AM92" s="935">
        <v>1</v>
      </c>
      <c r="AN92" s="921"/>
      <c r="AO92" s="922"/>
      <c r="AP92" s="923"/>
      <c r="AQ92" s="876">
        <f t="shared" ref="AQ92" si="117">SUM(AD92:AO92)</f>
        <v>2</v>
      </c>
      <c r="AR92" s="877">
        <f t="shared" ref="AR92" si="118">IFERROR(ROUND(($K92*AQ92+$K92*AP92),2),0)</f>
        <v>31860</v>
      </c>
      <c r="AS92" s="939"/>
      <c r="AT92" s="940"/>
      <c r="AU92" s="940"/>
      <c r="AV92" s="940"/>
      <c r="AW92" s="940"/>
      <c r="AX92" s="940"/>
      <c r="AY92" s="940"/>
      <c r="AZ92" s="940"/>
      <c r="BA92" s="940"/>
      <c r="BB92" s="940"/>
      <c r="BC92" s="940"/>
      <c r="BD92" s="941"/>
      <c r="BE92" s="938"/>
      <c r="BF92" s="876">
        <f t="shared" ref="BF92" si="119">SUM(AS92:BD92)</f>
        <v>0</v>
      </c>
      <c r="BG92" s="877">
        <f t="shared" ref="BG92" si="120">IFERROR(ROUND(($K92*BF92+$K92*BE92),2),0)</f>
        <v>0</v>
      </c>
      <c r="BH92" s="873"/>
      <c r="BI92" s="874"/>
      <c r="BJ92" s="874"/>
      <c r="BK92" s="874"/>
      <c r="BL92" s="874"/>
      <c r="BM92" s="874"/>
      <c r="BN92" s="874"/>
      <c r="BO92" s="874"/>
      <c r="BP92" s="874"/>
      <c r="BQ92" s="874"/>
      <c r="BR92" s="874"/>
      <c r="BS92" s="875"/>
      <c r="BT92" s="870"/>
      <c r="BU92" s="876">
        <f t="shared" ref="BU92" si="121">SUM(BH92:BS92)</f>
        <v>0</v>
      </c>
      <c r="BV92" s="877">
        <f t="shared" ref="BV92" si="122">IFERROR(ROUND(($K92*BU92+$K92*BT92),2),0)</f>
        <v>0</v>
      </c>
      <c r="BW92" s="873"/>
      <c r="BX92" s="874"/>
      <c r="BY92" s="874"/>
      <c r="BZ92" s="874"/>
      <c r="CA92" s="874"/>
      <c r="CB92" s="874"/>
      <c r="CC92" s="874"/>
      <c r="CD92" s="874"/>
      <c r="CE92" s="874"/>
      <c r="CF92" s="874"/>
      <c r="CG92" s="874"/>
      <c r="CH92" s="875"/>
      <c r="CI92" s="870"/>
      <c r="CJ92" s="876">
        <f t="shared" ref="CJ92" si="123">SUM(BW92:CH92)</f>
        <v>0</v>
      </c>
      <c r="CK92" s="877">
        <f t="shared" ref="CK92" si="124">IFERROR(ROUND(($K92*CJ92+$K92*CI92),2),0)</f>
        <v>0</v>
      </c>
      <c r="CL92" s="878">
        <f t="shared" ref="CL92" si="125">AA92+AP92+L92+BE92+BT92+CI92</f>
        <v>0</v>
      </c>
      <c r="CM92" s="879">
        <f t="shared" ref="CM92" si="126">AB92+AQ92+M92+BF92+BU92+CJ92</f>
        <v>2</v>
      </c>
      <c r="CN92" s="880">
        <f t="shared" ref="CN92" si="127">AC92+AR92+N92+BG92+BV92+CK92</f>
        <v>31860</v>
      </c>
      <c r="CQ92" s="886"/>
    </row>
    <row r="93" spans="1:95" s="33" customFormat="1" ht="27.75" customHeight="1">
      <c r="A93" s="1052"/>
      <c r="B93" s="1050"/>
      <c r="C93" s="1050"/>
      <c r="D93" s="895"/>
      <c r="E93" s="125" t="s">
        <v>107</v>
      </c>
      <c r="F93" s="898"/>
      <c r="G93" s="899" t="s">
        <v>43</v>
      </c>
      <c r="H93" s="899" t="s">
        <v>1453</v>
      </c>
      <c r="I93" s="907" t="s">
        <v>2048</v>
      </c>
      <c r="J93" s="674" t="s">
        <v>1990</v>
      </c>
      <c r="K93" s="374">
        <f>IFERROR(VLOOKUP(H93,справочник!$A$3:$B$12,2,0),"нет данных")</f>
        <v>21520</v>
      </c>
      <c r="L93" s="326"/>
      <c r="M93" s="399"/>
      <c r="N93" s="346">
        <f t="shared" si="72"/>
        <v>0</v>
      </c>
      <c r="O93" s="394"/>
      <c r="P93" s="352"/>
      <c r="Q93" s="352"/>
      <c r="R93" s="352"/>
      <c r="S93" s="352"/>
      <c r="T93" s="352"/>
      <c r="U93" s="324"/>
      <c r="V93" s="324"/>
      <c r="W93" s="324"/>
      <c r="X93" s="324"/>
      <c r="Y93" s="324"/>
      <c r="Z93" s="325"/>
      <c r="AA93" s="326"/>
      <c r="AB93" s="327">
        <f t="shared" si="81"/>
        <v>0</v>
      </c>
      <c r="AC93" s="328">
        <f t="shared" si="73"/>
        <v>0</v>
      </c>
      <c r="AD93" s="918"/>
      <c r="AE93" s="919"/>
      <c r="AF93" s="919"/>
      <c r="AG93" s="919"/>
      <c r="AH93" s="919"/>
      <c r="AI93" s="931">
        <v>5</v>
      </c>
      <c r="AJ93" s="919"/>
      <c r="AK93" s="919"/>
      <c r="AL93" s="919"/>
      <c r="AM93" s="919"/>
      <c r="AN93" s="919"/>
      <c r="AO93" s="920"/>
      <c r="AP93" s="917"/>
      <c r="AQ93" s="332">
        <f t="shared" si="82"/>
        <v>5</v>
      </c>
      <c r="AR93" s="333">
        <f t="shared" si="74"/>
        <v>107600</v>
      </c>
      <c r="AS93" s="939"/>
      <c r="AT93" s="940"/>
      <c r="AU93" s="940"/>
      <c r="AV93" s="940"/>
      <c r="AW93" s="940"/>
      <c r="AX93" s="940"/>
      <c r="AY93" s="940"/>
      <c r="AZ93" s="940"/>
      <c r="BA93" s="940"/>
      <c r="BB93" s="940"/>
      <c r="BC93" s="940"/>
      <c r="BD93" s="941"/>
      <c r="BE93" s="938"/>
      <c r="BF93" s="332">
        <f t="shared" si="83"/>
        <v>0</v>
      </c>
      <c r="BG93" s="333">
        <f t="shared" si="75"/>
        <v>0</v>
      </c>
      <c r="BH93" s="329"/>
      <c r="BI93" s="330"/>
      <c r="BJ93" s="330"/>
      <c r="BK93" s="330"/>
      <c r="BL93" s="330"/>
      <c r="BM93" s="330"/>
      <c r="BN93" s="330"/>
      <c r="BO93" s="330"/>
      <c r="BP93" s="330"/>
      <c r="BQ93" s="330"/>
      <c r="BR93" s="330"/>
      <c r="BS93" s="331"/>
      <c r="BT93" s="326"/>
      <c r="BU93" s="332">
        <f t="shared" si="84"/>
        <v>0</v>
      </c>
      <c r="BV93" s="333">
        <f t="shared" si="76"/>
        <v>0</v>
      </c>
      <c r="BW93" s="329"/>
      <c r="BX93" s="330"/>
      <c r="BY93" s="330"/>
      <c r="BZ93" s="330"/>
      <c r="CA93" s="330"/>
      <c r="CB93" s="330"/>
      <c r="CC93" s="330"/>
      <c r="CD93" s="330"/>
      <c r="CE93" s="330"/>
      <c r="CF93" s="330"/>
      <c r="CG93" s="330"/>
      <c r="CH93" s="331"/>
      <c r="CI93" s="326"/>
      <c r="CJ93" s="332">
        <f t="shared" si="85"/>
        <v>0</v>
      </c>
      <c r="CK93" s="333">
        <f t="shared" si="77"/>
        <v>0</v>
      </c>
      <c r="CL93" s="334">
        <f t="shared" si="78"/>
        <v>0</v>
      </c>
      <c r="CM93" s="335">
        <f t="shared" si="79"/>
        <v>5</v>
      </c>
      <c r="CN93" s="336">
        <f t="shared" si="80"/>
        <v>107600</v>
      </c>
      <c r="CQ93" s="480"/>
    </row>
    <row r="94" spans="1:95" s="33" customFormat="1" ht="27.75" customHeight="1">
      <c r="A94" s="1051" t="s">
        <v>1581</v>
      </c>
      <c r="B94" s="1048" t="s">
        <v>1594</v>
      </c>
      <c r="C94" s="1048" t="s">
        <v>1595</v>
      </c>
      <c r="D94" s="895"/>
      <c r="E94" s="125" t="s">
        <v>107</v>
      </c>
      <c r="F94" s="898"/>
      <c r="G94" s="899"/>
      <c r="H94" s="899"/>
      <c r="I94" s="902"/>
      <c r="J94" s="674" t="s">
        <v>1990</v>
      </c>
      <c r="K94" s="374" t="str">
        <f>IFERROR(VLOOKUP(H94,справочник!$A$3:$B$12,2,0),"нет данных")</f>
        <v>нет данных</v>
      </c>
      <c r="L94" s="326"/>
      <c r="M94" s="399"/>
      <c r="N94" s="346">
        <f t="shared" si="72"/>
        <v>0</v>
      </c>
      <c r="O94" s="394"/>
      <c r="P94" s="352"/>
      <c r="Q94" s="352"/>
      <c r="R94" s="352"/>
      <c r="S94" s="352"/>
      <c r="T94" s="352"/>
      <c r="U94" s="324"/>
      <c r="V94" s="324"/>
      <c r="W94" s="324"/>
      <c r="X94" s="324"/>
      <c r="Y94" s="324"/>
      <c r="Z94" s="325"/>
      <c r="AA94" s="326"/>
      <c r="AB94" s="327">
        <f t="shared" si="81"/>
        <v>0</v>
      </c>
      <c r="AC94" s="328">
        <f t="shared" si="73"/>
        <v>0</v>
      </c>
      <c r="AD94" s="918"/>
      <c r="AE94" s="919"/>
      <c r="AF94" s="919"/>
      <c r="AG94" s="919"/>
      <c r="AH94" s="919"/>
      <c r="AI94" s="919"/>
      <c r="AJ94" s="919"/>
      <c r="AK94" s="919"/>
      <c r="AL94" s="919"/>
      <c r="AM94" s="919"/>
      <c r="AN94" s="919"/>
      <c r="AO94" s="920"/>
      <c r="AP94" s="917"/>
      <c r="AQ94" s="332">
        <f t="shared" si="82"/>
        <v>0</v>
      </c>
      <c r="AR94" s="333">
        <f t="shared" si="74"/>
        <v>0</v>
      </c>
      <c r="AS94" s="939"/>
      <c r="AT94" s="940"/>
      <c r="AU94" s="940"/>
      <c r="AV94" s="940"/>
      <c r="AW94" s="940"/>
      <c r="AX94" s="940"/>
      <c r="AY94" s="940"/>
      <c r="AZ94" s="940"/>
      <c r="BA94" s="940"/>
      <c r="BB94" s="940"/>
      <c r="BC94" s="940"/>
      <c r="BD94" s="941"/>
      <c r="BE94" s="938"/>
      <c r="BF94" s="332">
        <f t="shared" si="83"/>
        <v>0</v>
      </c>
      <c r="BG94" s="333">
        <f t="shared" si="75"/>
        <v>0</v>
      </c>
      <c r="BH94" s="329"/>
      <c r="BI94" s="330"/>
      <c r="BJ94" s="330"/>
      <c r="BK94" s="330"/>
      <c r="BL94" s="330"/>
      <c r="BM94" s="330"/>
      <c r="BN94" s="330"/>
      <c r="BO94" s="330"/>
      <c r="BP94" s="330"/>
      <c r="BQ94" s="330"/>
      <c r="BR94" s="330"/>
      <c r="BS94" s="331"/>
      <c r="BT94" s="326"/>
      <c r="BU94" s="332">
        <f t="shared" si="84"/>
        <v>0</v>
      </c>
      <c r="BV94" s="333">
        <f t="shared" si="76"/>
        <v>0</v>
      </c>
      <c r="BW94" s="329"/>
      <c r="BX94" s="330"/>
      <c r="BY94" s="330"/>
      <c r="BZ94" s="330"/>
      <c r="CA94" s="330"/>
      <c r="CB94" s="330"/>
      <c r="CC94" s="330"/>
      <c r="CD94" s="330"/>
      <c r="CE94" s="330"/>
      <c r="CF94" s="330"/>
      <c r="CG94" s="330"/>
      <c r="CH94" s="331"/>
      <c r="CI94" s="326"/>
      <c r="CJ94" s="332">
        <f t="shared" si="85"/>
        <v>0</v>
      </c>
      <c r="CK94" s="333">
        <f t="shared" si="77"/>
        <v>0</v>
      </c>
      <c r="CL94" s="334">
        <f t="shared" si="78"/>
        <v>0</v>
      </c>
      <c r="CM94" s="335">
        <f t="shared" si="79"/>
        <v>0</v>
      </c>
      <c r="CN94" s="336">
        <f t="shared" si="80"/>
        <v>0</v>
      </c>
      <c r="CQ94" s="480"/>
    </row>
    <row r="95" spans="1:95" s="33" customFormat="1" ht="27.75" customHeight="1">
      <c r="A95" s="1068"/>
      <c r="B95" s="1049"/>
      <c r="C95" s="1049"/>
      <c r="D95" s="895"/>
      <c r="E95" s="125" t="s">
        <v>107</v>
      </c>
      <c r="F95" s="898"/>
      <c r="G95" s="899"/>
      <c r="H95" s="899"/>
      <c r="I95" s="902"/>
      <c r="J95" s="674" t="s">
        <v>1990</v>
      </c>
      <c r="K95" s="374" t="str">
        <f>IFERROR(VLOOKUP(H95,справочник!$A$3:$B$12,2,0),"нет данных")</f>
        <v>нет данных</v>
      </c>
      <c r="L95" s="326"/>
      <c r="M95" s="399"/>
      <c r="N95" s="346">
        <f t="shared" si="72"/>
        <v>0</v>
      </c>
      <c r="O95" s="394"/>
      <c r="P95" s="352"/>
      <c r="Q95" s="352"/>
      <c r="R95" s="352"/>
      <c r="S95" s="352"/>
      <c r="T95" s="352"/>
      <c r="U95" s="324"/>
      <c r="V95" s="324"/>
      <c r="W95" s="324"/>
      <c r="X95" s="324"/>
      <c r="Y95" s="324"/>
      <c r="Z95" s="325"/>
      <c r="AA95" s="326"/>
      <c r="AB95" s="327">
        <f t="shared" si="81"/>
        <v>0</v>
      </c>
      <c r="AC95" s="328">
        <f t="shared" si="73"/>
        <v>0</v>
      </c>
      <c r="AD95" s="918"/>
      <c r="AE95" s="919"/>
      <c r="AF95" s="919"/>
      <c r="AG95" s="919"/>
      <c r="AH95" s="919"/>
      <c r="AI95" s="919"/>
      <c r="AJ95" s="919"/>
      <c r="AK95" s="919"/>
      <c r="AL95" s="919"/>
      <c r="AM95" s="919"/>
      <c r="AN95" s="919"/>
      <c r="AO95" s="920"/>
      <c r="AP95" s="917"/>
      <c r="AQ95" s="332">
        <f t="shared" si="82"/>
        <v>0</v>
      </c>
      <c r="AR95" s="333">
        <f t="shared" si="74"/>
        <v>0</v>
      </c>
      <c r="AS95" s="939"/>
      <c r="AT95" s="940"/>
      <c r="AU95" s="940"/>
      <c r="AV95" s="940"/>
      <c r="AW95" s="940"/>
      <c r="AX95" s="940"/>
      <c r="AY95" s="940"/>
      <c r="AZ95" s="940"/>
      <c r="BA95" s="940"/>
      <c r="BB95" s="940"/>
      <c r="BC95" s="940"/>
      <c r="BD95" s="941"/>
      <c r="BE95" s="938"/>
      <c r="BF95" s="332">
        <f t="shared" si="83"/>
        <v>0</v>
      </c>
      <c r="BG95" s="333">
        <f t="shared" si="75"/>
        <v>0</v>
      </c>
      <c r="BH95" s="329"/>
      <c r="BI95" s="330"/>
      <c r="BJ95" s="330"/>
      <c r="BK95" s="330"/>
      <c r="BL95" s="330"/>
      <c r="BM95" s="330"/>
      <c r="BN95" s="330"/>
      <c r="BO95" s="330"/>
      <c r="BP95" s="330"/>
      <c r="BQ95" s="330"/>
      <c r="BR95" s="330"/>
      <c r="BS95" s="331"/>
      <c r="BT95" s="326"/>
      <c r="BU95" s="332">
        <f t="shared" si="84"/>
        <v>0</v>
      </c>
      <c r="BV95" s="333">
        <f t="shared" si="76"/>
        <v>0</v>
      </c>
      <c r="BW95" s="329"/>
      <c r="BX95" s="330"/>
      <c r="BY95" s="330"/>
      <c r="BZ95" s="330"/>
      <c r="CA95" s="330"/>
      <c r="CB95" s="330"/>
      <c r="CC95" s="330"/>
      <c r="CD95" s="330"/>
      <c r="CE95" s="330"/>
      <c r="CF95" s="330"/>
      <c r="CG95" s="330"/>
      <c r="CH95" s="331"/>
      <c r="CI95" s="326"/>
      <c r="CJ95" s="332">
        <f t="shared" si="85"/>
        <v>0</v>
      </c>
      <c r="CK95" s="333">
        <f t="shared" si="77"/>
        <v>0</v>
      </c>
      <c r="CL95" s="334">
        <f t="shared" si="78"/>
        <v>0</v>
      </c>
      <c r="CM95" s="335">
        <f t="shared" si="79"/>
        <v>0</v>
      </c>
      <c r="CN95" s="336">
        <f t="shared" si="80"/>
        <v>0</v>
      </c>
      <c r="CQ95" s="480"/>
    </row>
    <row r="96" spans="1:95" s="33" customFormat="1" ht="27.75" customHeight="1">
      <c r="A96" s="1068"/>
      <c r="B96" s="1049"/>
      <c r="C96" s="1049"/>
      <c r="D96" s="895"/>
      <c r="E96" s="125" t="s">
        <v>107</v>
      </c>
      <c r="F96" s="898"/>
      <c r="G96" s="899"/>
      <c r="H96" s="899"/>
      <c r="I96" s="902"/>
      <c r="J96" s="674" t="s">
        <v>1990</v>
      </c>
      <c r="K96" s="374" t="str">
        <f>IFERROR(VLOOKUP(H96,справочник!$A$3:$B$12,2,0),"нет данных")</f>
        <v>нет данных</v>
      </c>
      <c r="L96" s="326"/>
      <c r="M96" s="399"/>
      <c r="N96" s="346">
        <f t="shared" si="72"/>
        <v>0</v>
      </c>
      <c r="O96" s="394"/>
      <c r="P96" s="352"/>
      <c r="Q96" s="352"/>
      <c r="R96" s="352"/>
      <c r="S96" s="352"/>
      <c r="T96" s="352"/>
      <c r="U96" s="324"/>
      <c r="V96" s="324"/>
      <c r="W96" s="324"/>
      <c r="X96" s="324"/>
      <c r="Y96" s="324"/>
      <c r="Z96" s="325"/>
      <c r="AA96" s="326"/>
      <c r="AB96" s="327">
        <f t="shared" si="81"/>
        <v>0</v>
      </c>
      <c r="AC96" s="328">
        <f t="shared" si="73"/>
        <v>0</v>
      </c>
      <c r="AD96" s="918"/>
      <c r="AE96" s="919"/>
      <c r="AF96" s="919"/>
      <c r="AG96" s="919"/>
      <c r="AH96" s="919"/>
      <c r="AI96" s="919"/>
      <c r="AJ96" s="919"/>
      <c r="AK96" s="919"/>
      <c r="AL96" s="919"/>
      <c r="AM96" s="919"/>
      <c r="AN96" s="919"/>
      <c r="AO96" s="920"/>
      <c r="AP96" s="917"/>
      <c r="AQ96" s="332">
        <f t="shared" si="82"/>
        <v>0</v>
      </c>
      <c r="AR96" s="333">
        <f t="shared" si="74"/>
        <v>0</v>
      </c>
      <c r="AS96" s="939"/>
      <c r="AT96" s="940"/>
      <c r="AU96" s="940"/>
      <c r="AV96" s="940"/>
      <c r="AW96" s="940"/>
      <c r="AX96" s="940"/>
      <c r="AY96" s="940"/>
      <c r="AZ96" s="940"/>
      <c r="BA96" s="940"/>
      <c r="BB96" s="940"/>
      <c r="BC96" s="940"/>
      <c r="BD96" s="941"/>
      <c r="BE96" s="938"/>
      <c r="BF96" s="332">
        <f t="shared" si="83"/>
        <v>0</v>
      </c>
      <c r="BG96" s="333">
        <f t="shared" si="75"/>
        <v>0</v>
      </c>
      <c r="BH96" s="329"/>
      <c r="BI96" s="330"/>
      <c r="BJ96" s="330"/>
      <c r="BK96" s="330"/>
      <c r="BL96" s="330"/>
      <c r="BM96" s="330"/>
      <c r="BN96" s="330"/>
      <c r="BO96" s="330"/>
      <c r="BP96" s="330"/>
      <c r="BQ96" s="330"/>
      <c r="BR96" s="330"/>
      <c r="BS96" s="331"/>
      <c r="BT96" s="326"/>
      <c r="BU96" s="332">
        <f t="shared" si="84"/>
        <v>0</v>
      </c>
      <c r="BV96" s="333">
        <f t="shared" si="76"/>
        <v>0</v>
      </c>
      <c r="BW96" s="329"/>
      <c r="BX96" s="330"/>
      <c r="BY96" s="330"/>
      <c r="BZ96" s="330"/>
      <c r="CA96" s="330"/>
      <c r="CB96" s="330"/>
      <c r="CC96" s="330"/>
      <c r="CD96" s="330"/>
      <c r="CE96" s="330"/>
      <c r="CF96" s="330"/>
      <c r="CG96" s="330"/>
      <c r="CH96" s="331"/>
      <c r="CI96" s="326"/>
      <c r="CJ96" s="332">
        <f t="shared" si="85"/>
        <v>0</v>
      </c>
      <c r="CK96" s="333">
        <f t="shared" si="77"/>
        <v>0</v>
      </c>
      <c r="CL96" s="334">
        <f t="shared" si="78"/>
        <v>0</v>
      </c>
      <c r="CM96" s="335">
        <f t="shared" si="79"/>
        <v>0</v>
      </c>
      <c r="CN96" s="336">
        <f t="shared" si="80"/>
        <v>0</v>
      </c>
      <c r="CQ96" s="480"/>
    </row>
    <row r="97" spans="1:95" s="33" customFormat="1" ht="27.75" customHeight="1">
      <c r="A97" s="1052"/>
      <c r="B97" s="1050"/>
      <c r="C97" s="1050"/>
      <c r="D97" s="895"/>
      <c r="E97" s="125" t="s">
        <v>107</v>
      </c>
      <c r="F97" s="898"/>
      <c r="G97" s="899"/>
      <c r="H97" s="899"/>
      <c r="I97" s="902"/>
      <c r="J97" s="674" t="s">
        <v>1990</v>
      </c>
      <c r="K97" s="374" t="str">
        <f>IFERROR(VLOOKUP(H97,справочник!$A$3:$B$12,2,0),"нет данных")</f>
        <v>нет данных</v>
      </c>
      <c r="L97" s="326"/>
      <c r="M97" s="399"/>
      <c r="N97" s="346">
        <f t="shared" si="72"/>
        <v>0</v>
      </c>
      <c r="O97" s="394"/>
      <c r="P97" s="352"/>
      <c r="Q97" s="352"/>
      <c r="R97" s="352"/>
      <c r="S97" s="352"/>
      <c r="T97" s="352"/>
      <c r="U97" s="324"/>
      <c r="V97" s="324"/>
      <c r="W97" s="324"/>
      <c r="X97" s="324"/>
      <c r="Y97" s="324"/>
      <c r="Z97" s="325"/>
      <c r="AA97" s="326"/>
      <c r="AB97" s="327">
        <f t="shared" si="81"/>
        <v>0</v>
      </c>
      <c r="AC97" s="328">
        <f t="shared" si="73"/>
        <v>0</v>
      </c>
      <c r="AD97" s="918"/>
      <c r="AE97" s="919"/>
      <c r="AF97" s="919"/>
      <c r="AG97" s="919"/>
      <c r="AH97" s="919"/>
      <c r="AI97" s="919"/>
      <c r="AJ97" s="919"/>
      <c r="AK97" s="919"/>
      <c r="AL97" s="919"/>
      <c r="AM97" s="919"/>
      <c r="AN97" s="919"/>
      <c r="AO97" s="920"/>
      <c r="AP97" s="917"/>
      <c r="AQ97" s="332">
        <f t="shared" si="82"/>
        <v>0</v>
      </c>
      <c r="AR97" s="333">
        <f t="shared" si="74"/>
        <v>0</v>
      </c>
      <c r="AS97" s="939"/>
      <c r="AT97" s="940"/>
      <c r="AU97" s="940"/>
      <c r="AV97" s="940"/>
      <c r="AW97" s="940"/>
      <c r="AX97" s="940"/>
      <c r="AY97" s="940"/>
      <c r="AZ97" s="940"/>
      <c r="BA97" s="940"/>
      <c r="BB97" s="940"/>
      <c r="BC97" s="940"/>
      <c r="BD97" s="941"/>
      <c r="BE97" s="938"/>
      <c r="BF97" s="332">
        <f t="shared" si="83"/>
        <v>0</v>
      </c>
      <c r="BG97" s="333">
        <f t="shared" si="75"/>
        <v>0</v>
      </c>
      <c r="BH97" s="329"/>
      <c r="BI97" s="330"/>
      <c r="BJ97" s="330"/>
      <c r="BK97" s="330"/>
      <c r="BL97" s="330"/>
      <c r="BM97" s="330"/>
      <c r="BN97" s="330"/>
      <c r="BO97" s="330"/>
      <c r="BP97" s="330"/>
      <c r="BQ97" s="330"/>
      <c r="BR97" s="330"/>
      <c r="BS97" s="331"/>
      <c r="BT97" s="326"/>
      <c r="BU97" s="332">
        <f t="shared" si="84"/>
        <v>0</v>
      </c>
      <c r="BV97" s="333">
        <f t="shared" si="76"/>
        <v>0</v>
      </c>
      <c r="BW97" s="329"/>
      <c r="BX97" s="330"/>
      <c r="BY97" s="330"/>
      <c r="BZ97" s="330"/>
      <c r="CA97" s="330"/>
      <c r="CB97" s="330"/>
      <c r="CC97" s="330"/>
      <c r="CD97" s="330"/>
      <c r="CE97" s="330"/>
      <c r="CF97" s="330"/>
      <c r="CG97" s="330"/>
      <c r="CH97" s="331"/>
      <c r="CI97" s="326"/>
      <c r="CJ97" s="332">
        <f t="shared" si="85"/>
        <v>0</v>
      </c>
      <c r="CK97" s="333">
        <f t="shared" si="77"/>
        <v>0</v>
      </c>
      <c r="CL97" s="334">
        <f t="shared" si="78"/>
        <v>0</v>
      </c>
      <c r="CM97" s="335">
        <f t="shared" si="79"/>
        <v>0</v>
      </c>
      <c r="CN97" s="336">
        <f t="shared" si="80"/>
        <v>0</v>
      </c>
      <c r="CQ97" s="480"/>
    </row>
    <row r="98" spans="1:95" s="33" customFormat="1" ht="27.75" customHeight="1">
      <c r="A98" s="1051" t="s">
        <v>1582</v>
      </c>
      <c r="B98" s="1048" t="s">
        <v>1676</v>
      </c>
      <c r="C98" s="1048" t="s">
        <v>1596</v>
      </c>
      <c r="D98" s="895"/>
      <c r="E98" s="125" t="s">
        <v>107</v>
      </c>
      <c r="F98" s="898"/>
      <c r="G98" s="899" t="s">
        <v>40</v>
      </c>
      <c r="H98" s="904" t="s">
        <v>1453</v>
      </c>
      <c r="I98" s="902" t="s">
        <v>2049</v>
      </c>
      <c r="J98" s="674" t="s">
        <v>1990</v>
      </c>
      <c r="K98" s="374">
        <f>IFERROR(VLOOKUP(H98,справочник!$A$3:$B$12,2,0),"нет данных")</f>
        <v>21520</v>
      </c>
      <c r="L98" s="326"/>
      <c r="M98" s="399"/>
      <c r="N98" s="346">
        <f t="shared" si="72"/>
        <v>0</v>
      </c>
      <c r="O98" s="394"/>
      <c r="P98" s="352"/>
      <c r="Q98" s="352"/>
      <c r="R98" s="352"/>
      <c r="S98" s="352"/>
      <c r="T98" s="352"/>
      <c r="U98" s="324"/>
      <c r="V98" s="324"/>
      <c r="W98" s="324"/>
      <c r="X98" s="324"/>
      <c r="Y98" s="324"/>
      <c r="Z98" s="325"/>
      <c r="AA98" s="326"/>
      <c r="AB98" s="327">
        <f t="shared" si="81"/>
        <v>0</v>
      </c>
      <c r="AC98" s="328">
        <f t="shared" si="73"/>
        <v>0</v>
      </c>
      <c r="AD98" s="918"/>
      <c r="AE98" s="919"/>
      <c r="AF98" s="919"/>
      <c r="AG98" s="919"/>
      <c r="AH98" s="919"/>
      <c r="AI98" s="931">
        <v>5</v>
      </c>
      <c r="AJ98" s="919"/>
      <c r="AK98" s="919"/>
      <c r="AL98" s="919"/>
      <c r="AM98" s="919"/>
      <c r="AN98" s="919"/>
      <c r="AO98" s="920"/>
      <c r="AP98" s="917"/>
      <c r="AQ98" s="332">
        <f t="shared" si="82"/>
        <v>5</v>
      </c>
      <c r="AR98" s="333">
        <f t="shared" si="74"/>
        <v>107600</v>
      </c>
      <c r="AS98" s="939"/>
      <c r="AT98" s="940"/>
      <c r="AU98" s="940"/>
      <c r="AV98" s="940"/>
      <c r="AW98" s="940"/>
      <c r="AX98" s="940"/>
      <c r="AY98" s="940"/>
      <c r="AZ98" s="940"/>
      <c r="BA98" s="940"/>
      <c r="BB98" s="940"/>
      <c r="BC98" s="940"/>
      <c r="BD98" s="941"/>
      <c r="BE98" s="938"/>
      <c r="BF98" s="332">
        <f t="shared" si="83"/>
        <v>0</v>
      </c>
      <c r="BG98" s="333">
        <f t="shared" si="75"/>
        <v>0</v>
      </c>
      <c r="BH98" s="329"/>
      <c r="BI98" s="330"/>
      <c r="BJ98" s="330"/>
      <c r="BK98" s="330"/>
      <c r="BL98" s="330"/>
      <c r="BM98" s="330"/>
      <c r="BN98" s="330"/>
      <c r="BO98" s="330"/>
      <c r="BP98" s="330"/>
      <c r="BQ98" s="330"/>
      <c r="BR98" s="330"/>
      <c r="BS98" s="331"/>
      <c r="BT98" s="326"/>
      <c r="BU98" s="332">
        <f t="shared" si="84"/>
        <v>0</v>
      </c>
      <c r="BV98" s="333">
        <f t="shared" si="76"/>
        <v>0</v>
      </c>
      <c r="BW98" s="329"/>
      <c r="BX98" s="330"/>
      <c r="BY98" s="330"/>
      <c r="BZ98" s="330"/>
      <c r="CA98" s="330"/>
      <c r="CB98" s="330"/>
      <c r="CC98" s="330"/>
      <c r="CD98" s="330"/>
      <c r="CE98" s="330"/>
      <c r="CF98" s="330"/>
      <c r="CG98" s="330"/>
      <c r="CH98" s="331"/>
      <c r="CI98" s="326"/>
      <c r="CJ98" s="332">
        <f t="shared" si="85"/>
        <v>0</v>
      </c>
      <c r="CK98" s="333">
        <f t="shared" si="77"/>
        <v>0</v>
      </c>
      <c r="CL98" s="334">
        <f t="shared" si="78"/>
        <v>0</v>
      </c>
      <c r="CM98" s="335">
        <f t="shared" si="79"/>
        <v>5</v>
      </c>
      <c r="CN98" s="336">
        <f t="shared" si="80"/>
        <v>107600</v>
      </c>
      <c r="CQ98" s="480"/>
    </row>
    <row r="99" spans="1:95" s="33" customFormat="1" ht="27.75" customHeight="1">
      <c r="A99" s="1052"/>
      <c r="B99" s="1050"/>
      <c r="C99" s="1050"/>
      <c r="D99" s="895"/>
      <c r="E99" s="125" t="s">
        <v>107</v>
      </c>
      <c r="F99" s="898"/>
      <c r="G99" s="899"/>
      <c r="H99" s="899"/>
      <c r="I99" s="902"/>
      <c r="J99" s="674" t="s">
        <v>1990</v>
      </c>
      <c r="K99" s="374" t="str">
        <f>IFERROR(VLOOKUP(H99,справочник!$A$3:$B$12,2,0),"нет данных")</f>
        <v>нет данных</v>
      </c>
      <c r="L99" s="326"/>
      <c r="M99" s="399"/>
      <c r="N99" s="346">
        <f t="shared" si="72"/>
        <v>0</v>
      </c>
      <c r="O99" s="394"/>
      <c r="P99" s="352"/>
      <c r="Q99" s="352"/>
      <c r="R99" s="352"/>
      <c r="S99" s="352"/>
      <c r="T99" s="352"/>
      <c r="U99" s="324"/>
      <c r="V99" s="324"/>
      <c r="W99" s="324"/>
      <c r="X99" s="324"/>
      <c r="Y99" s="324"/>
      <c r="Z99" s="325"/>
      <c r="AA99" s="326"/>
      <c r="AB99" s="327">
        <f t="shared" si="81"/>
        <v>0</v>
      </c>
      <c r="AC99" s="328">
        <f t="shared" si="73"/>
        <v>0</v>
      </c>
      <c r="AD99" s="918"/>
      <c r="AE99" s="919"/>
      <c r="AF99" s="919"/>
      <c r="AG99" s="919"/>
      <c r="AH99" s="919"/>
      <c r="AI99" s="919"/>
      <c r="AJ99" s="919"/>
      <c r="AK99" s="919"/>
      <c r="AL99" s="919"/>
      <c r="AM99" s="919"/>
      <c r="AN99" s="919"/>
      <c r="AO99" s="920"/>
      <c r="AP99" s="917"/>
      <c r="AQ99" s="332">
        <f t="shared" si="82"/>
        <v>0</v>
      </c>
      <c r="AR99" s="333">
        <f t="shared" si="74"/>
        <v>0</v>
      </c>
      <c r="AS99" s="939"/>
      <c r="AT99" s="940"/>
      <c r="AU99" s="940"/>
      <c r="AV99" s="940"/>
      <c r="AW99" s="940"/>
      <c r="AX99" s="940"/>
      <c r="AY99" s="940"/>
      <c r="AZ99" s="940"/>
      <c r="BA99" s="940"/>
      <c r="BB99" s="940"/>
      <c r="BC99" s="940"/>
      <c r="BD99" s="941"/>
      <c r="BE99" s="938"/>
      <c r="BF99" s="332">
        <f t="shared" si="83"/>
        <v>0</v>
      </c>
      <c r="BG99" s="333">
        <f t="shared" si="75"/>
        <v>0</v>
      </c>
      <c r="BH99" s="329"/>
      <c r="BI99" s="330"/>
      <c r="BJ99" s="330"/>
      <c r="BK99" s="330"/>
      <c r="BL99" s="330"/>
      <c r="BM99" s="330"/>
      <c r="BN99" s="330"/>
      <c r="BO99" s="330"/>
      <c r="BP99" s="330"/>
      <c r="BQ99" s="330"/>
      <c r="BR99" s="330"/>
      <c r="BS99" s="331"/>
      <c r="BT99" s="326"/>
      <c r="BU99" s="332">
        <f t="shared" si="84"/>
        <v>0</v>
      </c>
      <c r="BV99" s="333">
        <f t="shared" si="76"/>
        <v>0</v>
      </c>
      <c r="BW99" s="329"/>
      <c r="BX99" s="330"/>
      <c r="BY99" s="330"/>
      <c r="BZ99" s="330"/>
      <c r="CA99" s="330"/>
      <c r="CB99" s="330"/>
      <c r="CC99" s="330"/>
      <c r="CD99" s="330"/>
      <c r="CE99" s="330"/>
      <c r="CF99" s="330"/>
      <c r="CG99" s="330"/>
      <c r="CH99" s="331"/>
      <c r="CI99" s="326"/>
      <c r="CJ99" s="332">
        <f t="shared" si="85"/>
        <v>0</v>
      </c>
      <c r="CK99" s="333">
        <f t="shared" si="77"/>
        <v>0</v>
      </c>
      <c r="CL99" s="334">
        <f t="shared" si="78"/>
        <v>0</v>
      </c>
      <c r="CM99" s="335">
        <f t="shared" si="79"/>
        <v>0</v>
      </c>
      <c r="CN99" s="336">
        <f t="shared" si="80"/>
        <v>0</v>
      </c>
      <c r="CQ99" s="480"/>
    </row>
    <row r="100" spans="1:95" s="33" customFormat="1" ht="27.75" customHeight="1">
      <c r="A100" s="1051" t="s">
        <v>1583</v>
      </c>
      <c r="B100" s="1048" t="s">
        <v>86</v>
      </c>
      <c r="C100" s="1048" t="s">
        <v>86</v>
      </c>
      <c r="D100" s="895"/>
      <c r="E100" s="125" t="s">
        <v>107</v>
      </c>
      <c r="F100" s="898" t="s">
        <v>1699</v>
      </c>
      <c r="G100" s="899" t="s">
        <v>43</v>
      </c>
      <c r="H100" s="899" t="s">
        <v>61</v>
      </c>
      <c r="I100" s="902" t="s">
        <v>2052</v>
      </c>
      <c r="J100" s="674" t="s">
        <v>1990</v>
      </c>
      <c r="K100" s="374">
        <f>IFERROR(VLOOKUP(H100,справочник!$A$3:$B$12,2,0),"нет данных")</f>
        <v>15930</v>
      </c>
      <c r="L100" s="326"/>
      <c r="M100" s="399"/>
      <c r="N100" s="346">
        <f t="shared" si="72"/>
        <v>0</v>
      </c>
      <c r="O100" s="394"/>
      <c r="P100" s="352"/>
      <c r="Q100" s="352"/>
      <c r="R100" s="352"/>
      <c r="S100" s="352"/>
      <c r="T100" s="352"/>
      <c r="U100" s="324"/>
      <c r="V100" s="324"/>
      <c r="W100" s="324"/>
      <c r="X100" s="324"/>
      <c r="Y100" s="324"/>
      <c r="Z100" s="325"/>
      <c r="AA100" s="326"/>
      <c r="AB100" s="327">
        <f t="shared" si="81"/>
        <v>0</v>
      </c>
      <c r="AC100" s="328">
        <f t="shared" si="73"/>
        <v>0</v>
      </c>
      <c r="AD100" s="918"/>
      <c r="AE100" s="919"/>
      <c r="AF100" s="919"/>
      <c r="AG100" s="919"/>
      <c r="AH100" s="919"/>
      <c r="AI100" s="919"/>
      <c r="AJ100" s="930">
        <v>22</v>
      </c>
      <c r="AK100" s="930">
        <v>10</v>
      </c>
      <c r="AL100" s="930">
        <v>5</v>
      </c>
      <c r="AM100" s="930">
        <v>3</v>
      </c>
      <c r="AN100" s="919"/>
      <c r="AO100" s="920"/>
      <c r="AP100" s="917"/>
      <c r="AQ100" s="332">
        <f t="shared" si="82"/>
        <v>40</v>
      </c>
      <c r="AR100" s="333">
        <f t="shared" si="74"/>
        <v>637200</v>
      </c>
      <c r="AS100" s="939"/>
      <c r="AT100" s="940"/>
      <c r="AU100" s="940"/>
      <c r="AV100" s="940"/>
      <c r="AW100" s="940"/>
      <c r="AX100" s="940"/>
      <c r="AY100" s="940"/>
      <c r="AZ100" s="940"/>
      <c r="BA100" s="940"/>
      <c r="BB100" s="940"/>
      <c r="BC100" s="940"/>
      <c r="BD100" s="941"/>
      <c r="BE100" s="938"/>
      <c r="BF100" s="332">
        <f t="shared" si="83"/>
        <v>0</v>
      </c>
      <c r="BG100" s="333">
        <f t="shared" si="75"/>
        <v>0</v>
      </c>
      <c r="BH100" s="329"/>
      <c r="BI100" s="330"/>
      <c r="BJ100" s="330"/>
      <c r="BK100" s="330"/>
      <c r="BL100" s="330"/>
      <c r="BM100" s="330"/>
      <c r="BN100" s="330"/>
      <c r="BO100" s="330"/>
      <c r="BP100" s="330"/>
      <c r="BQ100" s="330"/>
      <c r="BR100" s="330"/>
      <c r="BS100" s="331"/>
      <c r="BT100" s="326"/>
      <c r="BU100" s="332">
        <f t="shared" si="84"/>
        <v>0</v>
      </c>
      <c r="BV100" s="333">
        <f t="shared" si="76"/>
        <v>0</v>
      </c>
      <c r="BW100" s="329"/>
      <c r="BX100" s="330"/>
      <c r="BY100" s="330"/>
      <c r="BZ100" s="330"/>
      <c r="CA100" s="330"/>
      <c r="CB100" s="330"/>
      <c r="CC100" s="330"/>
      <c r="CD100" s="330"/>
      <c r="CE100" s="330"/>
      <c r="CF100" s="330"/>
      <c r="CG100" s="330"/>
      <c r="CH100" s="331"/>
      <c r="CI100" s="326"/>
      <c r="CJ100" s="332">
        <f t="shared" si="85"/>
        <v>0</v>
      </c>
      <c r="CK100" s="333">
        <f t="shared" si="77"/>
        <v>0</v>
      </c>
      <c r="CL100" s="334">
        <f t="shared" si="78"/>
        <v>0</v>
      </c>
      <c r="CM100" s="335">
        <f t="shared" si="79"/>
        <v>40</v>
      </c>
      <c r="CN100" s="336">
        <f t="shared" si="80"/>
        <v>637200</v>
      </c>
      <c r="CQ100" s="480"/>
    </row>
    <row r="101" spans="1:95" s="866" customFormat="1" ht="27.75" customHeight="1">
      <c r="A101" s="1068"/>
      <c r="B101" s="1049"/>
      <c r="C101" s="1049"/>
      <c r="D101" s="895"/>
      <c r="E101" s="867" t="s">
        <v>107</v>
      </c>
      <c r="F101" s="898" t="s">
        <v>1699</v>
      </c>
      <c r="G101" s="910" t="s">
        <v>43</v>
      </c>
      <c r="H101" s="910" t="s">
        <v>61</v>
      </c>
      <c r="I101" s="909" t="s">
        <v>2053</v>
      </c>
      <c r="J101" s="674" t="s">
        <v>1990</v>
      </c>
      <c r="K101" s="883">
        <f>IFERROR(VLOOKUP(H101,справочник!$A$3:$B$12,2,0),"нет данных")</f>
        <v>15930</v>
      </c>
      <c r="L101" s="870"/>
      <c r="M101" s="885"/>
      <c r="N101" s="881">
        <f t="shared" ref="N101" si="128">IFERROR(ROUND((K101*M101+K101*L101),2),0)</f>
        <v>0</v>
      </c>
      <c r="O101" s="884"/>
      <c r="P101" s="882"/>
      <c r="Q101" s="882"/>
      <c r="R101" s="882"/>
      <c r="S101" s="882"/>
      <c r="T101" s="882"/>
      <c r="U101" s="868"/>
      <c r="V101" s="868"/>
      <c r="W101" s="868"/>
      <c r="X101" s="868"/>
      <c r="Y101" s="868"/>
      <c r="Z101" s="869"/>
      <c r="AA101" s="870"/>
      <c r="AB101" s="871">
        <f t="shared" ref="AB101" si="129">SUM(O101:Z101)</f>
        <v>0</v>
      </c>
      <c r="AC101" s="872">
        <f t="shared" ref="AC101" si="130">IFERROR(ROUND(($K101*AB101+$K101*AA101),2),0)</f>
        <v>0</v>
      </c>
      <c r="AD101" s="918"/>
      <c r="AE101" s="919"/>
      <c r="AF101" s="919"/>
      <c r="AG101" s="919"/>
      <c r="AH101" s="919"/>
      <c r="AI101" s="919"/>
      <c r="AJ101" s="930">
        <v>20</v>
      </c>
      <c r="AK101" s="930">
        <v>10</v>
      </c>
      <c r="AL101" s="930">
        <v>5</v>
      </c>
      <c r="AM101" s="930">
        <v>3</v>
      </c>
      <c r="AN101" s="919"/>
      <c r="AO101" s="920"/>
      <c r="AP101" s="917"/>
      <c r="AQ101" s="876">
        <f t="shared" ref="AQ101" si="131">SUM(AD101:AO101)</f>
        <v>38</v>
      </c>
      <c r="AR101" s="877">
        <f t="shared" ref="AR101" si="132">IFERROR(ROUND(($K101*AQ101+$K101*AP101),2),0)</f>
        <v>605340</v>
      </c>
      <c r="AS101" s="939"/>
      <c r="AT101" s="940"/>
      <c r="AU101" s="940"/>
      <c r="AV101" s="940"/>
      <c r="AW101" s="940"/>
      <c r="AX101" s="940"/>
      <c r="AY101" s="940"/>
      <c r="AZ101" s="940"/>
      <c r="BA101" s="940"/>
      <c r="BB101" s="940"/>
      <c r="BC101" s="940"/>
      <c r="BD101" s="941"/>
      <c r="BE101" s="938"/>
      <c r="BF101" s="876">
        <f t="shared" ref="BF101" si="133">SUM(AS101:BD101)</f>
        <v>0</v>
      </c>
      <c r="BG101" s="877">
        <f t="shared" ref="BG101" si="134">IFERROR(ROUND(($K101*BF101+$K101*BE101),2),0)</f>
        <v>0</v>
      </c>
      <c r="BH101" s="873"/>
      <c r="BI101" s="874"/>
      <c r="BJ101" s="874"/>
      <c r="BK101" s="874"/>
      <c r="BL101" s="874"/>
      <c r="BM101" s="874"/>
      <c r="BN101" s="874"/>
      <c r="BO101" s="874"/>
      <c r="BP101" s="874"/>
      <c r="BQ101" s="874"/>
      <c r="BR101" s="874"/>
      <c r="BS101" s="875"/>
      <c r="BT101" s="870"/>
      <c r="BU101" s="876">
        <f t="shared" ref="BU101" si="135">SUM(BH101:BS101)</f>
        <v>0</v>
      </c>
      <c r="BV101" s="877">
        <f t="shared" ref="BV101" si="136">IFERROR(ROUND(($K101*BU101+$K101*BT101),2),0)</f>
        <v>0</v>
      </c>
      <c r="BW101" s="873"/>
      <c r="BX101" s="874"/>
      <c r="BY101" s="874"/>
      <c r="BZ101" s="874"/>
      <c r="CA101" s="874"/>
      <c r="CB101" s="874"/>
      <c r="CC101" s="874"/>
      <c r="CD101" s="874"/>
      <c r="CE101" s="874"/>
      <c r="CF101" s="874"/>
      <c r="CG101" s="874"/>
      <c r="CH101" s="875"/>
      <c r="CI101" s="870"/>
      <c r="CJ101" s="876">
        <f t="shared" ref="CJ101" si="137">SUM(BW101:CH101)</f>
        <v>0</v>
      </c>
      <c r="CK101" s="877">
        <f t="shared" ref="CK101" si="138">IFERROR(ROUND(($K101*CJ101+$K101*CI101),2),0)</f>
        <v>0</v>
      </c>
      <c r="CL101" s="878">
        <f t="shared" ref="CL101" si="139">AA101+AP101+L101+BE101+BT101+CI101</f>
        <v>0</v>
      </c>
      <c r="CM101" s="879">
        <f t="shared" ref="CM101" si="140">AB101+AQ101+M101+BF101+BU101+CJ101</f>
        <v>38</v>
      </c>
      <c r="CN101" s="880">
        <f t="shared" ref="CN101" si="141">AC101+AR101+N101+BG101+BV101+CK101</f>
        <v>605340</v>
      </c>
      <c r="CQ101" s="886"/>
    </row>
    <row r="102" spans="1:95" s="866" customFormat="1" ht="27.75" customHeight="1">
      <c r="A102" s="1068"/>
      <c r="B102" s="1049"/>
      <c r="C102" s="1049"/>
      <c r="D102" s="895"/>
      <c r="E102" s="867" t="s">
        <v>107</v>
      </c>
      <c r="F102" s="898"/>
      <c r="G102" s="910" t="s">
        <v>43</v>
      </c>
      <c r="H102" s="910" t="s">
        <v>61</v>
      </c>
      <c r="I102" s="907" t="s">
        <v>2051</v>
      </c>
      <c r="J102" s="674" t="s">
        <v>1990</v>
      </c>
      <c r="K102" s="883">
        <f>IFERROR(VLOOKUP(H102,справочник!$A$3:$B$12,2,0),"нет данных")</f>
        <v>15930</v>
      </c>
      <c r="L102" s="870"/>
      <c r="M102" s="885"/>
      <c r="N102" s="881">
        <f t="shared" ref="N102" si="142">IFERROR(ROUND((K102*M102+K102*L102),2),0)</f>
        <v>0</v>
      </c>
      <c r="O102" s="884"/>
      <c r="P102" s="882"/>
      <c r="Q102" s="882"/>
      <c r="R102" s="882"/>
      <c r="S102" s="882"/>
      <c r="T102" s="882"/>
      <c r="U102" s="868"/>
      <c r="V102" s="868"/>
      <c r="W102" s="868"/>
      <c r="X102" s="868"/>
      <c r="Y102" s="868"/>
      <c r="Z102" s="869"/>
      <c r="AA102" s="870"/>
      <c r="AB102" s="871">
        <f t="shared" ref="AB102" si="143">SUM(O102:Z102)</f>
        <v>0</v>
      </c>
      <c r="AC102" s="872">
        <f t="shared" ref="AC102" si="144">IFERROR(ROUND(($K102*AB102+$K102*AA102),2),0)</f>
        <v>0</v>
      </c>
      <c r="AD102" s="919"/>
      <c r="AE102" s="919"/>
      <c r="AF102" s="919"/>
      <c r="AG102" s="919"/>
      <c r="AH102" s="919"/>
      <c r="AI102" s="919"/>
      <c r="AJ102" s="930">
        <v>3</v>
      </c>
      <c r="AK102" s="930">
        <v>1</v>
      </c>
      <c r="AL102" s="937">
        <v>1</v>
      </c>
      <c r="AM102" s="936">
        <v>2</v>
      </c>
      <c r="AN102" s="921"/>
      <c r="AO102" s="922"/>
      <c r="AP102" s="923"/>
      <c r="AQ102" s="876">
        <f t="shared" ref="AQ102" si="145">SUM(AD102:AO102)</f>
        <v>7</v>
      </c>
      <c r="AR102" s="877">
        <f t="shared" ref="AR102" si="146">IFERROR(ROUND(($K102*AQ102+$K102*AP102),2),0)</f>
        <v>111510</v>
      </c>
      <c r="AS102" s="939"/>
      <c r="AT102" s="940"/>
      <c r="AU102" s="940"/>
      <c r="AV102" s="940"/>
      <c r="AW102" s="940"/>
      <c r="AX102" s="940"/>
      <c r="AY102" s="940"/>
      <c r="AZ102" s="940"/>
      <c r="BA102" s="940"/>
      <c r="BB102" s="940"/>
      <c r="BC102" s="940"/>
      <c r="BD102" s="941"/>
      <c r="BE102" s="938"/>
      <c r="BF102" s="876">
        <f t="shared" ref="BF102" si="147">SUM(AS102:BD102)</f>
        <v>0</v>
      </c>
      <c r="BG102" s="877">
        <f t="shared" ref="BG102" si="148">IFERROR(ROUND(($K102*BF102+$K102*BE102),2),0)</f>
        <v>0</v>
      </c>
      <c r="BH102" s="873"/>
      <c r="BI102" s="874"/>
      <c r="BJ102" s="874"/>
      <c r="BK102" s="874"/>
      <c r="BL102" s="874"/>
      <c r="BM102" s="874"/>
      <c r="BN102" s="874"/>
      <c r="BO102" s="874"/>
      <c r="BP102" s="874"/>
      <c r="BQ102" s="874"/>
      <c r="BR102" s="874"/>
      <c r="BS102" s="875"/>
      <c r="BT102" s="870"/>
      <c r="BU102" s="876">
        <f t="shared" ref="BU102" si="149">SUM(BH102:BS102)</f>
        <v>0</v>
      </c>
      <c r="BV102" s="877">
        <f t="shared" ref="BV102" si="150">IFERROR(ROUND(($K102*BU102+$K102*BT102),2),0)</f>
        <v>0</v>
      </c>
      <c r="BW102" s="873"/>
      <c r="BX102" s="874"/>
      <c r="BY102" s="874"/>
      <c r="BZ102" s="874"/>
      <c r="CA102" s="874"/>
      <c r="CB102" s="874"/>
      <c r="CC102" s="874"/>
      <c r="CD102" s="874"/>
      <c r="CE102" s="874"/>
      <c r="CF102" s="874"/>
      <c r="CG102" s="874"/>
      <c r="CH102" s="875"/>
      <c r="CI102" s="870"/>
      <c r="CJ102" s="876">
        <f t="shared" ref="CJ102" si="151">SUM(BW102:CH102)</f>
        <v>0</v>
      </c>
      <c r="CK102" s="877">
        <f t="shared" ref="CK102" si="152">IFERROR(ROUND(($K102*CJ102+$K102*CI102),2),0)</f>
        <v>0</v>
      </c>
      <c r="CL102" s="878">
        <f t="shared" ref="CL102" si="153">AA102+AP102+L102+BE102+BT102+CI102</f>
        <v>0</v>
      </c>
      <c r="CM102" s="879">
        <f t="shared" ref="CM102" si="154">AB102+AQ102+M102+BF102+BU102+CJ102</f>
        <v>7</v>
      </c>
      <c r="CN102" s="880">
        <f t="shared" ref="CN102" si="155">AC102+AR102+N102+BG102+BV102+CK102</f>
        <v>111510</v>
      </c>
      <c r="CQ102" s="886"/>
    </row>
    <row r="103" spans="1:95" s="33" customFormat="1" ht="27.75" customHeight="1">
      <c r="A103" s="1052"/>
      <c r="B103" s="1050"/>
      <c r="C103" s="1050"/>
      <c r="D103" s="895"/>
      <c r="E103" s="125" t="s">
        <v>107</v>
      </c>
      <c r="F103" s="898"/>
      <c r="G103" s="899" t="s">
        <v>42</v>
      </c>
      <c r="H103" s="899" t="s">
        <v>1453</v>
      </c>
      <c r="I103" s="907" t="s">
        <v>2048</v>
      </c>
      <c r="J103" s="674" t="s">
        <v>1990</v>
      </c>
      <c r="K103" s="374">
        <f>IFERROR(VLOOKUP(H103,справочник!$A$3:$B$12,2,0),"нет данных")</f>
        <v>21520</v>
      </c>
      <c r="L103" s="326"/>
      <c r="M103" s="399"/>
      <c r="N103" s="346">
        <f t="shared" si="72"/>
        <v>0</v>
      </c>
      <c r="O103" s="394"/>
      <c r="P103" s="352"/>
      <c r="Q103" s="352"/>
      <c r="R103" s="352"/>
      <c r="S103" s="352"/>
      <c r="T103" s="352"/>
      <c r="U103" s="324"/>
      <c r="V103" s="324"/>
      <c r="W103" s="324"/>
      <c r="X103" s="324"/>
      <c r="Y103" s="324"/>
      <c r="Z103" s="325"/>
      <c r="AA103" s="326"/>
      <c r="AB103" s="327">
        <f t="shared" si="81"/>
        <v>0</v>
      </c>
      <c r="AC103" s="328">
        <f t="shared" si="73"/>
        <v>0</v>
      </c>
      <c r="AD103" s="918"/>
      <c r="AE103" s="919"/>
      <c r="AF103" s="919"/>
      <c r="AG103" s="919"/>
      <c r="AH103" s="919"/>
      <c r="AI103" s="919"/>
      <c r="AJ103" s="930">
        <v>5</v>
      </c>
      <c r="AK103" s="930">
        <v>5</v>
      </c>
      <c r="AL103" s="930">
        <v>5</v>
      </c>
      <c r="AM103" s="930">
        <v>2</v>
      </c>
      <c r="AN103" s="919"/>
      <c r="AO103" s="920"/>
      <c r="AP103" s="917"/>
      <c r="AQ103" s="332">
        <f t="shared" si="82"/>
        <v>17</v>
      </c>
      <c r="AR103" s="333">
        <f t="shared" si="74"/>
        <v>365840</v>
      </c>
      <c r="AS103" s="939"/>
      <c r="AT103" s="940"/>
      <c r="AU103" s="940"/>
      <c r="AV103" s="940"/>
      <c r="AW103" s="940"/>
      <c r="AX103" s="940"/>
      <c r="AY103" s="940"/>
      <c r="AZ103" s="940"/>
      <c r="BA103" s="940"/>
      <c r="BB103" s="940"/>
      <c r="BC103" s="940"/>
      <c r="BD103" s="941"/>
      <c r="BE103" s="938"/>
      <c r="BF103" s="332">
        <f t="shared" si="83"/>
        <v>0</v>
      </c>
      <c r="BG103" s="333">
        <f t="shared" si="75"/>
        <v>0</v>
      </c>
      <c r="BH103" s="329"/>
      <c r="BI103" s="330"/>
      <c r="BJ103" s="330"/>
      <c r="BK103" s="330"/>
      <c r="BL103" s="330"/>
      <c r="BM103" s="330"/>
      <c r="BN103" s="330"/>
      <c r="BO103" s="330"/>
      <c r="BP103" s="330"/>
      <c r="BQ103" s="330"/>
      <c r="BR103" s="330"/>
      <c r="BS103" s="331"/>
      <c r="BT103" s="326"/>
      <c r="BU103" s="332">
        <f t="shared" si="84"/>
        <v>0</v>
      </c>
      <c r="BV103" s="333">
        <f t="shared" si="76"/>
        <v>0</v>
      </c>
      <c r="BW103" s="329"/>
      <c r="BX103" s="330"/>
      <c r="BY103" s="330"/>
      <c r="BZ103" s="330"/>
      <c r="CA103" s="330"/>
      <c r="CB103" s="330"/>
      <c r="CC103" s="330"/>
      <c r="CD103" s="330"/>
      <c r="CE103" s="330"/>
      <c r="CF103" s="330"/>
      <c r="CG103" s="330"/>
      <c r="CH103" s="331"/>
      <c r="CI103" s="326"/>
      <c r="CJ103" s="332">
        <f t="shared" si="85"/>
        <v>0</v>
      </c>
      <c r="CK103" s="333">
        <f t="shared" si="77"/>
        <v>0</v>
      </c>
      <c r="CL103" s="334">
        <f t="shared" si="78"/>
        <v>0</v>
      </c>
      <c r="CM103" s="335">
        <f t="shared" si="79"/>
        <v>17</v>
      </c>
      <c r="CN103" s="336">
        <f t="shared" si="80"/>
        <v>365840</v>
      </c>
      <c r="CQ103" s="480"/>
    </row>
    <row r="104" spans="1:95" s="33" customFormat="1" ht="27.75" customHeight="1">
      <c r="A104" s="1051" t="s">
        <v>1584</v>
      </c>
      <c r="B104" s="1048" t="s">
        <v>1677</v>
      </c>
      <c r="C104" s="1048" t="s">
        <v>1678</v>
      </c>
      <c r="D104" s="895"/>
      <c r="E104" s="125" t="s">
        <v>107</v>
      </c>
      <c r="F104" s="898"/>
      <c r="G104" s="899" t="s">
        <v>40</v>
      </c>
      <c r="H104" s="904" t="s">
        <v>1453</v>
      </c>
      <c r="I104" s="902" t="s">
        <v>2049</v>
      </c>
      <c r="J104" s="674" t="s">
        <v>1990</v>
      </c>
      <c r="K104" s="374">
        <f>IFERROR(VLOOKUP(H104,справочник!$A$3:$B$12,2,0),"нет данных")</f>
        <v>21520</v>
      </c>
      <c r="L104" s="326"/>
      <c r="M104" s="399"/>
      <c r="N104" s="346">
        <f t="shared" si="72"/>
        <v>0</v>
      </c>
      <c r="O104" s="394"/>
      <c r="P104" s="352"/>
      <c r="Q104" s="352"/>
      <c r="R104" s="352"/>
      <c r="S104" s="352"/>
      <c r="T104" s="352"/>
      <c r="U104" s="324"/>
      <c r="V104" s="324"/>
      <c r="W104" s="324"/>
      <c r="X104" s="324"/>
      <c r="Y104" s="324"/>
      <c r="Z104" s="325"/>
      <c r="AA104" s="326"/>
      <c r="AB104" s="327">
        <f t="shared" si="81"/>
        <v>0</v>
      </c>
      <c r="AC104" s="328">
        <f t="shared" si="73"/>
        <v>0</v>
      </c>
      <c r="AD104" s="918"/>
      <c r="AE104" s="919"/>
      <c r="AF104" s="919"/>
      <c r="AG104" s="919"/>
      <c r="AH104" s="919"/>
      <c r="AI104" s="919"/>
      <c r="AJ104" s="919"/>
      <c r="AK104" s="919"/>
      <c r="AL104" s="919"/>
      <c r="AM104" s="919"/>
      <c r="AN104" s="919"/>
      <c r="AO104" s="920"/>
      <c r="AP104" s="917"/>
      <c r="AQ104" s="332">
        <f t="shared" si="82"/>
        <v>0</v>
      </c>
      <c r="AR104" s="333">
        <f t="shared" si="74"/>
        <v>0</v>
      </c>
      <c r="AS104" s="939"/>
      <c r="AT104" s="940"/>
      <c r="AU104" s="940"/>
      <c r="AV104" s="940"/>
      <c r="AW104" s="940"/>
      <c r="AX104" s="940"/>
      <c r="AY104" s="940"/>
      <c r="AZ104" s="940"/>
      <c r="BA104" s="940"/>
      <c r="BB104" s="940"/>
      <c r="BC104" s="940"/>
      <c r="BD104" s="941"/>
      <c r="BE104" s="938"/>
      <c r="BF104" s="332">
        <f t="shared" si="83"/>
        <v>0</v>
      </c>
      <c r="BG104" s="333">
        <f t="shared" si="75"/>
        <v>0</v>
      </c>
      <c r="BH104" s="329"/>
      <c r="BI104" s="330"/>
      <c r="BJ104" s="330"/>
      <c r="BK104" s="330"/>
      <c r="BL104" s="330"/>
      <c r="BM104" s="330"/>
      <c r="BN104" s="330"/>
      <c r="BO104" s="330"/>
      <c r="BP104" s="330"/>
      <c r="BQ104" s="330"/>
      <c r="BR104" s="330"/>
      <c r="BS104" s="331"/>
      <c r="BT104" s="326"/>
      <c r="BU104" s="332">
        <f t="shared" si="84"/>
        <v>0</v>
      </c>
      <c r="BV104" s="333">
        <f t="shared" si="76"/>
        <v>0</v>
      </c>
      <c r="BW104" s="329"/>
      <c r="BX104" s="330"/>
      <c r="BY104" s="330"/>
      <c r="BZ104" s="330"/>
      <c r="CA104" s="330"/>
      <c r="CB104" s="330"/>
      <c r="CC104" s="330"/>
      <c r="CD104" s="330"/>
      <c r="CE104" s="330"/>
      <c r="CF104" s="330"/>
      <c r="CG104" s="330"/>
      <c r="CH104" s="331"/>
      <c r="CI104" s="326"/>
      <c r="CJ104" s="332">
        <f t="shared" si="85"/>
        <v>0</v>
      </c>
      <c r="CK104" s="333">
        <f t="shared" si="77"/>
        <v>0</v>
      </c>
      <c r="CL104" s="334">
        <f t="shared" si="78"/>
        <v>0</v>
      </c>
      <c r="CM104" s="335">
        <f t="shared" si="79"/>
        <v>0</v>
      </c>
      <c r="CN104" s="336">
        <f t="shared" si="80"/>
        <v>0</v>
      </c>
      <c r="CQ104" s="480"/>
    </row>
    <row r="105" spans="1:95" s="866" customFormat="1" ht="27.75" customHeight="1">
      <c r="A105" s="1068"/>
      <c r="B105" s="1049"/>
      <c r="C105" s="1049"/>
      <c r="D105" s="895"/>
      <c r="E105" s="867" t="s">
        <v>107</v>
      </c>
      <c r="F105" s="898"/>
      <c r="G105" s="899" t="s">
        <v>43</v>
      </c>
      <c r="H105" s="904" t="s">
        <v>1453</v>
      </c>
      <c r="I105" s="907" t="s">
        <v>2048</v>
      </c>
      <c r="J105" s="674" t="s">
        <v>1990</v>
      </c>
      <c r="K105" s="883">
        <f>IFERROR(VLOOKUP(H105,справочник!$A$3:$B$12,2,0),"нет данных")</f>
        <v>21520</v>
      </c>
      <c r="L105" s="870"/>
      <c r="M105" s="885"/>
      <c r="N105" s="881">
        <f t="shared" ref="N105" si="156">IFERROR(ROUND((K105*M105+K105*L105),2),0)</f>
        <v>0</v>
      </c>
      <c r="O105" s="884"/>
      <c r="P105" s="882"/>
      <c r="Q105" s="882"/>
      <c r="R105" s="882"/>
      <c r="S105" s="882"/>
      <c r="T105" s="882"/>
      <c r="U105" s="868"/>
      <c r="V105" s="868"/>
      <c r="W105" s="868"/>
      <c r="X105" s="868"/>
      <c r="Y105" s="868"/>
      <c r="Z105" s="869"/>
      <c r="AA105" s="870"/>
      <c r="AB105" s="871">
        <f t="shared" ref="AB105" si="157">SUM(O105:Z105)</f>
        <v>0</v>
      </c>
      <c r="AC105" s="872">
        <f t="shared" ref="AC105" si="158">IFERROR(ROUND(($K105*AB105+$K105*AA105),2),0)</f>
        <v>0</v>
      </c>
      <c r="AD105" s="918"/>
      <c r="AE105" s="919"/>
      <c r="AF105" s="919"/>
      <c r="AG105" s="919"/>
      <c r="AH105" s="919"/>
      <c r="AI105" s="919"/>
      <c r="AJ105" s="919"/>
      <c r="AK105" s="919"/>
      <c r="AL105" s="930">
        <v>2</v>
      </c>
      <c r="AM105" s="930">
        <v>3</v>
      </c>
      <c r="AN105" s="932">
        <v>2</v>
      </c>
      <c r="AO105" s="920"/>
      <c r="AP105" s="917"/>
      <c r="AQ105" s="876">
        <f t="shared" ref="AQ105" si="159">SUM(AD105:AO105)</f>
        <v>7</v>
      </c>
      <c r="AR105" s="877">
        <f t="shared" ref="AR105" si="160">IFERROR(ROUND(($K105*AQ105+$K105*AP105),2),0)</f>
        <v>150640</v>
      </c>
      <c r="AS105" s="939"/>
      <c r="AT105" s="940"/>
      <c r="AU105" s="940"/>
      <c r="AV105" s="940"/>
      <c r="AW105" s="940"/>
      <c r="AX105" s="940"/>
      <c r="AY105" s="940"/>
      <c r="AZ105" s="940"/>
      <c r="BA105" s="940"/>
      <c r="BB105" s="940"/>
      <c r="BC105" s="940"/>
      <c r="BD105" s="941"/>
      <c r="BE105" s="938"/>
      <c r="BF105" s="876">
        <f t="shared" ref="BF105" si="161">SUM(AS105:BD105)</f>
        <v>0</v>
      </c>
      <c r="BG105" s="877">
        <f t="shared" ref="BG105" si="162">IFERROR(ROUND(($K105*BF105+$K105*BE105),2),0)</f>
        <v>0</v>
      </c>
      <c r="BH105" s="873"/>
      <c r="BI105" s="874"/>
      <c r="BJ105" s="874"/>
      <c r="BK105" s="874"/>
      <c r="BL105" s="874"/>
      <c r="BM105" s="874"/>
      <c r="BN105" s="874"/>
      <c r="BO105" s="874"/>
      <c r="BP105" s="874"/>
      <c r="BQ105" s="874"/>
      <c r="BR105" s="874"/>
      <c r="BS105" s="875"/>
      <c r="BT105" s="870"/>
      <c r="BU105" s="876">
        <f t="shared" ref="BU105" si="163">SUM(BH105:BS105)</f>
        <v>0</v>
      </c>
      <c r="BV105" s="877">
        <f t="shared" ref="BV105" si="164">IFERROR(ROUND(($K105*BU105+$K105*BT105),2),0)</f>
        <v>0</v>
      </c>
      <c r="BW105" s="873"/>
      <c r="BX105" s="874"/>
      <c r="BY105" s="874"/>
      <c r="BZ105" s="874"/>
      <c r="CA105" s="874"/>
      <c r="CB105" s="874"/>
      <c r="CC105" s="874"/>
      <c r="CD105" s="874"/>
      <c r="CE105" s="874"/>
      <c r="CF105" s="874"/>
      <c r="CG105" s="874"/>
      <c r="CH105" s="875"/>
      <c r="CI105" s="870"/>
      <c r="CJ105" s="876">
        <f t="shared" ref="CJ105" si="165">SUM(BW105:CH105)</f>
        <v>0</v>
      </c>
      <c r="CK105" s="877">
        <f t="shared" ref="CK105" si="166">IFERROR(ROUND(($K105*CJ105+$K105*CI105),2),0)</f>
        <v>0</v>
      </c>
      <c r="CL105" s="878">
        <f t="shared" ref="CL105" si="167">AA105+AP105+L105+BE105+BT105+CI105</f>
        <v>0</v>
      </c>
      <c r="CM105" s="879">
        <f t="shared" ref="CM105" si="168">AB105+AQ105+M105+BF105+BU105+CJ105</f>
        <v>7</v>
      </c>
      <c r="CN105" s="880">
        <f t="shared" ref="CN105" si="169">AC105+AR105+N105+BG105+BV105+CK105</f>
        <v>150640</v>
      </c>
      <c r="CQ105" s="886"/>
    </row>
    <row r="106" spans="1:95" s="866" customFormat="1" ht="27.75" customHeight="1">
      <c r="A106" s="1068"/>
      <c r="B106" s="1049"/>
      <c r="C106" s="1049"/>
      <c r="D106" s="895"/>
      <c r="E106" s="867" t="s">
        <v>107</v>
      </c>
      <c r="F106" s="898"/>
      <c r="G106" s="910" t="s">
        <v>43</v>
      </c>
      <c r="H106" s="910" t="s">
        <v>61</v>
      </c>
      <c r="I106" s="909" t="s">
        <v>2053</v>
      </c>
      <c r="J106" s="674" t="s">
        <v>1990</v>
      </c>
      <c r="K106" s="883">
        <f>IFERROR(VLOOKUP(H106,справочник!$A$3:$B$12,2,0),"нет данных")</f>
        <v>15930</v>
      </c>
      <c r="L106" s="870"/>
      <c r="M106" s="885"/>
      <c r="N106" s="881">
        <f t="shared" ref="N106" si="170">IFERROR(ROUND((K106*M106+K106*L106),2),0)</f>
        <v>0</v>
      </c>
      <c r="O106" s="884"/>
      <c r="P106" s="882"/>
      <c r="Q106" s="882"/>
      <c r="R106" s="882"/>
      <c r="S106" s="882"/>
      <c r="T106" s="882"/>
      <c r="U106" s="868"/>
      <c r="V106" s="868"/>
      <c r="W106" s="868"/>
      <c r="X106" s="868"/>
      <c r="Y106" s="868"/>
      <c r="Z106" s="869"/>
      <c r="AA106" s="870"/>
      <c r="AB106" s="871">
        <f t="shared" ref="AB106" si="171">SUM(O106:Z106)</f>
        <v>0</v>
      </c>
      <c r="AC106" s="872">
        <f t="shared" ref="AC106" si="172">IFERROR(ROUND(($K106*AB106+$K106*AA106),2),0)</f>
        <v>0</v>
      </c>
      <c r="AD106" s="918"/>
      <c r="AE106" s="919"/>
      <c r="AF106" s="919"/>
      <c r="AG106" s="919"/>
      <c r="AH106" s="919"/>
      <c r="AI106" s="919"/>
      <c r="AJ106" s="919"/>
      <c r="AK106" s="919"/>
      <c r="AL106" s="919"/>
      <c r="AM106" s="930">
        <v>10</v>
      </c>
      <c r="AN106" s="932">
        <v>10</v>
      </c>
      <c r="AO106" s="933">
        <v>10</v>
      </c>
      <c r="AP106" s="917"/>
      <c r="AQ106" s="876">
        <f t="shared" ref="AQ106" si="173">SUM(AD106:AO106)</f>
        <v>30</v>
      </c>
      <c r="AR106" s="877">
        <f t="shared" ref="AR106" si="174">IFERROR(ROUND(($K106*AQ106+$K106*AP106),2),0)</f>
        <v>477900</v>
      </c>
      <c r="AS106" s="939"/>
      <c r="AT106" s="940"/>
      <c r="AU106" s="940"/>
      <c r="AV106" s="940"/>
      <c r="AW106" s="940"/>
      <c r="AX106" s="940"/>
      <c r="AY106" s="940"/>
      <c r="AZ106" s="940"/>
      <c r="BA106" s="940"/>
      <c r="BB106" s="940"/>
      <c r="BC106" s="940"/>
      <c r="BD106" s="941"/>
      <c r="BE106" s="938"/>
      <c r="BF106" s="876">
        <f t="shared" ref="BF106" si="175">SUM(AS106:BD106)</f>
        <v>0</v>
      </c>
      <c r="BG106" s="877">
        <f t="shared" ref="BG106" si="176">IFERROR(ROUND(($K106*BF106+$K106*BE106),2),0)</f>
        <v>0</v>
      </c>
      <c r="BH106" s="873"/>
      <c r="BI106" s="874"/>
      <c r="BJ106" s="874"/>
      <c r="BK106" s="874"/>
      <c r="BL106" s="874"/>
      <c r="BM106" s="874"/>
      <c r="BN106" s="874"/>
      <c r="BO106" s="874"/>
      <c r="BP106" s="874"/>
      <c r="BQ106" s="874"/>
      <c r="BR106" s="874"/>
      <c r="BS106" s="875"/>
      <c r="BT106" s="870"/>
      <c r="BU106" s="876">
        <f t="shared" ref="BU106" si="177">SUM(BH106:BS106)</f>
        <v>0</v>
      </c>
      <c r="BV106" s="877">
        <f t="shared" ref="BV106" si="178">IFERROR(ROUND(($K106*BU106+$K106*BT106),2),0)</f>
        <v>0</v>
      </c>
      <c r="BW106" s="873"/>
      <c r="BX106" s="874"/>
      <c r="BY106" s="874"/>
      <c r="BZ106" s="874"/>
      <c r="CA106" s="874"/>
      <c r="CB106" s="874"/>
      <c r="CC106" s="874"/>
      <c r="CD106" s="874"/>
      <c r="CE106" s="874"/>
      <c r="CF106" s="874"/>
      <c r="CG106" s="874"/>
      <c r="CH106" s="875"/>
      <c r="CI106" s="870"/>
      <c r="CJ106" s="876">
        <f t="shared" ref="CJ106" si="179">SUM(BW106:CH106)</f>
        <v>0</v>
      </c>
      <c r="CK106" s="877">
        <f t="shared" ref="CK106" si="180">IFERROR(ROUND(($K106*CJ106+$K106*CI106),2),0)</f>
        <v>0</v>
      </c>
      <c r="CL106" s="878">
        <f t="shared" ref="CL106" si="181">AA106+AP106+L106+BE106+BT106+CI106</f>
        <v>0</v>
      </c>
      <c r="CM106" s="879">
        <f t="shared" ref="CM106" si="182">AB106+AQ106+M106+BF106+BU106+CJ106</f>
        <v>30</v>
      </c>
      <c r="CN106" s="880">
        <f t="shared" ref="CN106" si="183">AC106+AR106+N106+BG106+BV106+CK106</f>
        <v>477900</v>
      </c>
      <c r="CQ106" s="886"/>
    </row>
    <row r="107" spans="1:95" s="33" customFormat="1" ht="27.75" customHeight="1">
      <c r="A107" s="1052"/>
      <c r="B107" s="1050"/>
      <c r="C107" s="1050"/>
      <c r="D107" s="895"/>
      <c r="E107" s="125" t="s">
        <v>107</v>
      </c>
      <c r="F107" s="898"/>
      <c r="G107" s="899" t="s">
        <v>43</v>
      </c>
      <c r="H107" s="899" t="s">
        <v>61</v>
      </c>
      <c r="I107" s="902" t="s">
        <v>2052</v>
      </c>
      <c r="J107" s="674" t="s">
        <v>1990</v>
      </c>
      <c r="K107" s="374">
        <f>IFERROR(VLOOKUP(H107,справочник!$A$3:$B$12,2,0),"нет данных")</f>
        <v>15930</v>
      </c>
      <c r="L107" s="326"/>
      <c r="M107" s="399"/>
      <c r="N107" s="346">
        <f t="shared" si="72"/>
        <v>0</v>
      </c>
      <c r="O107" s="394"/>
      <c r="P107" s="352"/>
      <c r="Q107" s="352"/>
      <c r="R107" s="352"/>
      <c r="S107" s="352"/>
      <c r="T107" s="352"/>
      <c r="U107" s="324"/>
      <c r="V107" s="324"/>
      <c r="W107" s="324"/>
      <c r="X107" s="324"/>
      <c r="Y107" s="324"/>
      <c r="Z107" s="325"/>
      <c r="AA107" s="326"/>
      <c r="AB107" s="327">
        <f t="shared" si="81"/>
        <v>0</v>
      </c>
      <c r="AC107" s="328">
        <f t="shared" si="73"/>
        <v>0</v>
      </c>
      <c r="AD107" s="918"/>
      <c r="AE107" s="919"/>
      <c r="AF107" s="919"/>
      <c r="AG107" s="919"/>
      <c r="AH107" s="919"/>
      <c r="AI107" s="919"/>
      <c r="AJ107" s="919"/>
      <c r="AK107" s="919"/>
      <c r="AL107" s="919"/>
      <c r="AM107" s="930">
        <v>10</v>
      </c>
      <c r="AN107" s="932">
        <v>10</v>
      </c>
      <c r="AO107" s="933">
        <v>10</v>
      </c>
      <c r="AP107" s="917"/>
      <c r="AQ107" s="332">
        <f t="shared" si="82"/>
        <v>30</v>
      </c>
      <c r="AR107" s="333">
        <f t="shared" si="74"/>
        <v>477900</v>
      </c>
      <c r="AS107" s="939"/>
      <c r="AT107" s="940"/>
      <c r="AU107" s="940"/>
      <c r="AV107" s="940"/>
      <c r="AW107" s="940"/>
      <c r="AX107" s="940"/>
      <c r="AY107" s="940"/>
      <c r="AZ107" s="940"/>
      <c r="BA107" s="940"/>
      <c r="BB107" s="940"/>
      <c r="BC107" s="940"/>
      <c r="BD107" s="941"/>
      <c r="BE107" s="938"/>
      <c r="BF107" s="332">
        <f t="shared" si="83"/>
        <v>0</v>
      </c>
      <c r="BG107" s="333">
        <f t="shared" si="75"/>
        <v>0</v>
      </c>
      <c r="BH107" s="329"/>
      <c r="BI107" s="330"/>
      <c r="BJ107" s="330"/>
      <c r="BK107" s="330"/>
      <c r="BL107" s="330"/>
      <c r="BM107" s="330"/>
      <c r="BN107" s="330"/>
      <c r="BO107" s="330"/>
      <c r="BP107" s="330"/>
      <c r="BQ107" s="330"/>
      <c r="BR107" s="330"/>
      <c r="BS107" s="331"/>
      <c r="BT107" s="326"/>
      <c r="BU107" s="332">
        <f t="shared" si="84"/>
        <v>0</v>
      </c>
      <c r="BV107" s="333">
        <f t="shared" si="76"/>
        <v>0</v>
      </c>
      <c r="BW107" s="329"/>
      <c r="BX107" s="330"/>
      <c r="BY107" s="330"/>
      <c r="BZ107" s="330"/>
      <c r="CA107" s="330"/>
      <c r="CB107" s="330"/>
      <c r="CC107" s="330"/>
      <c r="CD107" s="330"/>
      <c r="CE107" s="330"/>
      <c r="CF107" s="330"/>
      <c r="CG107" s="330"/>
      <c r="CH107" s="331"/>
      <c r="CI107" s="326"/>
      <c r="CJ107" s="332">
        <f t="shared" si="85"/>
        <v>0</v>
      </c>
      <c r="CK107" s="333">
        <f t="shared" si="77"/>
        <v>0</v>
      </c>
      <c r="CL107" s="334">
        <f t="shared" si="78"/>
        <v>0</v>
      </c>
      <c r="CM107" s="335">
        <f t="shared" si="79"/>
        <v>30</v>
      </c>
      <c r="CN107" s="336">
        <f t="shared" si="80"/>
        <v>477900</v>
      </c>
      <c r="CQ107" s="480"/>
    </row>
    <row r="108" spans="1:95" s="33" customFormat="1" ht="25.5" customHeight="1">
      <c r="A108" s="1051" t="s">
        <v>126</v>
      </c>
      <c r="B108" s="1048" t="s">
        <v>1499</v>
      </c>
      <c r="C108" s="1048" t="s">
        <v>87</v>
      </c>
      <c r="D108" s="895"/>
      <c r="E108" s="125" t="s">
        <v>107</v>
      </c>
      <c r="F108" s="898"/>
      <c r="G108" s="899"/>
      <c r="H108" s="899"/>
      <c r="I108" s="902"/>
      <c r="J108" s="674" t="s">
        <v>1990</v>
      </c>
      <c r="K108" s="374" t="str">
        <f>IFERROR(VLOOKUP(H108,справочник!$A$3:$B$12,2,0),"нет данных")</f>
        <v>нет данных</v>
      </c>
      <c r="L108" s="326"/>
      <c r="M108" s="399"/>
      <c r="N108" s="346">
        <f t="shared" si="72"/>
        <v>0</v>
      </c>
      <c r="O108" s="394"/>
      <c r="P108" s="352"/>
      <c r="Q108" s="352"/>
      <c r="R108" s="352"/>
      <c r="S108" s="352"/>
      <c r="T108" s="352"/>
      <c r="U108" s="324"/>
      <c r="V108" s="324"/>
      <c r="W108" s="324"/>
      <c r="X108" s="324"/>
      <c r="Y108" s="324"/>
      <c r="Z108" s="325"/>
      <c r="AA108" s="326"/>
      <c r="AB108" s="327">
        <f t="shared" si="81"/>
        <v>0</v>
      </c>
      <c r="AC108" s="328">
        <f t="shared" si="73"/>
        <v>0</v>
      </c>
      <c r="AD108" s="918"/>
      <c r="AE108" s="919"/>
      <c r="AF108" s="919"/>
      <c r="AG108" s="919"/>
      <c r="AH108" s="919"/>
      <c r="AI108" s="919"/>
      <c r="AJ108" s="919"/>
      <c r="AK108" s="919"/>
      <c r="AL108" s="919"/>
      <c r="AM108" s="919"/>
      <c r="AN108" s="919"/>
      <c r="AO108" s="920"/>
      <c r="AP108" s="917"/>
      <c r="AQ108" s="332">
        <f t="shared" si="82"/>
        <v>0</v>
      </c>
      <c r="AR108" s="333">
        <f t="shared" si="74"/>
        <v>0</v>
      </c>
      <c r="AS108" s="939"/>
      <c r="AT108" s="940"/>
      <c r="AU108" s="940"/>
      <c r="AV108" s="940"/>
      <c r="AW108" s="940"/>
      <c r="AX108" s="940"/>
      <c r="AY108" s="940"/>
      <c r="AZ108" s="940"/>
      <c r="BA108" s="940"/>
      <c r="BB108" s="940"/>
      <c r="BC108" s="940"/>
      <c r="BD108" s="941"/>
      <c r="BE108" s="938"/>
      <c r="BF108" s="332">
        <f t="shared" si="83"/>
        <v>0</v>
      </c>
      <c r="BG108" s="333">
        <f t="shared" si="75"/>
        <v>0</v>
      </c>
      <c r="BH108" s="329"/>
      <c r="BI108" s="330"/>
      <c r="BJ108" s="330"/>
      <c r="BK108" s="330"/>
      <c r="BL108" s="330"/>
      <c r="BM108" s="330"/>
      <c r="BN108" s="330"/>
      <c r="BO108" s="330"/>
      <c r="BP108" s="330"/>
      <c r="BQ108" s="330"/>
      <c r="BR108" s="330"/>
      <c r="BS108" s="331"/>
      <c r="BT108" s="326"/>
      <c r="BU108" s="332">
        <f t="shared" si="84"/>
        <v>0</v>
      </c>
      <c r="BV108" s="333">
        <f t="shared" si="76"/>
        <v>0</v>
      </c>
      <c r="BW108" s="329"/>
      <c r="BX108" s="330"/>
      <c r="BY108" s="330"/>
      <c r="BZ108" s="330"/>
      <c r="CA108" s="330"/>
      <c r="CB108" s="330"/>
      <c r="CC108" s="330"/>
      <c r="CD108" s="330"/>
      <c r="CE108" s="330"/>
      <c r="CF108" s="330"/>
      <c r="CG108" s="330"/>
      <c r="CH108" s="331"/>
      <c r="CI108" s="326"/>
      <c r="CJ108" s="332">
        <f t="shared" si="85"/>
        <v>0</v>
      </c>
      <c r="CK108" s="333">
        <f t="shared" si="77"/>
        <v>0</v>
      </c>
      <c r="CL108" s="334">
        <f t="shared" si="78"/>
        <v>0</v>
      </c>
      <c r="CM108" s="335">
        <f t="shared" si="79"/>
        <v>0</v>
      </c>
      <c r="CN108" s="336">
        <f t="shared" si="80"/>
        <v>0</v>
      </c>
      <c r="CQ108" s="480"/>
    </row>
    <row r="109" spans="1:95" s="33" customFormat="1" ht="25.5" customHeight="1">
      <c r="A109" s="1052"/>
      <c r="B109" s="1050"/>
      <c r="C109" s="1050"/>
      <c r="D109" s="895"/>
      <c r="E109" s="125" t="s">
        <v>107</v>
      </c>
      <c r="F109" s="898"/>
      <c r="G109" s="899"/>
      <c r="H109" s="899"/>
      <c r="I109" s="902"/>
      <c r="J109" s="674" t="s">
        <v>1990</v>
      </c>
      <c r="K109" s="374" t="str">
        <f>IFERROR(VLOOKUP(H109,справочник!$A$3:$B$12,2,0),"нет данных")</f>
        <v>нет данных</v>
      </c>
      <c r="L109" s="326"/>
      <c r="M109" s="399"/>
      <c r="N109" s="346">
        <f t="shared" si="72"/>
        <v>0</v>
      </c>
      <c r="O109" s="394"/>
      <c r="P109" s="352"/>
      <c r="Q109" s="352"/>
      <c r="R109" s="352"/>
      <c r="S109" s="352"/>
      <c r="T109" s="352"/>
      <c r="U109" s="324"/>
      <c r="V109" s="324"/>
      <c r="W109" s="324"/>
      <c r="X109" s="324"/>
      <c r="Y109" s="324"/>
      <c r="Z109" s="325"/>
      <c r="AA109" s="326"/>
      <c r="AB109" s="327">
        <f t="shared" si="81"/>
        <v>0</v>
      </c>
      <c r="AC109" s="328">
        <f t="shared" si="73"/>
        <v>0</v>
      </c>
      <c r="AD109" s="918"/>
      <c r="AE109" s="919"/>
      <c r="AF109" s="919"/>
      <c r="AG109" s="919"/>
      <c r="AH109" s="919"/>
      <c r="AI109" s="919"/>
      <c r="AJ109" s="919"/>
      <c r="AK109" s="919"/>
      <c r="AL109" s="919"/>
      <c r="AM109" s="919"/>
      <c r="AN109" s="919"/>
      <c r="AO109" s="920"/>
      <c r="AP109" s="917"/>
      <c r="AQ109" s="332">
        <f t="shared" si="82"/>
        <v>0</v>
      </c>
      <c r="AR109" s="333">
        <f t="shared" si="74"/>
        <v>0</v>
      </c>
      <c r="AS109" s="939"/>
      <c r="AT109" s="940"/>
      <c r="AU109" s="940"/>
      <c r="AV109" s="940"/>
      <c r="AW109" s="940"/>
      <c r="AX109" s="940"/>
      <c r="AY109" s="940"/>
      <c r="AZ109" s="940"/>
      <c r="BA109" s="940"/>
      <c r="BB109" s="940"/>
      <c r="BC109" s="940"/>
      <c r="BD109" s="941"/>
      <c r="BE109" s="938"/>
      <c r="BF109" s="332">
        <f t="shared" si="83"/>
        <v>0</v>
      </c>
      <c r="BG109" s="333">
        <f t="shared" si="75"/>
        <v>0</v>
      </c>
      <c r="BH109" s="329"/>
      <c r="BI109" s="330"/>
      <c r="BJ109" s="330"/>
      <c r="BK109" s="330"/>
      <c r="BL109" s="330"/>
      <c r="BM109" s="330"/>
      <c r="BN109" s="330"/>
      <c r="BO109" s="330"/>
      <c r="BP109" s="330"/>
      <c r="BQ109" s="330"/>
      <c r="BR109" s="330"/>
      <c r="BS109" s="331"/>
      <c r="BT109" s="326"/>
      <c r="BU109" s="332">
        <f t="shared" si="84"/>
        <v>0</v>
      </c>
      <c r="BV109" s="333">
        <f t="shared" si="76"/>
        <v>0</v>
      </c>
      <c r="BW109" s="329"/>
      <c r="BX109" s="330"/>
      <c r="BY109" s="330"/>
      <c r="BZ109" s="330"/>
      <c r="CA109" s="330"/>
      <c r="CB109" s="330"/>
      <c r="CC109" s="330"/>
      <c r="CD109" s="330"/>
      <c r="CE109" s="330"/>
      <c r="CF109" s="330"/>
      <c r="CG109" s="330"/>
      <c r="CH109" s="331"/>
      <c r="CI109" s="326"/>
      <c r="CJ109" s="332">
        <f t="shared" si="85"/>
        <v>0</v>
      </c>
      <c r="CK109" s="333">
        <f t="shared" si="77"/>
        <v>0</v>
      </c>
      <c r="CL109" s="334">
        <f t="shared" si="78"/>
        <v>0</v>
      </c>
      <c r="CM109" s="335">
        <f t="shared" si="79"/>
        <v>0</v>
      </c>
      <c r="CN109" s="336">
        <f t="shared" si="80"/>
        <v>0</v>
      </c>
      <c r="CQ109" s="480"/>
    </row>
    <row r="110" spans="1:95" s="33" customFormat="1" ht="25.5" customHeight="1">
      <c r="A110" s="1051" t="s">
        <v>127</v>
      </c>
      <c r="B110" s="1048" t="s">
        <v>1500</v>
      </c>
      <c r="C110" s="1048" t="s">
        <v>1458</v>
      </c>
      <c r="D110" s="895"/>
      <c r="E110" s="125" t="s">
        <v>107</v>
      </c>
      <c r="F110" s="898"/>
      <c r="G110" s="899" t="s">
        <v>43</v>
      </c>
      <c r="H110" s="899" t="s">
        <v>61</v>
      </c>
      <c r="I110" s="902" t="s">
        <v>2052</v>
      </c>
      <c r="J110" s="674" t="s">
        <v>1990</v>
      </c>
      <c r="K110" s="374">
        <f>IFERROR(VLOOKUP(H110,справочник!$A$3:$B$12,2,0),"нет данных")</f>
        <v>15930</v>
      </c>
      <c r="L110" s="326"/>
      <c r="M110" s="399"/>
      <c r="N110" s="346">
        <f t="shared" si="72"/>
        <v>0</v>
      </c>
      <c r="O110" s="394"/>
      <c r="P110" s="352"/>
      <c r="Q110" s="352"/>
      <c r="R110" s="352"/>
      <c r="S110" s="352"/>
      <c r="T110" s="352"/>
      <c r="U110" s="324"/>
      <c r="V110" s="324"/>
      <c r="W110" s="324"/>
      <c r="X110" s="324"/>
      <c r="Y110" s="324"/>
      <c r="Z110" s="325"/>
      <c r="AA110" s="326"/>
      <c r="AB110" s="327">
        <f t="shared" si="81"/>
        <v>0</v>
      </c>
      <c r="AC110" s="328">
        <f t="shared" si="73"/>
        <v>0</v>
      </c>
      <c r="AD110" s="918"/>
      <c r="AE110" s="919"/>
      <c r="AF110" s="919"/>
      <c r="AG110" s="919"/>
      <c r="AH110" s="919"/>
      <c r="AI110" s="919"/>
      <c r="AJ110" s="919"/>
      <c r="AK110" s="919"/>
      <c r="AL110" s="919"/>
      <c r="AM110" s="919"/>
      <c r="AN110" s="919"/>
      <c r="AO110" s="920"/>
      <c r="AP110" s="917"/>
      <c r="AQ110" s="332">
        <f t="shared" si="82"/>
        <v>0</v>
      </c>
      <c r="AR110" s="333">
        <f t="shared" si="74"/>
        <v>0</v>
      </c>
      <c r="AS110" s="943">
        <v>5</v>
      </c>
      <c r="AT110" s="944">
        <v>3</v>
      </c>
      <c r="AU110" s="940"/>
      <c r="AV110" s="940"/>
      <c r="AW110" s="940"/>
      <c r="AX110" s="940"/>
      <c r="AY110" s="940"/>
      <c r="AZ110" s="940"/>
      <c r="BA110" s="940"/>
      <c r="BB110" s="940"/>
      <c r="BC110" s="940"/>
      <c r="BD110" s="941"/>
      <c r="BE110" s="938"/>
      <c r="BF110" s="332">
        <f t="shared" si="83"/>
        <v>8</v>
      </c>
      <c r="BG110" s="333">
        <f t="shared" si="75"/>
        <v>127440</v>
      </c>
      <c r="BH110" s="329"/>
      <c r="BI110" s="330"/>
      <c r="BJ110" s="330"/>
      <c r="BK110" s="330"/>
      <c r="BL110" s="330"/>
      <c r="BM110" s="330"/>
      <c r="BN110" s="330"/>
      <c r="BO110" s="330"/>
      <c r="BP110" s="330"/>
      <c r="BQ110" s="330"/>
      <c r="BR110" s="330"/>
      <c r="BS110" s="331"/>
      <c r="BT110" s="326"/>
      <c r="BU110" s="332">
        <f t="shared" si="84"/>
        <v>0</v>
      </c>
      <c r="BV110" s="333">
        <f t="shared" si="76"/>
        <v>0</v>
      </c>
      <c r="BW110" s="329"/>
      <c r="BX110" s="330"/>
      <c r="BY110" s="330"/>
      <c r="BZ110" s="330"/>
      <c r="CA110" s="330"/>
      <c r="CB110" s="330"/>
      <c r="CC110" s="330"/>
      <c r="CD110" s="330"/>
      <c r="CE110" s="330"/>
      <c r="CF110" s="330"/>
      <c r="CG110" s="330"/>
      <c r="CH110" s="331"/>
      <c r="CI110" s="326"/>
      <c r="CJ110" s="332">
        <f t="shared" si="85"/>
        <v>0</v>
      </c>
      <c r="CK110" s="333">
        <f t="shared" si="77"/>
        <v>0</v>
      </c>
      <c r="CL110" s="334">
        <f t="shared" si="78"/>
        <v>0</v>
      </c>
      <c r="CM110" s="335">
        <f t="shared" si="79"/>
        <v>8</v>
      </c>
      <c r="CN110" s="336">
        <f t="shared" si="80"/>
        <v>127440</v>
      </c>
      <c r="CQ110" s="480"/>
    </row>
    <row r="111" spans="1:95" s="866" customFormat="1" ht="25.5" customHeight="1">
      <c r="A111" s="1068"/>
      <c r="B111" s="1049"/>
      <c r="C111" s="1049"/>
      <c r="D111" s="895"/>
      <c r="E111" s="867" t="s">
        <v>107</v>
      </c>
      <c r="F111" s="898"/>
      <c r="G111" s="910" t="s">
        <v>43</v>
      </c>
      <c r="H111" s="910" t="s">
        <v>61</v>
      </c>
      <c r="I111" s="909" t="s">
        <v>2053</v>
      </c>
      <c r="J111" s="674" t="s">
        <v>1990</v>
      </c>
      <c r="K111" s="883">
        <f>IFERROR(VLOOKUP(H111,справочник!$A$3:$B$12,2,0),"нет данных")</f>
        <v>15930</v>
      </c>
      <c r="L111" s="870"/>
      <c r="M111" s="885"/>
      <c r="N111" s="881">
        <f t="shared" ref="N111" si="184">IFERROR(ROUND((K111*M111+K111*L111),2),0)</f>
        <v>0</v>
      </c>
      <c r="O111" s="884"/>
      <c r="P111" s="882"/>
      <c r="Q111" s="882"/>
      <c r="R111" s="882"/>
      <c r="S111" s="882"/>
      <c r="T111" s="882"/>
      <c r="U111" s="868"/>
      <c r="V111" s="868"/>
      <c r="W111" s="868"/>
      <c r="X111" s="868"/>
      <c r="Y111" s="868"/>
      <c r="Z111" s="869"/>
      <c r="AA111" s="870"/>
      <c r="AB111" s="871">
        <f t="shared" ref="AB111" si="185">SUM(O111:Z111)</f>
        <v>0</v>
      </c>
      <c r="AC111" s="872">
        <f t="shared" ref="AC111" si="186">IFERROR(ROUND(($K111*AB111+$K111*AA111),2),0)</f>
        <v>0</v>
      </c>
      <c r="AD111" s="918"/>
      <c r="AE111" s="919"/>
      <c r="AF111" s="919"/>
      <c r="AG111" s="919"/>
      <c r="AH111" s="919"/>
      <c r="AI111" s="919"/>
      <c r="AJ111" s="919"/>
      <c r="AK111" s="919"/>
      <c r="AL111" s="919"/>
      <c r="AM111" s="919"/>
      <c r="AN111" s="919"/>
      <c r="AO111" s="920"/>
      <c r="AP111" s="917"/>
      <c r="AQ111" s="876">
        <f t="shared" ref="AQ111" si="187">SUM(AD111:AO111)</f>
        <v>0</v>
      </c>
      <c r="AR111" s="877">
        <f t="shared" ref="AR111" si="188">IFERROR(ROUND(($K111*AQ111+$K111*AP111),2),0)</f>
        <v>0</v>
      </c>
      <c r="AS111" s="943">
        <v>5</v>
      </c>
      <c r="AT111" s="944">
        <v>3</v>
      </c>
      <c r="AU111" s="940"/>
      <c r="AV111" s="940"/>
      <c r="AW111" s="940"/>
      <c r="AX111" s="940"/>
      <c r="AY111" s="940"/>
      <c r="AZ111" s="940"/>
      <c r="BA111" s="940"/>
      <c r="BB111" s="940"/>
      <c r="BC111" s="940"/>
      <c r="BD111" s="941"/>
      <c r="BE111" s="938"/>
      <c r="BF111" s="876">
        <f t="shared" ref="BF111" si="189">SUM(AS111:BD111)</f>
        <v>8</v>
      </c>
      <c r="BG111" s="877">
        <f t="shared" ref="BG111" si="190">IFERROR(ROUND(($K111*BF111+$K111*BE111),2),0)</f>
        <v>127440</v>
      </c>
      <c r="BH111" s="873"/>
      <c r="BI111" s="874"/>
      <c r="BJ111" s="874"/>
      <c r="BK111" s="874"/>
      <c r="BL111" s="874"/>
      <c r="BM111" s="874"/>
      <c r="BN111" s="874"/>
      <c r="BO111" s="874"/>
      <c r="BP111" s="874"/>
      <c r="BQ111" s="874"/>
      <c r="BR111" s="874"/>
      <c r="BS111" s="875"/>
      <c r="BT111" s="870"/>
      <c r="BU111" s="876">
        <f t="shared" ref="BU111" si="191">SUM(BH111:BS111)</f>
        <v>0</v>
      </c>
      <c r="BV111" s="877">
        <f t="shared" ref="BV111" si="192">IFERROR(ROUND(($K111*BU111+$K111*BT111),2),0)</f>
        <v>0</v>
      </c>
      <c r="BW111" s="873"/>
      <c r="BX111" s="874"/>
      <c r="BY111" s="874"/>
      <c r="BZ111" s="874"/>
      <c r="CA111" s="874"/>
      <c r="CB111" s="874"/>
      <c r="CC111" s="874"/>
      <c r="CD111" s="874"/>
      <c r="CE111" s="874"/>
      <c r="CF111" s="874"/>
      <c r="CG111" s="874"/>
      <c r="CH111" s="875"/>
      <c r="CI111" s="870"/>
      <c r="CJ111" s="876">
        <f t="shared" ref="CJ111" si="193">SUM(BW111:CH111)</f>
        <v>0</v>
      </c>
      <c r="CK111" s="877">
        <f t="shared" ref="CK111" si="194">IFERROR(ROUND(($K111*CJ111+$K111*CI111),2),0)</f>
        <v>0</v>
      </c>
      <c r="CL111" s="878">
        <f t="shared" ref="CL111" si="195">AA111+AP111+L111+BE111+BT111+CI111</f>
        <v>0</v>
      </c>
      <c r="CM111" s="879">
        <f t="shared" ref="CM111" si="196">AB111+AQ111+M111+BF111+BU111+CJ111</f>
        <v>8</v>
      </c>
      <c r="CN111" s="880">
        <f t="shared" ref="CN111" si="197">AC111+AR111+N111+BG111+BV111+CK111</f>
        <v>127440</v>
      </c>
      <c r="CQ111" s="886"/>
    </row>
    <row r="112" spans="1:95" s="866" customFormat="1" ht="25.5" customHeight="1">
      <c r="A112" s="1068"/>
      <c r="B112" s="1049"/>
      <c r="C112" s="1049"/>
      <c r="D112" s="895"/>
      <c r="E112" s="867" t="s">
        <v>107</v>
      </c>
      <c r="F112" s="898"/>
      <c r="G112" s="899" t="s">
        <v>42</v>
      </c>
      <c r="H112" s="899" t="s">
        <v>1453</v>
      </c>
      <c r="I112" s="907" t="s">
        <v>2048</v>
      </c>
      <c r="J112" s="674" t="s">
        <v>1990</v>
      </c>
      <c r="K112" s="883">
        <f>IFERROR(VLOOKUP(H112,справочник!$A$3:$B$12,2,0),"нет данных")</f>
        <v>21520</v>
      </c>
      <c r="L112" s="870"/>
      <c r="M112" s="885"/>
      <c r="N112" s="881">
        <f t="shared" ref="N112" si="198">IFERROR(ROUND((K112*M112+K112*L112),2),0)</f>
        <v>0</v>
      </c>
      <c r="O112" s="884"/>
      <c r="P112" s="882"/>
      <c r="Q112" s="882"/>
      <c r="R112" s="882"/>
      <c r="S112" s="882"/>
      <c r="T112" s="882"/>
      <c r="U112" s="868"/>
      <c r="V112" s="868"/>
      <c r="W112" s="868"/>
      <c r="X112" s="868"/>
      <c r="Y112" s="868"/>
      <c r="Z112" s="869"/>
      <c r="AA112" s="870"/>
      <c r="AB112" s="871">
        <f t="shared" ref="AB112" si="199">SUM(O112:Z112)</f>
        <v>0</v>
      </c>
      <c r="AC112" s="872">
        <f t="shared" ref="AC112" si="200">IFERROR(ROUND(($K112*AB112+$K112*AA112),2),0)</f>
        <v>0</v>
      </c>
      <c r="AD112" s="918"/>
      <c r="AE112" s="919"/>
      <c r="AF112" s="919"/>
      <c r="AG112" s="919"/>
      <c r="AH112" s="919"/>
      <c r="AI112" s="919"/>
      <c r="AJ112" s="919"/>
      <c r="AK112" s="919"/>
      <c r="AL112" s="919"/>
      <c r="AM112" s="930">
        <v>3</v>
      </c>
      <c r="AN112" s="919"/>
      <c r="AO112" s="933">
        <v>5</v>
      </c>
      <c r="AP112" s="917"/>
      <c r="AQ112" s="876">
        <f t="shared" ref="AQ112" si="201">SUM(AD112:AO112)</f>
        <v>8</v>
      </c>
      <c r="AR112" s="877">
        <f t="shared" ref="AR112" si="202">IFERROR(ROUND(($K112*AQ112+$K112*AP112),2),0)</f>
        <v>172160</v>
      </c>
      <c r="AS112" s="939"/>
      <c r="AT112" s="944">
        <v>5</v>
      </c>
      <c r="AU112" s="940"/>
      <c r="AV112" s="940"/>
      <c r="AW112" s="940"/>
      <c r="AX112" s="940"/>
      <c r="AY112" s="940"/>
      <c r="AZ112" s="940"/>
      <c r="BA112" s="940"/>
      <c r="BB112" s="940"/>
      <c r="BC112" s="940"/>
      <c r="BD112" s="941"/>
      <c r="BE112" s="938"/>
      <c r="BF112" s="876">
        <f t="shared" ref="BF112" si="203">SUM(AS112:BD112)</f>
        <v>5</v>
      </c>
      <c r="BG112" s="877">
        <f t="shared" ref="BG112" si="204">IFERROR(ROUND(($K112*BF112+$K112*BE112),2),0)</f>
        <v>107600</v>
      </c>
      <c r="BH112" s="873"/>
      <c r="BI112" s="874"/>
      <c r="BJ112" s="874"/>
      <c r="BK112" s="874"/>
      <c r="BL112" s="874"/>
      <c r="BM112" s="874"/>
      <c r="BN112" s="874"/>
      <c r="BO112" s="874"/>
      <c r="BP112" s="874"/>
      <c r="BQ112" s="874"/>
      <c r="BR112" s="874"/>
      <c r="BS112" s="875"/>
      <c r="BT112" s="870"/>
      <c r="BU112" s="876">
        <f t="shared" ref="BU112" si="205">SUM(BH112:BS112)</f>
        <v>0</v>
      </c>
      <c r="BV112" s="877">
        <f t="shared" ref="BV112" si="206">IFERROR(ROUND(($K112*BU112+$K112*BT112),2),0)</f>
        <v>0</v>
      </c>
      <c r="BW112" s="873"/>
      <c r="BX112" s="874"/>
      <c r="BY112" s="874"/>
      <c r="BZ112" s="874"/>
      <c r="CA112" s="874"/>
      <c r="CB112" s="874"/>
      <c r="CC112" s="874"/>
      <c r="CD112" s="874"/>
      <c r="CE112" s="874"/>
      <c r="CF112" s="874"/>
      <c r="CG112" s="874"/>
      <c r="CH112" s="875"/>
      <c r="CI112" s="870"/>
      <c r="CJ112" s="876">
        <f t="shared" ref="CJ112" si="207">SUM(BW112:CH112)</f>
        <v>0</v>
      </c>
      <c r="CK112" s="877">
        <f t="shared" ref="CK112" si="208">IFERROR(ROUND(($K112*CJ112+$K112*CI112),2),0)</f>
        <v>0</v>
      </c>
      <c r="CL112" s="878">
        <f t="shared" ref="CL112" si="209">AA112+AP112+L112+BE112+BT112+CI112</f>
        <v>0</v>
      </c>
      <c r="CM112" s="879">
        <f t="shared" ref="CM112" si="210">AB112+AQ112+M112+BF112+BU112+CJ112</f>
        <v>13</v>
      </c>
      <c r="CN112" s="880">
        <f t="shared" ref="CN112" si="211">AC112+AR112+N112+BG112+BV112+CK112</f>
        <v>279760</v>
      </c>
      <c r="CQ112" s="886"/>
    </row>
    <row r="113" spans="1:95" s="33" customFormat="1" ht="25.5" customHeight="1">
      <c r="A113" s="1052"/>
      <c r="B113" s="1050"/>
      <c r="C113" s="1050"/>
      <c r="D113" s="895"/>
      <c r="E113" s="125" t="s">
        <v>107</v>
      </c>
      <c r="F113" s="898"/>
      <c r="G113" s="899" t="s">
        <v>40</v>
      </c>
      <c r="H113" s="899" t="s">
        <v>1453</v>
      </c>
      <c r="I113" s="902" t="s">
        <v>2049</v>
      </c>
      <c r="J113" s="674" t="s">
        <v>1990</v>
      </c>
      <c r="K113" s="374">
        <f>IFERROR(VLOOKUP(H113,справочник!$A$3:$B$12,2,0),"нет данных")</f>
        <v>21520</v>
      </c>
      <c r="L113" s="326"/>
      <c r="M113" s="399"/>
      <c r="N113" s="346">
        <f t="shared" si="72"/>
        <v>0</v>
      </c>
      <c r="O113" s="394"/>
      <c r="P113" s="352"/>
      <c r="Q113" s="352"/>
      <c r="R113" s="352"/>
      <c r="S113" s="352"/>
      <c r="T113" s="352"/>
      <c r="U113" s="324"/>
      <c r="V113" s="324"/>
      <c r="W113" s="324"/>
      <c r="X113" s="324"/>
      <c r="Y113" s="324"/>
      <c r="Z113" s="325"/>
      <c r="AA113" s="326"/>
      <c r="AB113" s="327">
        <f t="shared" si="81"/>
        <v>0</v>
      </c>
      <c r="AC113" s="328">
        <f t="shared" si="73"/>
        <v>0</v>
      </c>
      <c r="AD113" s="918"/>
      <c r="AE113" s="919"/>
      <c r="AF113" s="919"/>
      <c r="AG113" s="919"/>
      <c r="AH113" s="919"/>
      <c r="AI113" s="919"/>
      <c r="AJ113" s="919"/>
      <c r="AK113" s="919"/>
      <c r="AL113" s="919"/>
      <c r="AM113" s="919"/>
      <c r="AN113" s="919"/>
      <c r="AO113" s="920"/>
      <c r="AP113" s="917"/>
      <c r="AQ113" s="332">
        <f t="shared" si="82"/>
        <v>0</v>
      </c>
      <c r="AR113" s="333">
        <f t="shared" si="74"/>
        <v>0</v>
      </c>
      <c r="AS113" s="939"/>
      <c r="AT113" s="940"/>
      <c r="AU113" s="940"/>
      <c r="AV113" s="940"/>
      <c r="AW113" s="940"/>
      <c r="AX113" s="940"/>
      <c r="AY113" s="940"/>
      <c r="AZ113" s="940"/>
      <c r="BA113" s="940"/>
      <c r="BB113" s="940"/>
      <c r="BC113" s="940"/>
      <c r="BD113" s="941"/>
      <c r="BE113" s="938"/>
      <c r="BF113" s="332">
        <f t="shared" si="83"/>
        <v>0</v>
      </c>
      <c r="BG113" s="333">
        <f t="shared" si="75"/>
        <v>0</v>
      </c>
      <c r="BH113" s="329"/>
      <c r="BI113" s="330"/>
      <c r="BJ113" s="330"/>
      <c r="BK113" s="330"/>
      <c r="BL113" s="330"/>
      <c r="BM113" s="330"/>
      <c r="BN113" s="330"/>
      <c r="BO113" s="330"/>
      <c r="BP113" s="330"/>
      <c r="BQ113" s="330"/>
      <c r="BR113" s="330"/>
      <c r="BS113" s="331"/>
      <c r="BT113" s="326"/>
      <c r="BU113" s="332">
        <f t="shared" si="84"/>
        <v>0</v>
      </c>
      <c r="BV113" s="333">
        <f t="shared" si="76"/>
        <v>0</v>
      </c>
      <c r="BW113" s="329"/>
      <c r="BX113" s="330"/>
      <c r="BY113" s="330"/>
      <c r="BZ113" s="330"/>
      <c r="CA113" s="330"/>
      <c r="CB113" s="330"/>
      <c r="CC113" s="330"/>
      <c r="CD113" s="330"/>
      <c r="CE113" s="330"/>
      <c r="CF113" s="330"/>
      <c r="CG113" s="330"/>
      <c r="CH113" s="331"/>
      <c r="CI113" s="326"/>
      <c r="CJ113" s="332">
        <f t="shared" si="85"/>
        <v>0</v>
      </c>
      <c r="CK113" s="333">
        <f t="shared" si="77"/>
        <v>0</v>
      </c>
      <c r="CL113" s="334">
        <f t="shared" si="78"/>
        <v>0</v>
      </c>
      <c r="CM113" s="335">
        <f t="shared" si="79"/>
        <v>0</v>
      </c>
      <c r="CN113" s="336">
        <f t="shared" si="80"/>
        <v>0</v>
      </c>
      <c r="CQ113" s="480"/>
    </row>
    <row r="114" spans="1:95" s="33" customFormat="1" ht="25.5" customHeight="1">
      <c r="A114" s="1051" t="s">
        <v>128</v>
      </c>
      <c r="B114" s="1048" t="s">
        <v>1501</v>
      </c>
      <c r="C114" s="1048" t="s">
        <v>1585</v>
      </c>
      <c r="D114" s="895"/>
      <c r="E114" s="125" t="s">
        <v>107</v>
      </c>
      <c r="F114" s="898"/>
      <c r="G114" s="899" t="s">
        <v>43</v>
      </c>
      <c r="H114" s="899" t="s">
        <v>61</v>
      </c>
      <c r="I114" s="902" t="s">
        <v>2052</v>
      </c>
      <c r="J114" s="674" t="s">
        <v>1990</v>
      </c>
      <c r="K114" s="374">
        <f>IFERROR(VLOOKUP(H114,справочник!$A$3:$B$12,2,0),"нет данных")</f>
        <v>15930</v>
      </c>
      <c r="L114" s="326"/>
      <c r="M114" s="399"/>
      <c r="N114" s="346">
        <f t="shared" si="72"/>
        <v>0</v>
      </c>
      <c r="O114" s="394"/>
      <c r="P114" s="352"/>
      <c r="Q114" s="352"/>
      <c r="R114" s="352"/>
      <c r="S114" s="352"/>
      <c r="T114" s="352"/>
      <c r="U114" s="324"/>
      <c r="V114" s="324"/>
      <c r="W114" s="324"/>
      <c r="X114" s="324"/>
      <c r="Y114" s="324"/>
      <c r="Z114" s="325"/>
      <c r="AA114" s="326"/>
      <c r="AB114" s="327">
        <f t="shared" si="81"/>
        <v>0</v>
      </c>
      <c r="AC114" s="328">
        <f t="shared" si="73"/>
        <v>0</v>
      </c>
      <c r="AD114" s="918"/>
      <c r="AE114" s="919"/>
      <c r="AF114" s="919"/>
      <c r="AG114" s="919"/>
      <c r="AH114" s="919"/>
      <c r="AI114" s="919"/>
      <c r="AJ114" s="919"/>
      <c r="AK114" s="919"/>
      <c r="AL114" s="919"/>
      <c r="AM114" s="919"/>
      <c r="AN114" s="919"/>
      <c r="AO114" s="920"/>
      <c r="AP114" s="917"/>
      <c r="AQ114" s="332">
        <f t="shared" si="82"/>
        <v>0</v>
      </c>
      <c r="AR114" s="333">
        <f t="shared" si="74"/>
        <v>0</v>
      </c>
      <c r="AS114" s="939"/>
      <c r="AT114" s="944">
        <v>4</v>
      </c>
      <c r="AU114" s="940"/>
      <c r="AV114" s="940"/>
      <c r="AW114" s="940"/>
      <c r="AX114" s="940"/>
      <c r="AY114" s="940"/>
      <c r="AZ114" s="940"/>
      <c r="BA114" s="940"/>
      <c r="BB114" s="940"/>
      <c r="BC114" s="940"/>
      <c r="BD114" s="941"/>
      <c r="BE114" s="938"/>
      <c r="BF114" s="332">
        <f t="shared" si="83"/>
        <v>4</v>
      </c>
      <c r="BG114" s="333">
        <f t="shared" si="75"/>
        <v>63720</v>
      </c>
      <c r="BH114" s="329"/>
      <c r="BI114" s="330"/>
      <c r="BJ114" s="330"/>
      <c r="BK114" s="330"/>
      <c r="BL114" s="330"/>
      <c r="BM114" s="330"/>
      <c r="BN114" s="330"/>
      <c r="BO114" s="330"/>
      <c r="BP114" s="330"/>
      <c r="BQ114" s="330"/>
      <c r="BR114" s="330"/>
      <c r="BS114" s="331"/>
      <c r="BT114" s="326"/>
      <c r="BU114" s="332">
        <f t="shared" si="84"/>
        <v>0</v>
      </c>
      <c r="BV114" s="333">
        <f t="shared" si="76"/>
        <v>0</v>
      </c>
      <c r="BW114" s="329"/>
      <c r="BX114" s="330"/>
      <c r="BY114" s="330"/>
      <c r="BZ114" s="330"/>
      <c r="CA114" s="330"/>
      <c r="CB114" s="330"/>
      <c r="CC114" s="330"/>
      <c r="CD114" s="330"/>
      <c r="CE114" s="330"/>
      <c r="CF114" s="330"/>
      <c r="CG114" s="330"/>
      <c r="CH114" s="331"/>
      <c r="CI114" s="326"/>
      <c r="CJ114" s="332">
        <f t="shared" si="85"/>
        <v>0</v>
      </c>
      <c r="CK114" s="333">
        <f t="shared" si="77"/>
        <v>0</v>
      </c>
      <c r="CL114" s="334">
        <f t="shared" si="78"/>
        <v>0</v>
      </c>
      <c r="CM114" s="335">
        <f t="shared" si="79"/>
        <v>4</v>
      </c>
      <c r="CN114" s="336">
        <f t="shared" si="80"/>
        <v>63720</v>
      </c>
      <c r="CQ114" s="480"/>
    </row>
    <row r="115" spans="1:95" s="866" customFormat="1" ht="25.5" customHeight="1">
      <c r="A115" s="1068"/>
      <c r="B115" s="1049"/>
      <c r="C115" s="1049"/>
      <c r="D115" s="895"/>
      <c r="E115" s="867" t="s">
        <v>107</v>
      </c>
      <c r="F115" s="898"/>
      <c r="G115" s="910" t="s">
        <v>43</v>
      </c>
      <c r="H115" s="910" t="s">
        <v>61</v>
      </c>
      <c r="I115" s="909" t="s">
        <v>2053</v>
      </c>
      <c r="J115" s="674" t="s">
        <v>1990</v>
      </c>
      <c r="K115" s="883">
        <f>IFERROR(VLOOKUP(H115,справочник!$A$3:$B$12,2,0),"нет данных")</f>
        <v>15930</v>
      </c>
      <c r="L115" s="870"/>
      <c r="M115" s="885"/>
      <c r="N115" s="881">
        <f t="shared" ref="N115" si="212">IFERROR(ROUND((K115*M115+K115*L115),2),0)</f>
        <v>0</v>
      </c>
      <c r="O115" s="884"/>
      <c r="P115" s="882"/>
      <c r="Q115" s="882"/>
      <c r="R115" s="882"/>
      <c r="S115" s="882"/>
      <c r="T115" s="882"/>
      <c r="U115" s="868"/>
      <c r="V115" s="868"/>
      <c r="W115" s="868"/>
      <c r="X115" s="868"/>
      <c r="Y115" s="868"/>
      <c r="Z115" s="869"/>
      <c r="AA115" s="870"/>
      <c r="AB115" s="871">
        <f t="shared" ref="AB115" si="213">SUM(O115:Z115)</f>
        <v>0</v>
      </c>
      <c r="AC115" s="872">
        <f t="shared" ref="AC115" si="214">IFERROR(ROUND(($K115*AB115+$K115*AA115),2),0)</f>
        <v>0</v>
      </c>
      <c r="AD115" s="918"/>
      <c r="AE115" s="919"/>
      <c r="AF115" s="919"/>
      <c r="AG115" s="919"/>
      <c r="AH115" s="919"/>
      <c r="AI115" s="919"/>
      <c r="AJ115" s="919"/>
      <c r="AK115" s="919"/>
      <c r="AL115" s="919"/>
      <c r="AM115" s="919"/>
      <c r="AN115" s="919"/>
      <c r="AO115" s="920"/>
      <c r="AP115" s="917"/>
      <c r="AQ115" s="876">
        <f t="shared" ref="AQ115" si="215">SUM(AD115:AO115)</f>
        <v>0</v>
      </c>
      <c r="AR115" s="877">
        <f t="shared" ref="AR115" si="216">IFERROR(ROUND(($K115*AQ115+$K115*AP115),2),0)</f>
        <v>0</v>
      </c>
      <c r="AS115" s="939"/>
      <c r="AT115" s="944">
        <v>4</v>
      </c>
      <c r="AU115" s="940"/>
      <c r="AV115" s="940"/>
      <c r="AW115" s="940"/>
      <c r="AX115" s="940"/>
      <c r="AY115" s="940"/>
      <c r="AZ115" s="940"/>
      <c r="BA115" s="940"/>
      <c r="BB115" s="940"/>
      <c r="BC115" s="940"/>
      <c r="BD115" s="941"/>
      <c r="BE115" s="938"/>
      <c r="BF115" s="876">
        <f t="shared" ref="BF115" si="217">SUM(AS115:BD115)</f>
        <v>4</v>
      </c>
      <c r="BG115" s="877">
        <f t="shared" ref="BG115" si="218">IFERROR(ROUND(($K115*BF115+$K115*BE115),2),0)</f>
        <v>63720</v>
      </c>
      <c r="BH115" s="873"/>
      <c r="BI115" s="874"/>
      <c r="BJ115" s="874"/>
      <c r="BK115" s="874"/>
      <c r="BL115" s="874"/>
      <c r="BM115" s="874"/>
      <c r="BN115" s="874"/>
      <c r="BO115" s="874"/>
      <c r="BP115" s="874"/>
      <c r="BQ115" s="874"/>
      <c r="BR115" s="874"/>
      <c r="BS115" s="875"/>
      <c r="BT115" s="870"/>
      <c r="BU115" s="876">
        <f t="shared" ref="BU115" si="219">SUM(BH115:BS115)</f>
        <v>0</v>
      </c>
      <c r="BV115" s="877">
        <f t="shared" ref="BV115" si="220">IFERROR(ROUND(($K115*BU115+$K115*BT115),2),0)</f>
        <v>0</v>
      </c>
      <c r="BW115" s="873"/>
      <c r="BX115" s="874"/>
      <c r="BY115" s="874"/>
      <c r="BZ115" s="874"/>
      <c r="CA115" s="874"/>
      <c r="CB115" s="874"/>
      <c r="CC115" s="874"/>
      <c r="CD115" s="874"/>
      <c r="CE115" s="874"/>
      <c r="CF115" s="874"/>
      <c r="CG115" s="874"/>
      <c r="CH115" s="875"/>
      <c r="CI115" s="870"/>
      <c r="CJ115" s="876">
        <f t="shared" ref="CJ115" si="221">SUM(BW115:CH115)</f>
        <v>0</v>
      </c>
      <c r="CK115" s="877">
        <f t="shared" ref="CK115" si="222">IFERROR(ROUND(($K115*CJ115+$K115*CI115),2),0)</f>
        <v>0</v>
      </c>
      <c r="CL115" s="878">
        <f t="shared" ref="CL115" si="223">AA115+AP115+L115+BE115+BT115+CI115</f>
        <v>0</v>
      </c>
      <c r="CM115" s="879">
        <f t="shared" ref="CM115" si="224">AB115+AQ115+M115+BF115+BU115+CJ115</f>
        <v>4</v>
      </c>
      <c r="CN115" s="880">
        <f t="shared" ref="CN115" si="225">AC115+AR115+N115+BG115+BV115+CK115</f>
        <v>63720</v>
      </c>
      <c r="CQ115" s="886"/>
    </row>
    <row r="116" spans="1:95" s="866" customFormat="1" ht="25.5" customHeight="1">
      <c r="A116" s="1068"/>
      <c r="B116" s="1049"/>
      <c r="C116" s="1049"/>
      <c r="D116" s="895"/>
      <c r="E116" s="867" t="s">
        <v>107</v>
      </c>
      <c r="F116" s="898"/>
      <c r="G116" s="899" t="s">
        <v>43</v>
      </c>
      <c r="H116" s="899" t="s">
        <v>1453</v>
      </c>
      <c r="I116" s="907" t="s">
        <v>2048</v>
      </c>
      <c r="J116" s="674" t="s">
        <v>1990</v>
      </c>
      <c r="K116" s="883">
        <f>IFERROR(VLOOKUP(H116,справочник!$A$3:$B$12,2,0),"нет данных")</f>
        <v>21520</v>
      </c>
      <c r="L116" s="870"/>
      <c r="M116" s="885"/>
      <c r="N116" s="881">
        <f t="shared" ref="N116" si="226">IFERROR(ROUND((K116*M116+K116*L116),2),0)</f>
        <v>0</v>
      </c>
      <c r="O116" s="884"/>
      <c r="P116" s="882"/>
      <c r="Q116" s="882"/>
      <c r="R116" s="882"/>
      <c r="S116" s="882"/>
      <c r="T116" s="882"/>
      <c r="U116" s="868"/>
      <c r="V116" s="868"/>
      <c r="W116" s="868"/>
      <c r="X116" s="868"/>
      <c r="Y116" s="868"/>
      <c r="Z116" s="869"/>
      <c r="AA116" s="870"/>
      <c r="AB116" s="871">
        <f t="shared" ref="AB116" si="227">SUM(O116:Z116)</f>
        <v>0</v>
      </c>
      <c r="AC116" s="872">
        <f t="shared" ref="AC116" si="228">IFERROR(ROUND(($K116*AB116+$K116*AA116),2),0)</f>
        <v>0</v>
      </c>
      <c r="AD116" s="918"/>
      <c r="AE116" s="919"/>
      <c r="AF116" s="919"/>
      <c r="AG116" s="919"/>
      <c r="AH116" s="919"/>
      <c r="AI116" s="919"/>
      <c r="AJ116" s="919"/>
      <c r="AK116" s="919"/>
      <c r="AL116" s="919"/>
      <c r="AM116" s="919"/>
      <c r="AN116" s="919"/>
      <c r="AO116" s="920"/>
      <c r="AP116" s="917"/>
      <c r="AQ116" s="876">
        <f t="shared" ref="AQ116" si="229">SUM(AD116:AO116)</f>
        <v>0</v>
      </c>
      <c r="AR116" s="877">
        <f t="shared" ref="AR116" si="230">IFERROR(ROUND(($K116*AQ116+$K116*AP116),2),0)</f>
        <v>0</v>
      </c>
      <c r="AS116" s="939"/>
      <c r="AT116" s="944">
        <v>5</v>
      </c>
      <c r="AU116" s="940"/>
      <c r="AV116" s="940"/>
      <c r="AW116" s="940"/>
      <c r="AX116" s="940"/>
      <c r="AY116" s="940"/>
      <c r="AZ116" s="940"/>
      <c r="BA116" s="940"/>
      <c r="BB116" s="940"/>
      <c r="BC116" s="940"/>
      <c r="BD116" s="941"/>
      <c r="BE116" s="938"/>
      <c r="BF116" s="876">
        <f t="shared" ref="BF116" si="231">SUM(AS116:BD116)</f>
        <v>5</v>
      </c>
      <c r="BG116" s="877">
        <f t="shared" ref="BG116" si="232">IFERROR(ROUND(($K116*BF116+$K116*BE116),2),0)</f>
        <v>107600</v>
      </c>
      <c r="BH116" s="873"/>
      <c r="BI116" s="874"/>
      <c r="BJ116" s="874"/>
      <c r="BK116" s="874"/>
      <c r="BL116" s="874"/>
      <c r="BM116" s="874"/>
      <c r="BN116" s="874"/>
      <c r="BO116" s="874"/>
      <c r="BP116" s="874"/>
      <c r="BQ116" s="874"/>
      <c r="BR116" s="874"/>
      <c r="BS116" s="875"/>
      <c r="BT116" s="870"/>
      <c r="BU116" s="876">
        <f t="shared" ref="BU116" si="233">SUM(BH116:BS116)</f>
        <v>0</v>
      </c>
      <c r="BV116" s="877">
        <f t="shared" ref="BV116" si="234">IFERROR(ROUND(($K116*BU116+$K116*BT116),2),0)</f>
        <v>0</v>
      </c>
      <c r="BW116" s="873"/>
      <c r="BX116" s="874"/>
      <c r="BY116" s="874"/>
      <c r="BZ116" s="874"/>
      <c r="CA116" s="874"/>
      <c r="CB116" s="874"/>
      <c r="CC116" s="874"/>
      <c r="CD116" s="874"/>
      <c r="CE116" s="874"/>
      <c r="CF116" s="874"/>
      <c r="CG116" s="874"/>
      <c r="CH116" s="875"/>
      <c r="CI116" s="870"/>
      <c r="CJ116" s="876">
        <f t="shared" ref="CJ116" si="235">SUM(BW116:CH116)</f>
        <v>0</v>
      </c>
      <c r="CK116" s="877">
        <f t="shared" ref="CK116" si="236">IFERROR(ROUND(($K116*CJ116+$K116*CI116),2),0)</f>
        <v>0</v>
      </c>
      <c r="CL116" s="878">
        <f t="shared" ref="CL116" si="237">AA116+AP116+L116+BE116+BT116+CI116</f>
        <v>0</v>
      </c>
      <c r="CM116" s="879">
        <f t="shared" ref="CM116" si="238">AB116+AQ116+M116+BF116+BU116+CJ116</f>
        <v>5</v>
      </c>
      <c r="CN116" s="880">
        <f t="shared" ref="CN116" si="239">AC116+AR116+N116+BG116+BV116+CK116</f>
        <v>107600</v>
      </c>
      <c r="CQ116" s="886"/>
    </row>
    <row r="117" spans="1:95" s="866" customFormat="1" ht="25.5" customHeight="1">
      <c r="A117" s="1068"/>
      <c r="B117" s="1049"/>
      <c r="C117" s="1049"/>
      <c r="D117" s="895"/>
      <c r="E117" s="867" t="s">
        <v>107</v>
      </c>
      <c r="F117" s="898"/>
      <c r="G117" s="899" t="s">
        <v>43</v>
      </c>
      <c r="H117" s="899" t="s">
        <v>61</v>
      </c>
      <c r="I117" s="907" t="s">
        <v>2051</v>
      </c>
      <c r="J117" s="674" t="s">
        <v>1990</v>
      </c>
      <c r="K117" s="883">
        <f>IFERROR(VLOOKUP(H117,справочник!$A$3:$B$12,2,0),"нет данных")</f>
        <v>15930</v>
      </c>
      <c r="L117" s="870"/>
      <c r="M117" s="885"/>
      <c r="N117" s="881">
        <f t="shared" ref="N117" si="240">IFERROR(ROUND((K117*M117+K117*L117),2),0)</f>
        <v>0</v>
      </c>
      <c r="O117" s="884"/>
      <c r="P117" s="882"/>
      <c r="Q117" s="882"/>
      <c r="R117" s="882"/>
      <c r="S117" s="882"/>
      <c r="T117" s="882"/>
      <c r="U117" s="868"/>
      <c r="V117" s="868"/>
      <c r="W117" s="868"/>
      <c r="X117" s="868"/>
      <c r="Y117" s="868"/>
      <c r="Z117" s="869"/>
      <c r="AA117" s="870"/>
      <c r="AB117" s="871">
        <f t="shared" ref="AB117" si="241">SUM(O117:Z117)</f>
        <v>0</v>
      </c>
      <c r="AC117" s="872">
        <f t="shared" ref="AC117" si="242">IFERROR(ROUND(($K117*AB117+$K117*AA117),2),0)</f>
        <v>0</v>
      </c>
      <c r="AD117" s="919"/>
      <c r="AE117" s="919"/>
      <c r="AF117" s="919"/>
      <c r="AG117" s="919"/>
      <c r="AH117" s="919"/>
      <c r="AI117" s="919"/>
      <c r="AJ117" s="919"/>
      <c r="AK117" s="919"/>
      <c r="AL117" s="920"/>
      <c r="AM117" s="917"/>
      <c r="AN117" s="921"/>
      <c r="AO117" s="922"/>
      <c r="AP117" s="923"/>
      <c r="AQ117" s="876">
        <f t="shared" ref="AQ117" si="243">SUM(AD117:AO117)</f>
        <v>0</v>
      </c>
      <c r="AR117" s="877">
        <f t="shared" ref="AR117" si="244">IFERROR(ROUND(($K117*AQ117+$K117*AP117),2),0)</f>
        <v>0</v>
      </c>
      <c r="AS117" s="939"/>
      <c r="AT117" s="944">
        <v>5</v>
      </c>
      <c r="AU117" s="940"/>
      <c r="AV117" s="940"/>
      <c r="AW117" s="940"/>
      <c r="AX117" s="940"/>
      <c r="AY117" s="940"/>
      <c r="AZ117" s="940"/>
      <c r="BA117" s="940"/>
      <c r="BB117" s="940"/>
      <c r="BC117" s="940"/>
      <c r="BD117" s="941"/>
      <c r="BE117" s="938"/>
      <c r="BF117" s="876">
        <f t="shared" ref="BF117" si="245">SUM(AS117:BD117)</f>
        <v>5</v>
      </c>
      <c r="BG117" s="877">
        <f t="shared" ref="BG117" si="246">IFERROR(ROUND(($K117*BF117+$K117*BE117),2),0)</f>
        <v>79650</v>
      </c>
      <c r="BH117" s="873"/>
      <c r="BI117" s="874"/>
      <c r="BJ117" s="874"/>
      <c r="BK117" s="874"/>
      <c r="BL117" s="874"/>
      <c r="BM117" s="874"/>
      <c r="BN117" s="874"/>
      <c r="BO117" s="874"/>
      <c r="BP117" s="874"/>
      <c r="BQ117" s="874"/>
      <c r="BR117" s="874"/>
      <c r="BS117" s="875"/>
      <c r="BT117" s="870"/>
      <c r="BU117" s="876">
        <f t="shared" ref="BU117" si="247">SUM(BH117:BS117)</f>
        <v>0</v>
      </c>
      <c r="BV117" s="877">
        <f t="shared" ref="BV117" si="248">IFERROR(ROUND(($K117*BU117+$K117*BT117),2),0)</f>
        <v>0</v>
      </c>
      <c r="BW117" s="873"/>
      <c r="BX117" s="874"/>
      <c r="BY117" s="874"/>
      <c r="BZ117" s="874"/>
      <c r="CA117" s="874"/>
      <c r="CB117" s="874"/>
      <c r="CC117" s="874"/>
      <c r="CD117" s="874"/>
      <c r="CE117" s="874"/>
      <c r="CF117" s="874"/>
      <c r="CG117" s="874"/>
      <c r="CH117" s="875"/>
      <c r="CI117" s="870"/>
      <c r="CJ117" s="876">
        <f t="shared" ref="CJ117" si="249">SUM(BW117:CH117)</f>
        <v>0</v>
      </c>
      <c r="CK117" s="877">
        <f t="shared" ref="CK117" si="250">IFERROR(ROUND(($K117*CJ117+$K117*CI117),2),0)</f>
        <v>0</v>
      </c>
      <c r="CL117" s="878">
        <f t="shared" ref="CL117" si="251">AA117+AP117+L117+BE117+BT117+CI117</f>
        <v>0</v>
      </c>
      <c r="CM117" s="879">
        <f t="shared" ref="CM117" si="252">AB117+AQ117+M117+BF117+BU117+CJ117</f>
        <v>5</v>
      </c>
      <c r="CN117" s="880">
        <f t="shared" ref="CN117" si="253">AC117+AR117+N117+BG117+BV117+CK117</f>
        <v>79650</v>
      </c>
      <c r="CQ117" s="886"/>
    </row>
    <row r="118" spans="1:95" s="33" customFormat="1" ht="25.5" customHeight="1">
      <c r="A118" s="1052"/>
      <c r="B118" s="1050"/>
      <c r="C118" s="1050"/>
      <c r="D118" s="895"/>
      <c r="E118" s="125" t="s">
        <v>107</v>
      </c>
      <c r="F118" s="898"/>
      <c r="G118" s="899" t="s">
        <v>40</v>
      </c>
      <c r="H118" s="904" t="s">
        <v>1453</v>
      </c>
      <c r="I118" s="902" t="s">
        <v>2049</v>
      </c>
      <c r="J118" s="674" t="s">
        <v>1990</v>
      </c>
      <c r="K118" s="374">
        <f>IFERROR(VLOOKUP(H118,справочник!$A$3:$B$12,2,0),"нет данных")</f>
        <v>21520</v>
      </c>
      <c r="L118" s="326"/>
      <c r="M118" s="399"/>
      <c r="N118" s="346">
        <f t="shared" si="72"/>
        <v>0</v>
      </c>
      <c r="O118" s="394"/>
      <c r="P118" s="352"/>
      <c r="Q118" s="352"/>
      <c r="R118" s="352"/>
      <c r="S118" s="352"/>
      <c r="T118" s="352"/>
      <c r="U118" s="324"/>
      <c r="V118" s="324"/>
      <c r="W118" s="324"/>
      <c r="X118" s="324"/>
      <c r="Y118" s="324"/>
      <c r="Z118" s="325"/>
      <c r="AA118" s="326"/>
      <c r="AB118" s="327">
        <f t="shared" si="81"/>
        <v>0</v>
      </c>
      <c r="AC118" s="328">
        <f t="shared" si="73"/>
        <v>0</v>
      </c>
      <c r="AD118" s="918"/>
      <c r="AE118" s="919"/>
      <c r="AF118" s="919"/>
      <c r="AG118" s="919"/>
      <c r="AH118" s="919"/>
      <c r="AI118" s="919"/>
      <c r="AJ118" s="919"/>
      <c r="AK118" s="919"/>
      <c r="AL118" s="919"/>
      <c r="AM118" s="919"/>
      <c r="AN118" s="919"/>
      <c r="AO118" s="920"/>
      <c r="AP118" s="917"/>
      <c r="AQ118" s="332">
        <f t="shared" si="82"/>
        <v>0</v>
      </c>
      <c r="AR118" s="333">
        <f t="shared" si="74"/>
        <v>0</v>
      </c>
      <c r="AS118" s="939"/>
      <c r="AT118" s="940"/>
      <c r="AU118" s="940"/>
      <c r="AV118" s="940"/>
      <c r="AW118" s="940"/>
      <c r="AX118" s="940"/>
      <c r="AY118" s="940"/>
      <c r="AZ118" s="940"/>
      <c r="BA118" s="940"/>
      <c r="BB118" s="940"/>
      <c r="BC118" s="940"/>
      <c r="BD118" s="941"/>
      <c r="BE118" s="938"/>
      <c r="BF118" s="332">
        <f t="shared" si="83"/>
        <v>0</v>
      </c>
      <c r="BG118" s="333">
        <f t="shared" si="75"/>
        <v>0</v>
      </c>
      <c r="BH118" s="329"/>
      <c r="BI118" s="330"/>
      <c r="BJ118" s="330"/>
      <c r="BK118" s="330"/>
      <c r="BL118" s="330"/>
      <c r="BM118" s="330"/>
      <c r="BN118" s="330"/>
      <c r="BO118" s="330"/>
      <c r="BP118" s="330"/>
      <c r="BQ118" s="330"/>
      <c r="BR118" s="330"/>
      <c r="BS118" s="331"/>
      <c r="BT118" s="326"/>
      <c r="BU118" s="332">
        <f t="shared" si="84"/>
        <v>0</v>
      </c>
      <c r="BV118" s="333">
        <f t="shared" si="76"/>
        <v>0</v>
      </c>
      <c r="BW118" s="329"/>
      <c r="BX118" s="330"/>
      <c r="BY118" s="330"/>
      <c r="BZ118" s="330"/>
      <c r="CA118" s="330"/>
      <c r="CB118" s="330"/>
      <c r="CC118" s="330"/>
      <c r="CD118" s="330"/>
      <c r="CE118" s="330"/>
      <c r="CF118" s="330"/>
      <c r="CG118" s="330"/>
      <c r="CH118" s="331"/>
      <c r="CI118" s="326"/>
      <c r="CJ118" s="332">
        <f t="shared" si="85"/>
        <v>0</v>
      </c>
      <c r="CK118" s="333">
        <f t="shared" si="77"/>
        <v>0</v>
      </c>
      <c r="CL118" s="334">
        <f t="shared" si="78"/>
        <v>0</v>
      </c>
      <c r="CM118" s="335">
        <f t="shared" si="79"/>
        <v>0</v>
      </c>
      <c r="CN118" s="336">
        <f t="shared" si="80"/>
        <v>0</v>
      </c>
      <c r="CQ118" s="480"/>
    </row>
    <row r="119" spans="1:95" s="33" customFormat="1" ht="25.5" customHeight="1">
      <c r="A119" s="1051" t="s">
        <v>129</v>
      </c>
      <c r="B119" s="1048" t="s">
        <v>1502</v>
      </c>
      <c r="C119" s="1048" t="s">
        <v>1459</v>
      </c>
      <c r="D119" s="895"/>
      <c r="E119" s="125" t="s">
        <v>107</v>
      </c>
      <c r="F119" s="898"/>
      <c r="G119" s="899" t="s">
        <v>1625</v>
      </c>
      <c r="H119" s="899" t="s">
        <v>58</v>
      </c>
      <c r="I119" s="902" t="s">
        <v>2054</v>
      </c>
      <c r="J119" s="674" t="s">
        <v>1990</v>
      </c>
      <c r="K119" s="374">
        <f>IFERROR(VLOOKUP(H119,справочник!$A$3:$B$12,2,0),"нет данных")</f>
        <v>6980</v>
      </c>
      <c r="L119" s="326"/>
      <c r="M119" s="399"/>
      <c r="N119" s="346">
        <f t="shared" si="72"/>
        <v>0</v>
      </c>
      <c r="O119" s="394"/>
      <c r="P119" s="352"/>
      <c r="Q119" s="352"/>
      <c r="R119" s="352"/>
      <c r="S119" s="352"/>
      <c r="T119" s="352"/>
      <c r="U119" s="324"/>
      <c r="V119" s="324"/>
      <c r="W119" s="324"/>
      <c r="X119" s="324"/>
      <c r="Y119" s="324"/>
      <c r="Z119" s="325"/>
      <c r="AA119" s="326"/>
      <c r="AB119" s="327">
        <f t="shared" si="81"/>
        <v>0</v>
      </c>
      <c r="AC119" s="328">
        <f t="shared" si="73"/>
        <v>0</v>
      </c>
      <c r="AD119" s="918"/>
      <c r="AE119" s="919"/>
      <c r="AF119" s="919"/>
      <c r="AG119" s="919"/>
      <c r="AH119" s="919"/>
      <c r="AI119" s="919"/>
      <c r="AJ119" s="919"/>
      <c r="AK119" s="919"/>
      <c r="AL119" s="930">
        <v>20</v>
      </c>
      <c r="AM119" s="930">
        <v>20</v>
      </c>
      <c r="AN119" s="919"/>
      <c r="AO119" s="920"/>
      <c r="AP119" s="917"/>
      <c r="AQ119" s="332">
        <f t="shared" si="82"/>
        <v>40</v>
      </c>
      <c r="AR119" s="333">
        <f t="shared" si="74"/>
        <v>279200</v>
      </c>
      <c r="AS119" s="939"/>
      <c r="AT119" s="940"/>
      <c r="AU119" s="940"/>
      <c r="AV119" s="940"/>
      <c r="AW119" s="940"/>
      <c r="AX119" s="940"/>
      <c r="AY119" s="940"/>
      <c r="AZ119" s="940"/>
      <c r="BA119" s="940"/>
      <c r="BB119" s="940"/>
      <c r="BC119" s="940"/>
      <c r="BD119" s="941"/>
      <c r="BE119" s="938"/>
      <c r="BF119" s="332">
        <f t="shared" si="83"/>
        <v>0</v>
      </c>
      <c r="BG119" s="333">
        <f t="shared" si="75"/>
        <v>0</v>
      </c>
      <c r="BH119" s="329"/>
      <c r="BI119" s="330"/>
      <c r="BJ119" s="330"/>
      <c r="BK119" s="330"/>
      <c r="BL119" s="330"/>
      <c r="BM119" s="330"/>
      <c r="BN119" s="330"/>
      <c r="BO119" s="330"/>
      <c r="BP119" s="330"/>
      <c r="BQ119" s="330"/>
      <c r="BR119" s="330"/>
      <c r="BS119" s="331"/>
      <c r="BT119" s="326"/>
      <c r="BU119" s="332">
        <f t="shared" si="84"/>
        <v>0</v>
      </c>
      <c r="BV119" s="333">
        <f t="shared" si="76"/>
        <v>0</v>
      </c>
      <c r="BW119" s="329"/>
      <c r="BX119" s="330"/>
      <c r="BY119" s="330"/>
      <c r="BZ119" s="330"/>
      <c r="CA119" s="330"/>
      <c r="CB119" s="330"/>
      <c r="CC119" s="330"/>
      <c r="CD119" s="330"/>
      <c r="CE119" s="330"/>
      <c r="CF119" s="330"/>
      <c r="CG119" s="330"/>
      <c r="CH119" s="331"/>
      <c r="CI119" s="326"/>
      <c r="CJ119" s="332">
        <f t="shared" si="85"/>
        <v>0</v>
      </c>
      <c r="CK119" s="333">
        <f t="shared" si="77"/>
        <v>0</v>
      </c>
      <c r="CL119" s="334">
        <f t="shared" si="78"/>
        <v>0</v>
      </c>
      <c r="CM119" s="335">
        <f t="shared" si="79"/>
        <v>40</v>
      </c>
      <c r="CN119" s="336">
        <f t="shared" si="80"/>
        <v>279200</v>
      </c>
      <c r="CQ119" s="480"/>
    </row>
    <row r="120" spans="1:95" s="33" customFormat="1" ht="25.5" customHeight="1">
      <c r="A120" s="1052"/>
      <c r="B120" s="1050"/>
      <c r="C120" s="1050"/>
      <c r="D120" s="895"/>
      <c r="E120" s="125" t="s">
        <v>107</v>
      </c>
      <c r="F120" s="898"/>
      <c r="G120" s="899" t="s">
        <v>1625</v>
      </c>
      <c r="H120" s="899" t="s">
        <v>58</v>
      </c>
      <c r="I120" s="902" t="s">
        <v>2055</v>
      </c>
      <c r="J120" s="674" t="s">
        <v>1990</v>
      </c>
      <c r="K120" s="374">
        <f>IFERROR(VLOOKUP(H120,справочник!$A$3:$B$12,2,0),"нет данных")</f>
        <v>6980</v>
      </c>
      <c r="L120" s="326"/>
      <c r="M120" s="399"/>
      <c r="N120" s="346">
        <f t="shared" si="72"/>
        <v>0</v>
      </c>
      <c r="O120" s="394"/>
      <c r="P120" s="352"/>
      <c r="Q120" s="352"/>
      <c r="R120" s="352"/>
      <c r="S120" s="352"/>
      <c r="T120" s="352"/>
      <c r="U120" s="324"/>
      <c r="V120" s="324"/>
      <c r="W120" s="324"/>
      <c r="X120" s="324"/>
      <c r="Y120" s="324"/>
      <c r="Z120" s="325"/>
      <c r="AA120" s="326"/>
      <c r="AB120" s="327">
        <f t="shared" si="81"/>
        <v>0</v>
      </c>
      <c r="AC120" s="328">
        <f t="shared" si="73"/>
        <v>0</v>
      </c>
      <c r="AD120" s="918"/>
      <c r="AE120" s="919"/>
      <c r="AF120" s="919"/>
      <c r="AG120" s="919"/>
      <c r="AH120" s="919"/>
      <c r="AI120" s="919"/>
      <c r="AJ120" s="919"/>
      <c r="AK120" s="919"/>
      <c r="AL120" s="930">
        <v>20</v>
      </c>
      <c r="AM120" s="930">
        <v>20</v>
      </c>
      <c r="AN120" s="919"/>
      <c r="AO120" s="920"/>
      <c r="AP120" s="917"/>
      <c r="AQ120" s="332">
        <f t="shared" si="82"/>
        <v>40</v>
      </c>
      <c r="AR120" s="333">
        <f t="shared" si="74"/>
        <v>279200</v>
      </c>
      <c r="AS120" s="939"/>
      <c r="AT120" s="940"/>
      <c r="AU120" s="940"/>
      <c r="AV120" s="940"/>
      <c r="AW120" s="940"/>
      <c r="AX120" s="940"/>
      <c r="AY120" s="940"/>
      <c r="AZ120" s="940"/>
      <c r="BA120" s="940"/>
      <c r="BB120" s="940"/>
      <c r="BC120" s="940"/>
      <c r="BD120" s="941"/>
      <c r="BE120" s="938"/>
      <c r="BF120" s="332">
        <f t="shared" si="83"/>
        <v>0</v>
      </c>
      <c r="BG120" s="333">
        <f t="shared" si="75"/>
        <v>0</v>
      </c>
      <c r="BH120" s="329"/>
      <c r="BI120" s="330"/>
      <c r="BJ120" s="330"/>
      <c r="BK120" s="330"/>
      <c r="BL120" s="330"/>
      <c r="BM120" s="330"/>
      <c r="BN120" s="330"/>
      <c r="BO120" s="330"/>
      <c r="BP120" s="330"/>
      <c r="BQ120" s="330"/>
      <c r="BR120" s="330"/>
      <c r="BS120" s="331"/>
      <c r="BT120" s="326"/>
      <c r="BU120" s="332">
        <f t="shared" si="84"/>
        <v>0</v>
      </c>
      <c r="BV120" s="333">
        <f t="shared" si="76"/>
        <v>0</v>
      </c>
      <c r="BW120" s="329"/>
      <c r="BX120" s="330"/>
      <c r="BY120" s="330"/>
      <c r="BZ120" s="330"/>
      <c r="CA120" s="330"/>
      <c r="CB120" s="330"/>
      <c r="CC120" s="330"/>
      <c r="CD120" s="330"/>
      <c r="CE120" s="330"/>
      <c r="CF120" s="330"/>
      <c r="CG120" s="330"/>
      <c r="CH120" s="331"/>
      <c r="CI120" s="326"/>
      <c r="CJ120" s="332">
        <f t="shared" si="85"/>
        <v>0</v>
      </c>
      <c r="CK120" s="333">
        <f t="shared" si="77"/>
        <v>0</v>
      </c>
      <c r="CL120" s="334">
        <f t="shared" si="78"/>
        <v>0</v>
      </c>
      <c r="CM120" s="335">
        <f t="shared" si="79"/>
        <v>40</v>
      </c>
      <c r="CN120" s="336">
        <f t="shared" si="80"/>
        <v>279200</v>
      </c>
      <c r="CQ120" s="480"/>
    </row>
    <row r="121" spans="1:95" s="33" customFormat="1" ht="25.5" customHeight="1">
      <c r="A121" s="1051" t="s">
        <v>130</v>
      </c>
      <c r="B121" s="1048" t="s">
        <v>1503</v>
      </c>
      <c r="C121" s="1048" t="s">
        <v>88</v>
      </c>
      <c r="D121" s="895" t="s">
        <v>2038</v>
      </c>
      <c r="E121" s="125" t="s">
        <v>107</v>
      </c>
      <c r="F121" s="898"/>
      <c r="G121" s="899" t="s">
        <v>1625</v>
      </c>
      <c r="H121" s="899" t="s">
        <v>58</v>
      </c>
      <c r="I121" s="902" t="s">
        <v>2054</v>
      </c>
      <c r="J121" s="674" t="s">
        <v>1990</v>
      </c>
      <c r="K121" s="374">
        <f>IFERROR(VLOOKUP(H121,справочник!$A$3:$B$12,2,0),"нет данных")</f>
        <v>6980</v>
      </c>
      <c r="L121" s="326"/>
      <c r="M121" s="399"/>
      <c r="N121" s="346">
        <f t="shared" si="72"/>
        <v>0</v>
      </c>
      <c r="O121" s="394"/>
      <c r="P121" s="352"/>
      <c r="Q121" s="352"/>
      <c r="R121" s="352"/>
      <c r="S121" s="352"/>
      <c r="T121" s="352"/>
      <c r="U121" s="324"/>
      <c r="V121" s="324"/>
      <c r="W121" s="324"/>
      <c r="X121" s="324"/>
      <c r="Y121" s="324"/>
      <c r="Z121" s="325"/>
      <c r="AA121" s="326"/>
      <c r="AB121" s="327">
        <f t="shared" si="81"/>
        <v>0</v>
      </c>
      <c r="AC121" s="328">
        <f t="shared" si="73"/>
        <v>0</v>
      </c>
      <c r="AD121" s="918"/>
      <c r="AE121" s="919"/>
      <c r="AF121" s="919"/>
      <c r="AG121" s="919"/>
      <c r="AH121" s="919"/>
      <c r="AI121" s="919"/>
      <c r="AJ121" s="919"/>
      <c r="AK121" s="919"/>
      <c r="AL121" s="919"/>
      <c r="AM121" s="930">
        <v>3</v>
      </c>
      <c r="AN121" s="919"/>
      <c r="AO121" s="920"/>
      <c r="AP121" s="917"/>
      <c r="AQ121" s="332">
        <f t="shared" si="82"/>
        <v>3</v>
      </c>
      <c r="AR121" s="333">
        <f t="shared" si="74"/>
        <v>20940</v>
      </c>
      <c r="AS121" s="939"/>
      <c r="AT121" s="944">
        <v>4</v>
      </c>
      <c r="AU121" s="940"/>
      <c r="AV121" s="940"/>
      <c r="AW121" s="940"/>
      <c r="AX121" s="940"/>
      <c r="AY121" s="940"/>
      <c r="AZ121" s="940"/>
      <c r="BA121" s="940"/>
      <c r="BB121" s="940"/>
      <c r="BC121" s="940"/>
      <c r="BD121" s="941"/>
      <c r="BE121" s="938"/>
      <c r="BF121" s="332">
        <f t="shared" si="83"/>
        <v>4</v>
      </c>
      <c r="BG121" s="333">
        <f t="shared" si="75"/>
        <v>27920</v>
      </c>
      <c r="BH121" s="329"/>
      <c r="BI121" s="330"/>
      <c r="BJ121" s="330"/>
      <c r="BK121" s="330"/>
      <c r="BL121" s="330"/>
      <c r="BM121" s="330"/>
      <c r="BN121" s="330"/>
      <c r="BO121" s="330"/>
      <c r="BP121" s="330"/>
      <c r="BQ121" s="330"/>
      <c r="BR121" s="330"/>
      <c r="BS121" s="331"/>
      <c r="BT121" s="326"/>
      <c r="BU121" s="332">
        <f t="shared" si="84"/>
        <v>0</v>
      </c>
      <c r="BV121" s="333">
        <f t="shared" si="76"/>
        <v>0</v>
      </c>
      <c r="BW121" s="329"/>
      <c r="BX121" s="330"/>
      <c r="BY121" s="330"/>
      <c r="BZ121" s="330"/>
      <c r="CA121" s="330"/>
      <c r="CB121" s="330"/>
      <c r="CC121" s="330"/>
      <c r="CD121" s="330"/>
      <c r="CE121" s="330"/>
      <c r="CF121" s="330"/>
      <c r="CG121" s="330"/>
      <c r="CH121" s="331"/>
      <c r="CI121" s="326"/>
      <c r="CJ121" s="332">
        <f t="shared" si="85"/>
        <v>0</v>
      </c>
      <c r="CK121" s="333">
        <f t="shared" si="77"/>
        <v>0</v>
      </c>
      <c r="CL121" s="334">
        <f t="shared" si="78"/>
        <v>0</v>
      </c>
      <c r="CM121" s="335">
        <f t="shared" si="79"/>
        <v>7</v>
      </c>
      <c r="CN121" s="336">
        <f t="shared" si="80"/>
        <v>48860</v>
      </c>
      <c r="CQ121" s="480"/>
    </row>
    <row r="122" spans="1:95" s="866" customFormat="1" ht="25.5" customHeight="1">
      <c r="A122" s="1068"/>
      <c r="B122" s="1049"/>
      <c r="C122" s="1049"/>
      <c r="D122" s="895"/>
      <c r="E122" s="867" t="s">
        <v>107</v>
      </c>
      <c r="F122" s="898"/>
      <c r="G122" s="899" t="s">
        <v>43</v>
      </c>
      <c r="H122" s="899" t="s">
        <v>61</v>
      </c>
      <c r="I122" s="907" t="s">
        <v>2051</v>
      </c>
      <c r="J122" s="674" t="s">
        <v>1990</v>
      </c>
      <c r="K122" s="883">
        <f>IFERROR(VLOOKUP(H122,справочник!$A$3:$B$12,2,0),"нет данных")</f>
        <v>15930</v>
      </c>
      <c r="L122" s="870"/>
      <c r="M122" s="885"/>
      <c r="N122" s="881">
        <f t="shared" ref="N122" si="254">IFERROR(ROUND((K122*M122+K122*L122),2),0)</f>
        <v>0</v>
      </c>
      <c r="O122" s="884"/>
      <c r="P122" s="882"/>
      <c r="Q122" s="882"/>
      <c r="R122" s="882"/>
      <c r="S122" s="882"/>
      <c r="T122" s="882"/>
      <c r="U122" s="868"/>
      <c r="V122" s="868"/>
      <c r="W122" s="868"/>
      <c r="X122" s="868"/>
      <c r="Y122" s="868"/>
      <c r="Z122" s="869"/>
      <c r="AA122" s="870"/>
      <c r="AB122" s="871">
        <f t="shared" ref="AB122" si="255">SUM(O122:Z122)</f>
        <v>0</v>
      </c>
      <c r="AC122" s="872">
        <f t="shared" ref="AC122" si="256">IFERROR(ROUND(($K122*AB122+$K122*AA122),2),0)</f>
        <v>0</v>
      </c>
      <c r="AD122" s="919"/>
      <c r="AE122" s="919"/>
      <c r="AF122" s="919"/>
      <c r="AG122" s="919"/>
      <c r="AH122" s="919"/>
      <c r="AI122" s="919"/>
      <c r="AJ122" s="919"/>
      <c r="AK122" s="919"/>
      <c r="AL122" s="920"/>
      <c r="AM122" s="936">
        <v>2</v>
      </c>
      <c r="AN122" s="921"/>
      <c r="AO122" s="922"/>
      <c r="AP122" s="923"/>
      <c r="AQ122" s="876">
        <f t="shared" ref="AQ122" si="257">SUM(AD122:AO122)</f>
        <v>2</v>
      </c>
      <c r="AR122" s="877">
        <f t="shared" ref="AR122" si="258">IFERROR(ROUND(($K122*AQ122+$K122*AP122),2),0)</f>
        <v>31860</v>
      </c>
      <c r="AS122" s="939"/>
      <c r="AT122" s="944">
        <v>3</v>
      </c>
      <c r="AU122" s="940"/>
      <c r="AV122" s="940"/>
      <c r="AW122" s="940"/>
      <c r="AX122" s="947">
        <v>2</v>
      </c>
      <c r="AY122" s="946">
        <v>2</v>
      </c>
      <c r="AZ122" s="946">
        <v>2</v>
      </c>
      <c r="BA122" s="946">
        <v>2</v>
      </c>
      <c r="BB122" s="940"/>
      <c r="BC122" s="940"/>
      <c r="BD122" s="941"/>
      <c r="BE122" s="938"/>
      <c r="BF122" s="876">
        <f t="shared" ref="BF122" si="259">SUM(AS122:BD122)</f>
        <v>11</v>
      </c>
      <c r="BG122" s="877">
        <f t="shared" ref="BG122" si="260">IFERROR(ROUND(($K122*BF122+$K122*BE122),2),0)</f>
        <v>175230</v>
      </c>
      <c r="BH122" s="873"/>
      <c r="BI122" s="874"/>
      <c r="BJ122" s="874"/>
      <c r="BK122" s="874"/>
      <c r="BL122" s="874"/>
      <c r="BM122" s="874"/>
      <c r="BN122" s="874"/>
      <c r="BO122" s="874"/>
      <c r="BP122" s="874"/>
      <c r="BQ122" s="874"/>
      <c r="BR122" s="874"/>
      <c r="BS122" s="875"/>
      <c r="BT122" s="870"/>
      <c r="BU122" s="876">
        <f t="shared" ref="BU122" si="261">SUM(BH122:BS122)</f>
        <v>0</v>
      </c>
      <c r="BV122" s="877">
        <f t="shared" ref="BV122" si="262">IFERROR(ROUND(($K122*BU122+$K122*BT122),2),0)</f>
        <v>0</v>
      </c>
      <c r="BW122" s="873"/>
      <c r="BX122" s="874"/>
      <c r="BY122" s="874"/>
      <c r="BZ122" s="874"/>
      <c r="CA122" s="874"/>
      <c r="CB122" s="874"/>
      <c r="CC122" s="874"/>
      <c r="CD122" s="874"/>
      <c r="CE122" s="874"/>
      <c r="CF122" s="874"/>
      <c r="CG122" s="874"/>
      <c r="CH122" s="875"/>
      <c r="CI122" s="870"/>
      <c r="CJ122" s="876">
        <f t="shared" ref="CJ122" si="263">SUM(BW122:CH122)</f>
        <v>0</v>
      </c>
      <c r="CK122" s="877">
        <f t="shared" ref="CK122" si="264">IFERROR(ROUND(($K122*CJ122+$K122*CI122),2),0)</f>
        <v>0</v>
      </c>
      <c r="CL122" s="878">
        <f t="shared" ref="CL122" si="265">AA122+AP122+L122+BE122+BT122+CI122</f>
        <v>0</v>
      </c>
      <c r="CM122" s="879">
        <f t="shared" ref="CM122" si="266">AB122+AQ122+M122+BF122+BU122+CJ122</f>
        <v>13</v>
      </c>
      <c r="CN122" s="880">
        <f t="shared" ref="CN122" si="267">AC122+AR122+N122+BG122+BV122+CK122</f>
        <v>207090</v>
      </c>
      <c r="CQ122" s="886"/>
    </row>
    <row r="123" spans="1:95" s="33" customFormat="1" ht="25.5" customHeight="1">
      <c r="A123" s="1052"/>
      <c r="B123" s="1050"/>
      <c r="C123" s="1050"/>
      <c r="D123" s="895" t="s">
        <v>2038</v>
      </c>
      <c r="E123" s="125" t="s">
        <v>107</v>
      </c>
      <c r="F123" s="898"/>
      <c r="G123" s="899" t="s">
        <v>1625</v>
      </c>
      <c r="H123" s="899" t="s">
        <v>58</v>
      </c>
      <c r="I123" s="902" t="s">
        <v>2055</v>
      </c>
      <c r="J123" s="674" t="s">
        <v>1990</v>
      </c>
      <c r="K123" s="374">
        <f>IFERROR(VLOOKUP(H123,справочник!$A$3:$B$12,2,0),"нет данных")</f>
        <v>6980</v>
      </c>
      <c r="L123" s="326"/>
      <c r="M123" s="399"/>
      <c r="N123" s="346">
        <f t="shared" si="72"/>
        <v>0</v>
      </c>
      <c r="O123" s="394"/>
      <c r="P123" s="352"/>
      <c r="Q123" s="352"/>
      <c r="R123" s="352"/>
      <c r="S123" s="352"/>
      <c r="T123" s="352"/>
      <c r="U123" s="324"/>
      <c r="V123" s="324"/>
      <c r="W123" s="324"/>
      <c r="X123" s="324"/>
      <c r="Y123" s="324"/>
      <c r="Z123" s="325"/>
      <c r="AA123" s="326"/>
      <c r="AB123" s="327">
        <f t="shared" si="81"/>
        <v>0</v>
      </c>
      <c r="AC123" s="328">
        <f t="shared" si="73"/>
        <v>0</v>
      </c>
      <c r="AD123" s="918"/>
      <c r="AE123" s="919"/>
      <c r="AF123" s="919"/>
      <c r="AG123" s="919"/>
      <c r="AH123" s="919"/>
      <c r="AI123" s="919"/>
      <c r="AJ123" s="919"/>
      <c r="AK123" s="919"/>
      <c r="AL123" s="919"/>
      <c r="AM123" s="930">
        <v>3</v>
      </c>
      <c r="AN123" s="919"/>
      <c r="AO123" s="920"/>
      <c r="AP123" s="917"/>
      <c r="AQ123" s="332">
        <f t="shared" si="82"/>
        <v>3</v>
      </c>
      <c r="AR123" s="333">
        <f t="shared" si="74"/>
        <v>20940</v>
      </c>
      <c r="AS123" s="939"/>
      <c r="AT123" s="944">
        <v>4</v>
      </c>
      <c r="AU123" s="940"/>
      <c r="AV123" s="940"/>
      <c r="AW123" s="940"/>
      <c r="AX123" s="940"/>
      <c r="AY123" s="940"/>
      <c r="AZ123" s="940"/>
      <c r="BA123" s="940"/>
      <c r="BB123" s="940"/>
      <c r="BC123" s="940"/>
      <c r="BD123" s="941"/>
      <c r="BE123" s="938"/>
      <c r="BF123" s="332">
        <f t="shared" si="83"/>
        <v>4</v>
      </c>
      <c r="BG123" s="333">
        <f t="shared" si="75"/>
        <v>27920</v>
      </c>
      <c r="BH123" s="329"/>
      <c r="BI123" s="330"/>
      <c r="BJ123" s="330"/>
      <c r="BK123" s="330"/>
      <c r="BL123" s="330"/>
      <c r="BM123" s="330"/>
      <c r="BN123" s="330"/>
      <c r="BO123" s="330"/>
      <c r="BP123" s="330"/>
      <c r="BQ123" s="330"/>
      <c r="BR123" s="330"/>
      <c r="BS123" s="331"/>
      <c r="BT123" s="326"/>
      <c r="BU123" s="332">
        <f t="shared" si="84"/>
        <v>0</v>
      </c>
      <c r="BV123" s="333">
        <f t="shared" si="76"/>
        <v>0</v>
      </c>
      <c r="BW123" s="329"/>
      <c r="BX123" s="330"/>
      <c r="BY123" s="330"/>
      <c r="BZ123" s="330"/>
      <c r="CA123" s="330"/>
      <c r="CB123" s="330"/>
      <c r="CC123" s="330"/>
      <c r="CD123" s="330"/>
      <c r="CE123" s="330"/>
      <c r="CF123" s="330"/>
      <c r="CG123" s="330"/>
      <c r="CH123" s="331"/>
      <c r="CI123" s="326"/>
      <c r="CJ123" s="332">
        <f t="shared" si="85"/>
        <v>0</v>
      </c>
      <c r="CK123" s="333">
        <f t="shared" si="77"/>
        <v>0</v>
      </c>
      <c r="CL123" s="334">
        <f t="shared" si="78"/>
        <v>0</v>
      </c>
      <c r="CM123" s="335">
        <f t="shared" si="79"/>
        <v>7</v>
      </c>
      <c r="CN123" s="336">
        <f t="shared" si="80"/>
        <v>48860</v>
      </c>
      <c r="CQ123" s="480"/>
    </row>
    <row r="124" spans="1:95" s="33" customFormat="1" ht="25.5" customHeight="1">
      <c r="A124" s="1051" t="s">
        <v>131</v>
      </c>
      <c r="B124" s="1048" t="s">
        <v>1504</v>
      </c>
      <c r="C124" s="1048" t="s">
        <v>1460</v>
      </c>
      <c r="D124" s="895"/>
      <c r="E124" s="125" t="s">
        <v>107</v>
      </c>
      <c r="F124" s="898"/>
      <c r="G124" s="899" t="s">
        <v>43</v>
      </c>
      <c r="H124" s="899" t="s">
        <v>61</v>
      </c>
      <c r="I124" s="902" t="s">
        <v>2052</v>
      </c>
      <c r="J124" s="674" t="s">
        <v>1990</v>
      </c>
      <c r="K124" s="374">
        <f>IFERROR(VLOOKUP(H124,справочник!$A$3:$B$12,2,0),"нет данных")</f>
        <v>15930</v>
      </c>
      <c r="L124" s="326"/>
      <c r="M124" s="399"/>
      <c r="N124" s="346">
        <f t="shared" si="72"/>
        <v>0</v>
      </c>
      <c r="O124" s="394"/>
      <c r="P124" s="352"/>
      <c r="Q124" s="352"/>
      <c r="R124" s="352"/>
      <c r="S124" s="352"/>
      <c r="T124" s="352"/>
      <c r="U124" s="324"/>
      <c r="V124" s="324"/>
      <c r="W124" s="324"/>
      <c r="X124" s="324"/>
      <c r="Y124" s="324"/>
      <c r="Z124" s="325"/>
      <c r="AA124" s="326"/>
      <c r="AB124" s="327">
        <f t="shared" si="81"/>
        <v>0</v>
      </c>
      <c r="AC124" s="328">
        <f t="shared" si="73"/>
        <v>0</v>
      </c>
      <c r="AD124" s="918"/>
      <c r="AE124" s="919"/>
      <c r="AF124" s="919"/>
      <c r="AG124" s="919"/>
      <c r="AH124" s="919"/>
      <c r="AI124" s="919"/>
      <c r="AJ124" s="919"/>
      <c r="AK124" s="919"/>
      <c r="AL124" s="919"/>
      <c r="AM124" s="919"/>
      <c r="AN124" s="919"/>
      <c r="AO124" s="920"/>
      <c r="AP124" s="917"/>
      <c r="AQ124" s="332">
        <f t="shared" si="82"/>
        <v>0</v>
      </c>
      <c r="AR124" s="333">
        <f t="shared" si="74"/>
        <v>0</v>
      </c>
      <c r="AS124" s="939"/>
      <c r="AT124" s="940"/>
      <c r="AU124" s="947">
        <v>10</v>
      </c>
      <c r="AV124" s="947">
        <v>7</v>
      </c>
      <c r="AW124" s="947">
        <v>16</v>
      </c>
      <c r="AX124" s="947">
        <v>14</v>
      </c>
      <c r="AY124" s="946">
        <v>13</v>
      </c>
      <c r="AZ124" s="946">
        <v>22</v>
      </c>
      <c r="BA124" s="946">
        <v>11</v>
      </c>
      <c r="BB124" s="946">
        <v>13</v>
      </c>
      <c r="BC124" s="940"/>
      <c r="BD124" s="941"/>
      <c r="BE124" s="938"/>
      <c r="BF124" s="332">
        <f t="shared" si="83"/>
        <v>106</v>
      </c>
      <c r="BG124" s="333">
        <f t="shared" si="75"/>
        <v>1688580</v>
      </c>
      <c r="BH124" s="329"/>
      <c r="BI124" s="330"/>
      <c r="BJ124" s="330"/>
      <c r="BK124" s="330"/>
      <c r="BL124" s="330"/>
      <c r="BM124" s="330"/>
      <c r="BN124" s="330"/>
      <c r="BO124" s="330"/>
      <c r="BP124" s="330"/>
      <c r="BQ124" s="330"/>
      <c r="BR124" s="330"/>
      <c r="BS124" s="331"/>
      <c r="BT124" s="326"/>
      <c r="BU124" s="332">
        <f t="shared" si="84"/>
        <v>0</v>
      </c>
      <c r="BV124" s="333">
        <f t="shared" si="76"/>
        <v>0</v>
      </c>
      <c r="BW124" s="329"/>
      <c r="BX124" s="330"/>
      <c r="BY124" s="330"/>
      <c r="BZ124" s="330"/>
      <c r="CA124" s="330"/>
      <c r="CB124" s="330"/>
      <c r="CC124" s="330"/>
      <c r="CD124" s="330"/>
      <c r="CE124" s="330"/>
      <c r="CF124" s="330"/>
      <c r="CG124" s="330"/>
      <c r="CH124" s="331"/>
      <c r="CI124" s="326"/>
      <c r="CJ124" s="332">
        <f t="shared" si="85"/>
        <v>0</v>
      </c>
      <c r="CK124" s="333">
        <f t="shared" si="77"/>
        <v>0</v>
      </c>
      <c r="CL124" s="334">
        <f t="shared" si="78"/>
        <v>0</v>
      </c>
      <c r="CM124" s="335">
        <f t="shared" si="79"/>
        <v>106</v>
      </c>
      <c r="CN124" s="336">
        <f t="shared" si="80"/>
        <v>1688580</v>
      </c>
      <c r="CQ124" s="480"/>
    </row>
    <row r="125" spans="1:95" s="866" customFormat="1" ht="25.5" customHeight="1">
      <c r="A125" s="1068"/>
      <c r="B125" s="1049"/>
      <c r="C125" s="1049"/>
      <c r="D125" s="895"/>
      <c r="E125" s="867" t="s">
        <v>107</v>
      </c>
      <c r="F125" s="898"/>
      <c r="G125" s="910" t="s">
        <v>43</v>
      </c>
      <c r="H125" s="910" t="s">
        <v>61</v>
      </c>
      <c r="I125" s="909" t="s">
        <v>2053</v>
      </c>
      <c r="J125" s="674" t="s">
        <v>1990</v>
      </c>
      <c r="K125" s="883">
        <f>IFERROR(VLOOKUP(H125,справочник!$A$3:$B$12,2,0),"нет данных")</f>
        <v>15930</v>
      </c>
      <c r="L125" s="870"/>
      <c r="M125" s="885"/>
      <c r="N125" s="881">
        <f t="shared" ref="N125" si="268">IFERROR(ROUND((K125*M125+K125*L125),2),0)</f>
        <v>0</v>
      </c>
      <c r="O125" s="884"/>
      <c r="P125" s="882"/>
      <c r="Q125" s="882"/>
      <c r="R125" s="882"/>
      <c r="S125" s="882"/>
      <c r="T125" s="882"/>
      <c r="U125" s="868"/>
      <c r="V125" s="868"/>
      <c r="W125" s="868"/>
      <c r="X125" s="868"/>
      <c r="Y125" s="868"/>
      <c r="Z125" s="869"/>
      <c r="AA125" s="870"/>
      <c r="AB125" s="871">
        <f t="shared" ref="AB125" si="269">SUM(O125:Z125)</f>
        <v>0</v>
      </c>
      <c r="AC125" s="872">
        <f t="shared" ref="AC125" si="270">IFERROR(ROUND(($K125*AB125+$K125*AA125),2),0)</f>
        <v>0</v>
      </c>
      <c r="AD125" s="918"/>
      <c r="AE125" s="919"/>
      <c r="AF125" s="919"/>
      <c r="AG125" s="919"/>
      <c r="AH125" s="919"/>
      <c r="AI125" s="919"/>
      <c r="AJ125" s="919"/>
      <c r="AK125" s="919"/>
      <c r="AL125" s="919"/>
      <c r="AM125" s="919"/>
      <c r="AN125" s="919"/>
      <c r="AO125" s="920"/>
      <c r="AP125" s="917"/>
      <c r="AQ125" s="876">
        <f t="shared" ref="AQ125" si="271">SUM(AD125:AO125)</f>
        <v>0</v>
      </c>
      <c r="AR125" s="877">
        <f t="shared" ref="AR125" si="272">IFERROR(ROUND(($K125*AQ125+$K125*AP125),2),0)</f>
        <v>0</v>
      </c>
      <c r="AS125" s="939"/>
      <c r="AT125" s="940"/>
      <c r="AU125" s="947">
        <v>10</v>
      </c>
      <c r="AV125" s="947">
        <v>7</v>
      </c>
      <c r="AW125" s="947">
        <v>16</v>
      </c>
      <c r="AX125" s="947">
        <v>14</v>
      </c>
      <c r="AY125" s="946">
        <v>13</v>
      </c>
      <c r="AZ125" s="946">
        <v>22</v>
      </c>
      <c r="BA125" s="946">
        <v>11</v>
      </c>
      <c r="BB125" s="946">
        <v>13</v>
      </c>
      <c r="BC125" s="940"/>
      <c r="BD125" s="941"/>
      <c r="BE125" s="938"/>
      <c r="BF125" s="876">
        <f t="shared" ref="BF125" si="273">SUM(AS125:BD125)</f>
        <v>106</v>
      </c>
      <c r="BG125" s="877">
        <f t="shared" ref="BG125" si="274">IFERROR(ROUND(($K125*BF125+$K125*BE125),2),0)</f>
        <v>1688580</v>
      </c>
      <c r="BH125" s="873"/>
      <c r="BI125" s="874"/>
      <c r="BJ125" s="874"/>
      <c r="BK125" s="874"/>
      <c r="BL125" s="874"/>
      <c r="BM125" s="874"/>
      <c r="BN125" s="874"/>
      <c r="BO125" s="874"/>
      <c r="BP125" s="874"/>
      <c r="BQ125" s="874"/>
      <c r="BR125" s="874"/>
      <c r="BS125" s="875"/>
      <c r="BT125" s="870"/>
      <c r="BU125" s="876">
        <f t="shared" ref="BU125" si="275">SUM(BH125:BS125)</f>
        <v>0</v>
      </c>
      <c r="BV125" s="877">
        <f t="shared" ref="BV125" si="276">IFERROR(ROUND(($K125*BU125+$K125*BT125),2),0)</f>
        <v>0</v>
      </c>
      <c r="BW125" s="873"/>
      <c r="BX125" s="874"/>
      <c r="BY125" s="874"/>
      <c r="BZ125" s="874"/>
      <c r="CA125" s="874"/>
      <c r="CB125" s="874"/>
      <c r="CC125" s="874"/>
      <c r="CD125" s="874"/>
      <c r="CE125" s="874"/>
      <c r="CF125" s="874"/>
      <c r="CG125" s="874"/>
      <c r="CH125" s="875"/>
      <c r="CI125" s="870"/>
      <c r="CJ125" s="876">
        <f t="shared" ref="CJ125" si="277">SUM(BW125:CH125)</f>
        <v>0</v>
      </c>
      <c r="CK125" s="877">
        <f t="shared" ref="CK125" si="278">IFERROR(ROUND(($K125*CJ125+$K125*CI125),2),0)</f>
        <v>0</v>
      </c>
      <c r="CL125" s="878">
        <f t="shared" ref="CL125" si="279">AA125+AP125+L125+BE125+BT125+CI125</f>
        <v>0</v>
      </c>
      <c r="CM125" s="879">
        <f t="shared" ref="CM125" si="280">AB125+AQ125+M125+BF125+BU125+CJ125</f>
        <v>106</v>
      </c>
      <c r="CN125" s="880">
        <f t="shared" ref="CN125" si="281">AC125+AR125+N125+BG125+BV125+CK125</f>
        <v>1688580</v>
      </c>
      <c r="CQ125" s="886"/>
    </row>
    <row r="126" spans="1:95" s="866" customFormat="1" ht="25.5" customHeight="1">
      <c r="A126" s="1068"/>
      <c r="B126" s="1049"/>
      <c r="C126" s="1049"/>
      <c r="D126" s="895"/>
      <c r="E126" s="867" t="s">
        <v>107</v>
      </c>
      <c r="F126" s="898"/>
      <c r="G126" s="899" t="s">
        <v>43</v>
      </c>
      <c r="H126" s="899" t="s">
        <v>1453</v>
      </c>
      <c r="I126" s="907" t="s">
        <v>2048</v>
      </c>
      <c r="J126" s="674" t="s">
        <v>1990</v>
      </c>
      <c r="K126" s="883">
        <f>IFERROR(VLOOKUP(H126,справочник!$A$3:$B$12,2,0),"нет данных")</f>
        <v>21520</v>
      </c>
      <c r="L126" s="870"/>
      <c r="M126" s="885"/>
      <c r="N126" s="881">
        <f t="shared" ref="N126" si="282">IFERROR(ROUND((K126*M126+K126*L126),2),0)</f>
        <v>0</v>
      </c>
      <c r="O126" s="884"/>
      <c r="P126" s="882"/>
      <c r="Q126" s="882"/>
      <c r="R126" s="882"/>
      <c r="S126" s="882"/>
      <c r="T126" s="882"/>
      <c r="U126" s="868"/>
      <c r="V126" s="868"/>
      <c r="W126" s="868"/>
      <c r="X126" s="868"/>
      <c r="Y126" s="868"/>
      <c r="Z126" s="869"/>
      <c r="AA126" s="870"/>
      <c r="AB126" s="871">
        <f t="shared" ref="AB126" si="283">SUM(O126:Z126)</f>
        <v>0</v>
      </c>
      <c r="AC126" s="872">
        <f t="shared" ref="AC126" si="284">IFERROR(ROUND(($K126*AB126+$K126*AA126),2),0)</f>
        <v>0</v>
      </c>
      <c r="AD126" s="918"/>
      <c r="AE126" s="919"/>
      <c r="AF126" s="919"/>
      <c r="AG126" s="919"/>
      <c r="AH126" s="919"/>
      <c r="AI126" s="919"/>
      <c r="AJ126" s="919"/>
      <c r="AK126" s="919"/>
      <c r="AL126" s="919"/>
      <c r="AM126" s="919"/>
      <c r="AN126" s="919"/>
      <c r="AO126" s="920"/>
      <c r="AP126" s="917"/>
      <c r="AQ126" s="876">
        <f t="shared" ref="AQ126" si="285">SUM(AD126:AO126)</f>
        <v>0</v>
      </c>
      <c r="AR126" s="877">
        <f t="shared" ref="AR126" si="286">IFERROR(ROUND(($K126*AQ126+$K126*AP126),2),0)</f>
        <v>0</v>
      </c>
      <c r="AS126" s="939"/>
      <c r="AT126" s="940"/>
      <c r="AU126" s="947">
        <v>5</v>
      </c>
      <c r="AV126" s="940"/>
      <c r="AW126" s="940"/>
      <c r="AX126" s="940"/>
      <c r="AY126" s="946">
        <v>5</v>
      </c>
      <c r="AZ126" s="940"/>
      <c r="BA126" s="940"/>
      <c r="BB126" s="940"/>
      <c r="BC126" s="940"/>
      <c r="BD126" s="941"/>
      <c r="BE126" s="938"/>
      <c r="BF126" s="876">
        <f t="shared" ref="BF126" si="287">SUM(AS126:BD126)</f>
        <v>10</v>
      </c>
      <c r="BG126" s="877">
        <f t="shared" ref="BG126" si="288">IFERROR(ROUND(($K126*BF126+$K126*BE126),2),0)</f>
        <v>215200</v>
      </c>
      <c r="BH126" s="873"/>
      <c r="BI126" s="874"/>
      <c r="BJ126" s="874"/>
      <c r="BK126" s="874"/>
      <c r="BL126" s="874"/>
      <c r="BM126" s="874"/>
      <c r="BN126" s="874"/>
      <c r="BO126" s="874"/>
      <c r="BP126" s="874"/>
      <c r="BQ126" s="874"/>
      <c r="BR126" s="874"/>
      <c r="BS126" s="875"/>
      <c r="BT126" s="870"/>
      <c r="BU126" s="876">
        <f t="shared" ref="BU126" si="289">SUM(BH126:BS126)</f>
        <v>0</v>
      </c>
      <c r="BV126" s="877">
        <f t="shared" ref="BV126" si="290">IFERROR(ROUND(($K126*BU126+$K126*BT126),2),0)</f>
        <v>0</v>
      </c>
      <c r="BW126" s="873"/>
      <c r="BX126" s="874"/>
      <c r="BY126" s="874"/>
      <c r="BZ126" s="874"/>
      <c r="CA126" s="874"/>
      <c r="CB126" s="874"/>
      <c r="CC126" s="874"/>
      <c r="CD126" s="874"/>
      <c r="CE126" s="874"/>
      <c r="CF126" s="874"/>
      <c r="CG126" s="874"/>
      <c r="CH126" s="875"/>
      <c r="CI126" s="870"/>
      <c r="CJ126" s="876">
        <f t="shared" ref="CJ126" si="291">SUM(BW126:CH126)</f>
        <v>0</v>
      </c>
      <c r="CK126" s="877">
        <f t="shared" ref="CK126" si="292">IFERROR(ROUND(($K126*CJ126+$K126*CI126),2),0)</f>
        <v>0</v>
      </c>
      <c r="CL126" s="878">
        <f t="shared" ref="CL126" si="293">AA126+AP126+L126+BE126+BT126+CI126</f>
        <v>0</v>
      </c>
      <c r="CM126" s="879">
        <f t="shared" ref="CM126" si="294">AB126+AQ126+M126+BF126+BU126+CJ126</f>
        <v>10</v>
      </c>
      <c r="CN126" s="880">
        <f t="shared" ref="CN126" si="295">AC126+AR126+N126+BG126+BV126+CK126</f>
        <v>215200</v>
      </c>
      <c r="CQ126" s="886"/>
    </row>
    <row r="127" spans="1:95" s="866" customFormat="1" ht="25.5" customHeight="1">
      <c r="A127" s="1068"/>
      <c r="B127" s="1049"/>
      <c r="C127" s="1049"/>
      <c r="D127" s="895" t="s">
        <v>2039</v>
      </c>
      <c r="E127" s="867" t="s">
        <v>107</v>
      </c>
      <c r="F127" s="898"/>
      <c r="G127" s="899" t="s">
        <v>1625</v>
      </c>
      <c r="H127" s="899" t="s">
        <v>58</v>
      </c>
      <c r="I127" s="902" t="s">
        <v>2054</v>
      </c>
      <c r="J127" s="674" t="s">
        <v>1990</v>
      </c>
      <c r="K127" s="883">
        <f>IFERROR(VLOOKUP(H127,справочник!$A$3:$B$12,2,0),"нет данных")</f>
        <v>6980</v>
      </c>
      <c r="L127" s="870"/>
      <c r="M127" s="885"/>
      <c r="N127" s="881">
        <f t="shared" ref="N127" si="296">IFERROR(ROUND((K127*M127+K127*L127),2),0)</f>
        <v>0</v>
      </c>
      <c r="O127" s="884"/>
      <c r="P127" s="882"/>
      <c r="Q127" s="882"/>
      <c r="R127" s="882"/>
      <c r="S127" s="882"/>
      <c r="T127" s="882"/>
      <c r="U127" s="868"/>
      <c r="V127" s="868"/>
      <c r="W127" s="868"/>
      <c r="X127" s="868"/>
      <c r="Y127" s="868"/>
      <c r="Z127" s="869"/>
      <c r="AA127" s="870"/>
      <c r="AB127" s="871">
        <f t="shared" ref="AB127" si="297">SUM(O127:Z127)</f>
        <v>0</v>
      </c>
      <c r="AC127" s="872">
        <f t="shared" ref="AC127" si="298">IFERROR(ROUND(($K127*AB127+$K127*AA127),2),0)</f>
        <v>0</v>
      </c>
      <c r="AD127" s="918"/>
      <c r="AE127" s="919"/>
      <c r="AF127" s="919"/>
      <c r="AG127" s="919"/>
      <c r="AH127" s="919"/>
      <c r="AI127" s="919"/>
      <c r="AJ127" s="919"/>
      <c r="AK127" s="919"/>
      <c r="AL127" s="919"/>
      <c r="AM127" s="919"/>
      <c r="AN127" s="932">
        <v>10</v>
      </c>
      <c r="AO127" s="933">
        <v>5</v>
      </c>
      <c r="AP127" s="917"/>
      <c r="AQ127" s="876">
        <f t="shared" ref="AQ127" si="299">SUM(AD127:AO127)</f>
        <v>15</v>
      </c>
      <c r="AR127" s="877">
        <f t="shared" ref="AR127" si="300">IFERROR(ROUND(($K127*AQ127+$K127*AP127),2),0)</f>
        <v>104700</v>
      </c>
      <c r="AS127" s="943">
        <v>12</v>
      </c>
      <c r="AT127" s="944">
        <v>10</v>
      </c>
      <c r="AU127" s="940"/>
      <c r="AV127" s="940"/>
      <c r="AW127" s="940"/>
      <c r="AX127" s="940"/>
      <c r="AY127" s="940"/>
      <c r="AZ127" s="940"/>
      <c r="BA127" s="940"/>
      <c r="BB127" s="940"/>
      <c r="BC127" s="940"/>
      <c r="BD127" s="941"/>
      <c r="BE127" s="938"/>
      <c r="BF127" s="876">
        <f t="shared" ref="BF127" si="301">SUM(AS127:BD127)</f>
        <v>22</v>
      </c>
      <c r="BG127" s="877">
        <f t="shared" ref="BG127" si="302">IFERROR(ROUND(($K127*BF127+$K127*BE127),2),0)</f>
        <v>153560</v>
      </c>
      <c r="BH127" s="873"/>
      <c r="BI127" s="874"/>
      <c r="BJ127" s="874"/>
      <c r="BK127" s="874"/>
      <c r="BL127" s="874"/>
      <c r="BM127" s="874"/>
      <c r="BN127" s="874"/>
      <c r="BO127" s="874"/>
      <c r="BP127" s="874"/>
      <c r="BQ127" s="874"/>
      <c r="BR127" s="874"/>
      <c r="BS127" s="875"/>
      <c r="BT127" s="870"/>
      <c r="BU127" s="876">
        <f t="shared" ref="BU127" si="303">SUM(BH127:BS127)</f>
        <v>0</v>
      </c>
      <c r="BV127" s="877">
        <f t="shared" ref="BV127" si="304">IFERROR(ROUND(($K127*BU127+$K127*BT127),2),0)</f>
        <v>0</v>
      </c>
      <c r="BW127" s="873"/>
      <c r="BX127" s="874"/>
      <c r="BY127" s="874"/>
      <c r="BZ127" s="874"/>
      <c r="CA127" s="874"/>
      <c r="CB127" s="874"/>
      <c r="CC127" s="874"/>
      <c r="CD127" s="874"/>
      <c r="CE127" s="874"/>
      <c r="CF127" s="874"/>
      <c r="CG127" s="874"/>
      <c r="CH127" s="875"/>
      <c r="CI127" s="870"/>
      <c r="CJ127" s="876">
        <f t="shared" ref="CJ127" si="305">SUM(BW127:CH127)</f>
        <v>0</v>
      </c>
      <c r="CK127" s="877">
        <f t="shared" ref="CK127" si="306">IFERROR(ROUND(($K127*CJ127+$K127*CI127),2),0)</f>
        <v>0</v>
      </c>
      <c r="CL127" s="878">
        <f t="shared" ref="CL127" si="307">AA127+AP127+L127+BE127+BT127+CI127</f>
        <v>0</v>
      </c>
      <c r="CM127" s="879">
        <f t="shared" ref="CM127" si="308">AB127+AQ127+M127+BF127+BU127+CJ127</f>
        <v>37</v>
      </c>
      <c r="CN127" s="880">
        <f t="shared" ref="CN127" si="309">AC127+AR127+N127+BG127+BV127+CK127</f>
        <v>258260</v>
      </c>
      <c r="CQ127" s="886"/>
    </row>
    <row r="128" spans="1:95" s="33" customFormat="1" ht="25.5" customHeight="1">
      <c r="A128" s="1052"/>
      <c r="B128" s="1050"/>
      <c r="C128" s="1050"/>
      <c r="D128" s="895" t="s">
        <v>2039</v>
      </c>
      <c r="E128" s="125" t="s">
        <v>107</v>
      </c>
      <c r="F128" s="898"/>
      <c r="G128" s="899" t="s">
        <v>1625</v>
      </c>
      <c r="H128" s="899" t="s">
        <v>58</v>
      </c>
      <c r="I128" s="902" t="s">
        <v>2055</v>
      </c>
      <c r="J128" s="674" t="s">
        <v>1990</v>
      </c>
      <c r="K128" s="374">
        <f>IFERROR(VLOOKUP(H128,справочник!$A$3:$B$12,2,0),"нет данных")</f>
        <v>6980</v>
      </c>
      <c r="L128" s="326"/>
      <c r="M128" s="399"/>
      <c r="N128" s="346">
        <f t="shared" si="72"/>
        <v>0</v>
      </c>
      <c r="O128" s="394"/>
      <c r="P128" s="352"/>
      <c r="Q128" s="352"/>
      <c r="R128" s="352"/>
      <c r="S128" s="352"/>
      <c r="T128" s="352"/>
      <c r="U128" s="324"/>
      <c r="V128" s="324"/>
      <c r="W128" s="324"/>
      <c r="X128" s="324"/>
      <c r="Y128" s="324"/>
      <c r="Z128" s="325"/>
      <c r="AA128" s="326"/>
      <c r="AB128" s="327">
        <f t="shared" si="81"/>
        <v>0</v>
      </c>
      <c r="AC128" s="328">
        <f t="shared" si="73"/>
        <v>0</v>
      </c>
      <c r="AD128" s="918"/>
      <c r="AE128" s="919"/>
      <c r="AF128" s="919"/>
      <c r="AG128" s="919"/>
      <c r="AH128" s="919"/>
      <c r="AI128" s="919"/>
      <c r="AJ128" s="919"/>
      <c r="AK128" s="919"/>
      <c r="AL128" s="919"/>
      <c r="AM128" s="919"/>
      <c r="AN128" s="932">
        <v>10</v>
      </c>
      <c r="AO128" s="933">
        <v>5</v>
      </c>
      <c r="AP128" s="917"/>
      <c r="AQ128" s="332">
        <f t="shared" si="82"/>
        <v>15</v>
      </c>
      <c r="AR128" s="333">
        <f t="shared" si="74"/>
        <v>104700</v>
      </c>
      <c r="AS128" s="943">
        <v>12</v>
      </c>
      <c r="AT128" s="944">
        <v>10</v>
      </c>
      <c r="AU128" s="940"/>
      <c r="AV128" s="940"/>
      <c r="AW128" s="940"/>
      <c r="AX128" s="940"/>
      <c r="AY128" s="940"/>
      <c r="AZ128" s="940"/>
      <c r="BA128" s="940"/>
      <c r="BB128" s="940"/>
      <c r="BC128" s="940"/>
      <c r="BD128" s="941"/>
      <c r="BE128" s="938"/>
      <c r="BF128" s="332">
        <f t="shared" si="83"/>
        <v>22</v>
      </c>
      <c r="BG128" s="333">
        <f t="shared" si="75"/>
        <v>153560</v>
      </c>
      <c r="BH128" s="329"/>
      <c r="BI128" s="330"/>
      <c r="BJ128" s="330"/>
      <c r="BK128" s="330"/>
      <c r="BL128" s="330"/>
      <c r="BM128" s="330"/>
      <c r="BN128" s="330"/>
      <c r="BO128" s="330"/>
      <c r="BP128" s="330"/>
      <c r="BQ128" s="330"/>
      <c r="BR128" s="330"/>
      <c r="BS128" s="331"/>
      <c r="BT128" s="326"/>
      <c r="BU128" s="332">
        <f t="shared" si="84"/>
        <v>0</v>
      </c>
      <c r="BV128" s="333">
        <f t="shared" si="76"/>
        <v>0</v>
      </c>
      <c r="BW128" s="329"/>
      <c r="BX128" s="330"/>
      <c r="BY128" s="330"/>
      <c r="BZ128" s="330"/>
      <c r="CA128" s="330"/>
      <c r="CB128" s="330"/>
      <c r="CC128" s="330"/>
      <c r="CD128" s="330"/>
      <c r="CE128" s="330"/>
      <c r="CF128" s="330"/>
      <c r="CG128" s="330"/>
      <c r="CH128" s="331"/>
      <c r="CI128" s="326"/>
      <c r="CJ128" s="332">
        <f t="shared" si="85"/>
        <v>0</v>
      </c>
      <c r="CK128" s="333">
        <f t="shared" si="77"/>
        <v>0</v>
      </c>
      <c r="CL128" s="334">
        <f t="shared" si="78"/>
        <v>0</v>
      </c>
      <c r="CM128" s="335">
        <f t="shared" si="79"/>
        <v>37</v>
      </c>
      <c r="CN128" s="336">
        <f t="shared" si="80"/>
        <v>258260</v>
      </c>
      <c r="CQ128" s="480"/>
    </row>
    <row r="129" spans="1:95" s="33" customFormat="1" ht="24.75" customHeight="1">
      <c r="A129" s="1051" t="s">
        <v>132</v>
      </c>
      <c r="B129" s="1048" t="s">
        <v>1505</v>
      </c>
      <c r="C129" s="1048" t="s">
        <v>89</v>
      </c>
      <c r="D129" s="895"/>
      <c r="E129" s="125" t="s">
        <v>107</v>
      </c>
      <c r="F129" s="898"/>
      <c r="G129" s="899"/>
      <c r="H129" s="899"/>
      <c r="I129" s="902"/>
      <c r="J129" s="674" t="s">
        <v>1990</v>
      </c>
      <c r="K129" s="374" t="str">
        <f>IFERROR(VLOOKUP(H129,справочник!$A$3:$B$12,2,0),"нет данных")</f>
        <v>нет данных</v>
      </c>
      <c r="L129" s="326"/>
      <c r="M129" s="399"/>
      <c r="N129" s="346">
        <f t="shared" si="72"/>
        <v>0</v>
      </c>
      <c r="O129" s="394"/>
      <c r="P129" s="352"/>
      <c r="Q129" s="352"/>
      <c r="R129" s="352"/>
      <c r="S129" s="352"/>
      <c r="T129" s="352"/>
      <c r="U129" s="324"/>
      <c r="V129" s="324"/>
      <c r="W129" s="324"/>
      <c r="X129" s="324"/>
      <c r="Y129" s="324"/>
      <c r="Z129" s="325"/>
      <c r="AA129" s="326"/>
      <c r="AB129" s="327">
        <f t="shared" si="81"/>
        <v>0</v>
      </c>
      <c r="AC129" s="328">
        <f t="shared" si="73"/>
        <v>0</v>
      </c>
      <c r="AD129" s="918"/>
      <c r="AE129" s="919"/>
      <c r="AF129" s="919"/>
      <c r="AG129" s="919"/>
      <c r="AH129" s="919"/>
      <c r="AI129" s="919"/>
      <c r="AJ129" s="919"/>
      <c r="AK129" s="919"/>
      <c r="AL129" s="919"/>
      <c r="AM129" s="919"/>
      <c r="AN129" s="919"/>
      <c r="AO129" s="920"/>
      <c r="AP129" s="917"/>
      <c r="AQ129" s="332">
        <f t="shared" si="82"/>
        <v>0</v>
      </c>
      <c r="AR129" s="333">
        <f t="shared" si="74"/>
        <v>0</v>
      </c>
      <c r="AS129" s="939"/>
      <c r="AT129" s="940"/>
      <c r="AU129" s="940"/>
      <c r="AV129" s="940"/>
      <c r="AW129" s="940"/>
      <c r="AX129" s="940"/>
      <c r="AY129" s="940"/>
      <c r="AZ129" s="940"/>
      <c r="BA129" s="940"/>
      <c r="BB129" s="940"/>
      <c r="BC129" s="940"/>
      <c r="BD129" s="941"/>
      <c r="BE129" s="938"/>
      <c r="BF129" s="332">
        <f t="shared" si="83"/>
        <v>0</v>
      </c>
      <c r="BG129" s="333">
        <f t="shared" si="75"/>
        <v>0</v>
      </c>
      <c r="BH129" s="329"/>
      <c r="BI129" s="330"/>
      <c r="BJ129" s="330"/>
      <c r="BK129" s="330"/>
      <c r="BL129" s="330"/>
      <c r="BM129" s="330"/>
      <c r="BN129" s="330"/>
      <c r="BO129" s="330"/>
      <c r="BP129" s="330"/>
      <c r="BQ129" s="330"/>
      <c r="BR129" s="330"/>
      <c r="BS129" s="331"/>
      <c r="BT129" s="326"/>
      <c r="BU129" s="332">
        <f t="shared" si="84"/>
        <v>0</v>
      </c>
      <c r="BV129" s="333">
        <f t="shared" si="76"/>
        <v>0</v>
      </c>
      <c r="BW129" s="329"/>
      <c r="BX129" s="330"/>
      <c r="BY129" s="330"/>
      <c r="BZ129" s="330"/>
      <c r="CA129" s="330"/>
      <c r="CB129" s="330"/>
      <c r="CC129" s="330"/>
      <c r="CD129" s="330"/>
      <c r="CE129" s="330"/>
      <c r="CF129" s="330"/>
      <c r="CG129" s="330"/>
      <c r="CH129" s="331"/>
      <c r="CI129" s="326"/>
      <c r="CJ129" s="332">
        <f t="shared" si="85"/>
        <v>0</v>
      </c>
      <c r="CK129" s="333">
        <f t="shared" si="77"/>
        <v>0</v>
      </c>
      <c r="CL129" s="334">
        <f t="shared" si="78"/>
        <v>0</v>
      </c>
      <c r="CM129" s="335">
        <f t="shared" si="79"/>
        <v>0</v>
      </c>
      <c r="CN129" s="336">
        <f t="shared" si="80"/>
        <v>0</v>
      </c>
      <c r="CQ129" s="480"/>
    </row>
    <row r="130" spans="1:95" s="33" customFormat="1" ht="24.75" customHeight="1">
      <c r="A130" s="1052"/>
      <c r="B130" s="1050"/>
      <c r="C130" s="1050"/>
      <c r="D130" s="895"/>
      <c r="E130" s="125" t="s">
        <v>107</v>
      </c>
      <c r="F130" s="898"/>
      <c r="G130" s="899"/>
      <c r="H130" s="899"/>
      <c r="I130" s="902"/>
      <c r="J130" s="674" t="s">
        <v>1990</v>
      </c>
      <c r="K130" s="374" t="str">
        <f>IFERROR(VLOOKUP(H130,справочник!$A$3:$B$12,2,0),"нет данных")</f>
        <v>нет данных</v>
      </c>
      <c r="L130" s="326"/>
      <c r="M130" s="399"/>
      <c r="N130" s="346">
        <f t="shared" si="72"/>
        <v>0</v>
      </c>
      <c r="O130" s="394"/>
      <c r="P130" s="352"/>
      <c r="Q130" s="352"/>
      <c r="R130" s="352"/>
      <c r="S130" s="352"/>
      <c r="T130" s="352"/>
      <c r="U130" s="324"/>
      <c r="V130" s="324"/>
      <c r="W130" s="324"/>
      <c r="X130" s="324"/>
      <c r="Y130" s="324"/>
      <c r="Z130" s="325"/>
      <c r="AA130" s="326"/>
      <c r="AB130" s="327">
        <f t="shared" si="81"/>
        <v>0</v>
      </c>
      <c r="AC130" s="328">
        <f t="shared" si="73"/>
        <v>0</v>
      </c>
      <c r="AD130" s="918"/>
      <c r="AE130" s="919"/>
      <c r="AF130" s="919"/>
      <c r="AG130" s="919"/>
      <c r="AH130" s="919"/>
      <c r="AI130" s="919"/>
      <c r="AJ130" s="919"/>
      <c r="AK130" s="919"/>
      <c r="AL130" s="919"/>
      <c r="AM130" s="919"/>
      <c r="AN130" s="919"/>
      <c r="AO130" s="920"/>
      <c r="AP130" s="917"/>
      <c r="AQ130" s="332">
        <f t="shared" si="82"/>
        <v>0</v>
      </c>
      <c r="AR130" s="333">
        <f t="shared" si="74"/>
        <v>0</v>
      </c>
      <c r="AS130" s="939"/>
      <c r="AT130" s="940"/>
      <c r="AU130" s="940"/>
      <c r="AV130" s="940"/>
      <c r="AW130" s="940"/>
      <c r="AX130" s="940"/>
      <c r="AY130" s="940"/>
      <c r="AZ130" s="940"/>
      <c r="BA130" s="940"/>
      <c r="BB130" s="940"/>
      <c r="BC130" s="940"/>
      <c r="BD130" s="941"/>
      <c r="BE130" s="938"/>
      <c r="BF130" s="332">
        <f t="shared" si="83"/>
        <v>0</v>
      </c>
      <c r="BG130" s="333">
        <f t="shared" si="75"/>
        <v>0</v>
      </c>
      <c r="BH130" s="329"/>
      <c r="BI130" s="330"/>
      <c r="BJ130" s="330"/>
      <c r="BK130" s="330"/>
      <c r="BL130" s="330"/>
      <c r="BM130" s="330"/>
      <c r="BN130" s="330"/>
      <c r="BO130" s="330"/>
      <c r="BP130" s="330"/>
      <c r="BQ130" s="330"/>
      <c r="BR130" s="330"/>
      <c r="BS130" s="331"/>
      <c r="BT130" s="326"/>
      <c r="BU130" s="332">
        <f t="shared" si="84"/>
        <v>0</v>
      </c>
      <c r="BV130" s="333">
        <f t="shared" si="76"/>
        <v>0</v>
      </c>
      <c r="BW130" s="329"/>
      <c r="BX130" s="330"/>
      <c r="BY130" s="330"/>
      <c r="BZ130" s="330"/>
      <c r="CA130" s="330"/>
      <c r="CB130" s="330"/>
      <c r="CC130" s="330"/>
      <c r="CD130" s="330"/>
      <c r="CE130" s="330"/>
      <c r="CF130" s="330"/>
      <c r="CG130" s="330"/>
      <c r="CH130" s="331"/>
      <c r="CI130" s="326"/>
      <c r="CJ130" s="332">
        <f t="shared" si="85"/>
        <v>0</v>
      </c>
      <c r="CK130" s="333">
        <f t="shared" si="77"/>
        <v>0</v>
      </c>
      <c r="CL130" s="334">
        <f t="shared" si="78"/>
        <v>0</v>
      </c>
      <c r="CM130" s="335">
        <f t="shared" si="79"/>
        <v>0</v>
      </c>
      <c r="CN130" s="336">
        <f t="shared" si="80"/>
        <v>0</v>
      </c>
      <c r="CQ130" s="480"/>
    </row>
    <row r="131" spans="1:95" s="33" customFormat="1" ht="24.75" customHeight="1">
      <c r="A131" s="1051" t="s">
        <v>133</v>
      </c>
      <c r="B131" s="1048" t="s">
        <v>1506</v>
      </c>
      <c r="C131" s="1048" t="s">
        <v>90</v>
      </c>
      <c r="D131" s="895"/>
      <c r="E131" s="125" t="s">
        <v>107</v>
      </c>
      <c r="F131" s="898"/>
      <c r="G131" s="899"/>
      <c r="H131" s="899"/>
      <c r="I131" s="902"/>
      <c r="J131" s="674" t="s">
        <v>1990</v>
      </c>
      <c r="K131" s="374" t="str">
        <f>IFERROR(VLOOKUP(H131,справочник!$A$3:$B$12,2,0),"нет данных")</f>
        <v>нет данных</v>
      </c>
      <c r="L131" s="326"/>
      <c r="M131" s="399"/>
      <c r="N131" s="346">
        <f t="shared" si="72"/>
        <v>0</v>
      </c>
      <c r="O131" s="394"/>
      <c r="P131" s="352"/>
      <c r="Q131" s="352"/>
      <c r="R131" s="352"/>
      <c r="S131" s="352"/>
      <c r="T131" s="352"/>
      <c r="U131" s="324"/>
      <c r="V131" s="324"/>
      <c r="W131" s="324"/>
      <c r="X131" s="324"/>
      <c r="Y131" s="324"/>
      <c r="Z131" s="325"/>
      <c r="AA131" s="326"/>
      <c r="AB131" s="327">
        <f t="shared" si="81"/>
        <v>0</v>
      </c>
      <c r="AC131" s="328">
        <f t="shared" si="73"/>
        <v>0</v>
      </c>
      <c r="AD131" s="918"/>
      <c r="AE131" s="919"/>
      <c r="AF131" s="919"/>
      <c r="AG131" s="919"/>
      <c r="AH131" s="919"/>
      <c r="AI131" s="919"/>
      <c r="AJ131" s="919"/>
      <c r="AK131" s="919"/>
      <c r="AL131" s="919"/>
      <c r="AM131" s="919"/>
      <c r="AN131" s="919"/>
      <c r="AO131" s="920"/>
      <c r="AP131" s="917"/>
      <c r="AQ131" s="332">
        <f t="shared" si="82"/>
        <v>0</v>
      </c>
      <c r="AR131" s="333">
        <f t="shared" si="74"/>
        <v>0</v>
      </c>
      <c r="AS131" s="939"/>
      <c r="AT131" s="940"/>
      <c r="AU131" s="940"/>
      <c r="AV131" s="940"/>
      <c r="AW131" s="940"/>
      <c r="AX131" s="940"/>
      <c r="AY131" s="940"/>
      <c r="AZ131" s="940"/>
      <c r="BA131" s="940"/>
      <c r="BB131" s="940"/>
      <c r="BC131" s="940"/>
      <c r="BD131" s="941"/>
      <c r="BE131" s="938"/>
      <c r="BF131" s="332">
        <f t="shared" si="83"/>
        <v>0</v>
      </c>
      <c r="BG131" s="333">
        <f t="shared" si="75"/>
        <v>0</v>
      </c>
      <c r="BH131" s="329"/>
      <c r="BI131" s="330"/>
      <c r="BJ131" s="330"/>
      <c r="BK131" s="330"/>
      <c r="BL131" s="330"/>
      <c r="BM131" s="330"/>
      <c r="BN131" s="330"/>
      <c r="BO131" s="330"/>
      <c r="BP131" s="330"/>
      <c r="BQ131" s="330"/>
      <c r="BR131" s="330"/>
      <c r="BS131" s="331"/>
      <c r="BT131" s="326"/>
      <c r="BU131" s="332">
        <f t="shared" si="84"/>
        <v>0</v>
      </c>
      <c r="BV131" s="333">
        <f t="shared" si="76"/>
        <v>0</v>
      </c>
      <c r="BW131" s="329"/>
      <c r="BX131" s="330"/>
      <c r="BY131" s="330"/>
      <c r="BZ131" s="330"/>
      <c r="CA131" s="330"/>
      <c r="CB131" s="330"/>
      <c r="CC131" s="330"/>
      <c r="CD131" s="330"/>
      <c r="CE131" s="330"/>
      <c r="CF131" s="330"/>
      <c r="CG131" s="330"/>
      <c r="CH131" s="331"/>
      <c r="CI131" s="326"/>
      <c r="CJ131" s="332">
        <f t="shared" si="85"/>
        <v>0</v>
      </c>
      <c r="CK131" s="333">
        <f t="shared" si="77"/>
        <v>0</v>
      </c>
      <c r="CL131" s="334">
        <f t="shared" si="78"/>
        <v>0</v>
      </c>
      <c r="CM131" s="335">
        <f t="shared" si="79"/>
        <v>0</v>
      </c>
      <c r="CN131" s="336">
        <f t="shared" si="80"/>
        <v>0</v>
      </c>
      <c r="CQ131" s="480"/>
    </row>
    <row r="132" spans="1:95" s="33" customFormat="1" ht="24.75" customHeight="1">
      <c r="A132" s="1052"/>
      <c r="B132" s="1050"/>
      <c r="C132" s="1050"/>
      <c r="D132" s="895"/>
      <c r="E132" s="125" t="s">
        <v>107</v>
      </c>
      <c r="F132" s="898"/>
      <c r="G132" s="899"/>
      <c r="H132" s="899"/>
      <c r="I132" s="902"/>
      <c r="J132" s="674" t="s">
        <v>1990</v>
      </c>
      <c r="K132" s="374" t="str">
        <f>IFERROR(VLOOKUP(H132,справочник!$A$3:$B$12,2,0),"нет данных")</f>
        <v>нет данных</v>
      </c>
      <c r="L132" s="326"/>
      <c r="M132" s="399"/>
      <c r="N132" s="346">
        <f t="shared" si="72"/>
        <v>0</v>
      </c>
      <c r="O132" s="394"/>
      <c r="P132" s="352"/>
      <c r="Q132" s="352"/>
      <c r="R132" s="352"/>
      <c r="S132" s="352"/>
      <c r="T132" s="352"/>
      <c r="U132" s="324"/>
      <c r="V132" s="324"/>
      <c r="W132" s="324"/>
      <c r="X132" s="324"/>
      <c r="Y132" s="324"/>
      <c r="Z132" s="325"/>
      <c r="AA132" s="326"/>
      <c r="AB132" s="327">
        <f t="shared" si="81"/>
        <v>0</v>
      </c>
      <c r="AC132" s="328">
        <f t="shared" si="73"/>
        <v>0</v>
      </c>
      <c r="AD132" s="918"/>
      <c r="AE132" s="919"/>
      <c r="AF132" s="919"/>
      <c r="AG132" s="919"/>
      <c r="AH132" s="919"/>
      <c r="AI132" s="919"/>
      <c r="AJ132" s="919"/>
      <c r="AK132" s="919"/>
      <c r="AL132" s="919"/>
      <c r="AM132" s="919"/>
      <c r="AN132" s="919"/>
      <c r="AO132" s="920"/>
      <c r="AP132" s="917"/>
      <c r="AQ132" s="332">
        <f t="shared" si="82"/>
        <v>0</v>
      </c>
      <c r="AR132" s="333">
        <f t="shared" si="74"/>
        <v>0</v>
      </c>
      <c r="AS132" s="939"/>
      <c r="AT132" s="940"/>
      <c r="AU132" s="940"/>
      <c r="AV132" s="940"/>
      <c r="AW132" s="940"/>
      <c r="AX132" s="940"/>
      <c r="AY132" s="940"/>
      <c r="AZ132" s="940"/>
      <c r="BA132" s="940"/>
      <c r="BB132" s="940"/>
      <c r="BC132" s="940"/>
      <c r="BD132" s="941"/>
      <c r="BE132" s="938"/>
      <c r="BF132" s="332">
        <f t="shared" si="83"/>
        <v>0</v>
      </c>
      <c r="BG132" s="333">
        <f t="shared" si="75"/>
        <v>0</v>
      </c>
      <c r="BH132" s="329"/>
      <c r="BI132" s="330"/>
      <c r="BJ132" s="330"/>
      <c r="BK132" s="330"/>
      <c r="BL132" s="330"/>
      <c r="BM132" s="330"/>
      <c r="BN132" s="330"/>
      <c r="BO132" s="330"/>
      <c r="BP132" s="330"/>
      <c r="BQ132" s="330"/>
      <c r="BR132" s="330"/>
      <c r="BS132" s="331"/>
      <c r="BT132" s="326"/>
      <c r="BU132" s="332">
        <f t="shared" si="84"/>
        <v>0</v>
      </c>
      <c r="BV132" s="333">
        <f t="shared" si="76"/>
        <v>0</v>
      </c>
      <c r="BW132" s="329"/>
      <c r="BX132" s="330"/>
      <c r="BY132" s="330"/>
      <c r="BZ132" s="330"/>
      <c r="CA132" s="330"/>
      <c r="CB132" s="330"/>
      <c r="CC132" s="330"/>
      <c r="CD132" s="330"/>
      <c r="CE132" s="330"/>
      <c r="CF132" s="330"/>
      <c r="CG132" s="330"/>
      <c r="CH132" s="331"/>
      <c r="CI132" s="326"/>
      <c r="CJ132" s="332">
        <f t="shared" si="85"/>
        <v>0</v>
      </c>
      <c r="CK132" s="333">
        <f t="shared" si="77"/>
        <v>0</v>
      </c>
      <c r="CL132" s="334">
        <f t="shared" si="78"/>
        <v>0</v>
      </c>
      <c r="CM132" s="335">
        <f t="shared" si="79"/>
        <v>0</v>
      </c>
      <c r="CN132" s="336">
        <f t="shared" si="80"/>
        <v>0</v>
      </c>
      <c r="CQ132" s="480"/>
    </row>
    <row r="133" spans="1:95" s="33" customFormat="1" ht="24.75" customHeight="1">
      <c r="A133" s="1051" t="s">
        <v>134</v>
      </c>
      <c r="B133" s="1048" t="s">
        <v>1507</v>
      </c>
      <c r="C133" s="1048" t="s">
        <v>91</v>
      </c>
      <c r="D133" s="895"/>
      <c r="E133" s="125" t="s">
        <v>107</v>
      </c>
      <c r="F133" s="898"/>
      <c r="G133" s="899" t="s">
        <v>43</v>
      </c>
      <c r="H133" s="899" t="s">
        <v>61</v>
      </c>
      <c r="I133" s="902" t="s">
        <v>2052</v>
      </c>
      <c r="J133" s="674" t="s">
        <v>1990</v>
      </c>
      <c r="K133" s="374">
        <f>IFERROR(VLOOKUP(H133,справочник!$A$3:$B$12,2,0),"нет данных")</f>
        <v>15930</v>
      </c>
      <c r="L133" s="326"/>
      <c r="M133" s="399"/>
      <c r="N133" s="346">
        <f t="shared" si="72"/>
        <v>0</v>
      </c>
      <c r="O133" s="394"/>
      <c r="P133" s="352"/>
      <c r="Q133" s="352"/>
      <c r="R133" s="352"/>
      <c r="S133" s="352"/>
      <c r="T133" s="352"/>
      <c r="U133" s="324"/>
      <c r="V133" s="324"/>
      <c r="W133" s="324"/>
      <c r="X133" s="324"/>
      <c r="Y133" s="324"/>
      <c r="Z133" s="325"/>
      <c r="AA133" s="326"/>
      <c r="AB133" s="327">
        <f t="shared" si="81"/>
        <v>0</v>
      </c>
      <c r="AC133" s="328">
        <f t="shared" si="73"/>
        <v>0</v>
      </c>
      <c r="AD133" s="918"/>
      <c r="AE133" s="919"/>
      <c r="AF133" s="919"/>
      <c r="AG133" s="919"/>
      <c r="AH133" s="919"/>
      <c r="AI133" s="919"/>
      <c r="AJ133" s="919"/>
      <c r="AK133" s="919"/>
      <c r="AL133" s="919"/>
      <c r="AM133" s="919"/>
      <c r="AN133" s="919"/>
      <c r="AO133" s="920"/>
      <c r="AP133" s="917"/>
      <c r="AQ133" s="332">
        <f t="shared" si="82"/>
        <v>0</v>
      </c>
      <c r="AR133" s="333">
        <f t="shared" si="74"/>
        <v>0</v>
      </c>
      <c r="AS133" s="943">
        <v>5</v>
      </c>
      <c r="AT133" s="944">
        <v>3</v>
      </c>
      <c r="AU133" s="940"/>
      <c r="AV133" s="940"/>
      <c r="AW133" s="940"/>
      <c r="AX133" s="940"/>
      <c r="AY133" s="940"/>
      <c r="AZ133" s="940"/>
      <c r="BA133" s="940"/>
      <c r="BB133" s="940"/>
      <c r="BC133" s="940"/>
      <c r="BD133" s="941"/>
      <c r="BE133" s="938"/>
      <c r="BF133" s="332">
        <f t="shared" si="83"/>
        <v>8</v>
      </c>
      <c r="BG133" s="333">
        <f t="shared" si="75"/>
        <v>127440</v>
      </c>
      <c r="BH133" s="329"/>
      <c r="BI133" s="330"/>
      <c r="BJ133" s="330"/>
      <c r="BK133" s="330"/>
      <c r="BL133" s="330"/>
      <c r="BM133" s="330"/>
      <c r="BN133" s="330"/>
      <c r="BO133" s="330"/>
      <c r="BP133" s="330"/>
      <c r="BQ133" s="330"/>
      <c r="BR133" s="330"/>
      <c r="BS133" s="331"/>
      <c r="BT133" s="326"/>
      <c r="BU133" s="332">
        <f t="shared" si="84"/>
        <v>0</v>
      </c>
      <c r="BV133" s="333">
        <f t="shared" si="76"/>
        <v>0</v>
      </c>
      <c r="BW133" s="329"/>
      <c r="BX133" s="330"/>
      <c r="BY133" s="330"/>
      <c r="BZ133" s="330"/>
      <c r="CA133" s="330"/>
      <c r="CB133" s="330"/>
      <c r="CC133" s="330"/>
      <c r="CD133" s="330"/>
      <c r="CE133" s="330"/>
      <c r="CF133" s="330"/>
      <c r="CG133" s="330"/>
      <c r="CH133" s="331"/>
      <c r="CI133" s="326"/>
      <c r="CJ133" s="332">
        <f t="shared" si="85"/>
        <v>0</v>
      </c>
      <c r="CK133" s="333">
        <f t="shared" si="77"/>
        <v>0</v>
      </c>
      <c r="CL133" s="334">
        <f t="shared" si="78"/>
        <v>0</v>
      </c>
      <c r="CM133" s="335">
        <f t="shared" si="79"/>
        <v>8</v>
      </c>
      <c r="CN133" s="336">
        <f t="shared" si="80"/>
        <v>127440</v>
      </c>
      <c r="CQ133" s="480"/>
    </row>
    <row r="134" spans="1:95" s="33" customFormat="1" ht="24.75" customHeight="1">
      <c r="A134" s="1052"/>
      <c r="B134" s="1050"/>
      <c r="C134" s="1050"/>
      <c r="D134" s="895"/>
      <c r="E134" s="125" t="s">
        <v>107</v>
      </c>
      <c r="F134" s="898"/>
      <c r="G134" s="910" t="s">
        <v>43</v>
      </c>
      <c r="H134" s="910" t="s">
        <v>61</v>
      </c>
      <c r="I134" s="909" t="s">
        <v>2053</v>
      </c>
      <c r="J134" s="674" t="s">
        <v>1990</v>
      </c>
      <c r="K134" s="374">
        <f>IFERROR(VLOOKUP(H134,справочник!$A$3:$B$12,2,0),"нет данных")</f>
        <v>15930</v>
      </c>
      <c r="L134" s="326"/>
      <c r="M134" s="399"/>
      <c r="N134" s="346">
        <f t="shared" si="72"/>
        <v>0</v>
      </c>
      <c r="O134" s="394"/>
      <c r="P134" s="352"/>
      <c r="Q134" s="352"/>
      <c r="R134" s="352"/>
      <c r="S134" s="352"/>
      <c r="T134" s="352"/>
      <c r="U134" s="324"/>
      <c r="V134" s="324"/>
      <c r="W134" s="324"/>
      <c r="X134" s="324"/>
      <c r="Y134" s="324"/>
      <c r="Z134" s="325"/>
      <c r="AA134" s="326"/>
      <c r="AB134" s="327">
        <f t="shared" si="81"/>
        <v>0</v>
      </c>
      <c r="AC134" s="328">
        <f t="shared" si="73"/>
        <v>0</v>
      </c>
      <c r="AD134" s="918"/>
      <c r="AE134" s="919"/>
      <c r="AF134" s="919"/>
      <c r="AG134" s="919"/>
      <c r="AH134" s="919"/>
      <c r="AI134" s="919"/>
      <c r="AJ134" s="919"/>
      <c r="AK134" s="919"/>
      <c r="AL134" s="919"/>
      <c r="AM134" s="919"/>
      <c r="AN134" s="919"/>
      <c r="AO134" s="920"/>
      <c r="AP134" s="917"/>
      <c r="AQ134" s="332">
        <f t="shared" si="82"/>
        <v>0</v>
      </c>
      <c r="AR134" s="333">
        <f t="shared" si="74"/>
        <v>0</v>
      </c>
      <c r="AS134" s="943">
        <v>7</v>
      </c>
      <c r="AT134" s="944">
        <v>3</v>
      </c>
      <c r="AU134" s="940"/>
      <c r="AV134" s="940"/>
      <c r="AW134" s="940"/>
      <c r="AX134" s="940"/>
      <c r="AY134" s="940"/>
      <c r="AZ134" s="940"/>
      <c r="BA134" s="940"/>
      <c r="BB134" s="940"/>
      <c r="BC134" s="940"/>
      <c r="BD134" s="941"/>
      <c r="BE134" s="938"/>
      <c r="BF134" s="332">
        <f t="shared" si="83"/>
        <v>10</v>
      </c>
      <c r="BG134" s="333">
        <f t="shared" si="75"/>
        <v>159300</v>
      </c>
      <c r="BH134" s="329"/>
      <c r="BI134" s="330"/>
      <c r="BJ134" s="330"/>
      <c r="BK134" s="330"/>
      <c r="BL134" s="330"/>
      <c r="BM134" s="330"/>
      <c r="BN134" s="330"/>
      <c r="BO134" s="330"/>
      <c r="BP134" s="330"/>
      <c r="BQ134" s="330"/>
      <c r="BR134" s="330"/>
      <c r="BS134" s="331"/>
      <c r="BT134" s="326"/>
      <c r="BU134" s="332">
        <f t="shared" si="84"/>
        <v>0</v>
      </c>
      <c r="BV134" s="333">
        <f t="shared" si="76"/>
        <v>0</v>
      </c>
      <c r="BW134" s="329"/>
      <c r="BX134" s="330"/>
      <c r="BY134" s="330"/>
      <c r="BZ134" s="330"/>
      <c r="CA134" s="330"/>
      <c r="CB134" s="330"/>
      <c r="CC134" s="330"/>
      <c r="CD134" s="330"/>
      <c r="CE134" s="330"/>
      <c r="CF134" s="330"/>
      <c r="CG134" s="330"/>
      <c r="CH134" s="331"/>
      <c r="CI134" s="326"/>
      <c r="CJ134" s="332">
        <f t="shared" si="85"/>
        <v>0</v>
      </c>
      <c r="CK134" s="333">
        <f t="shared" si="77"/>
        <v>0</v>
      </c>
      <c r="CL134" s="334">
        <f t="shared" si="78"/>
        <v>0</v>
      </c>
      <c r="CM134" s="335">
        <f t="shared" si="79"/>
        <v>10</v>
      </c>
      <c r="CN134" s="336">
        <f t="shared" si="80"/>
        <v>159300</v>
      </c>
      <c r="CQ134" s="480"/>
    </row>
    <row r="135" spans="1:95" s="33" customFormat="1" ht="24.75" customHeight="1">
      <c r="A135" s="1051" t="s">
        <v>135</v>
      </c>
      <c r="B135" s="1048" t="s">
        <v>1586</v>
      </c>
      <c r="C135" s="1048" t="s">
        <v>1587</v>
      </c>
      <c r="D135" s="895" t="s">
        <v>2040</v>
      </c>
      <c r="E135" s="125" t="s">
        <v>107</v>
      </c>
      <c r="F135" s="898"/>
      <c r="G135" s="899" t="s">
        <v>43</v>
      </c>
      <c r="H135" s="899" t="s">
        <v>61</v>
      </c>
      <c r="I135" s="902" t="s">
        <v>2052</v>
      </c>
      <c r="J135" s="674" t="s">
        <v>1990</v>
      </c>
      <c r="K135" s="374">
        <f>IFERROR(VLOOKUP(H135,справочник!$A$3:$B$12,2,0),"нет данных")</f>
        <v>15930</v>
      </c>
      <c r="L135" s="326"/>
      <c r="M135" s="399"/>
      <c r="N135" s="346">
        <f t="shared" si="72"/>
        <v>0</v>
      </c>
      <c r="O135" s="394"/>
      <c r="P135" s="352"/>
      <c r="Q135" s="352"/>
      <c r="R135" s="352"/>
      <c r="S135" s="352"/>
      <c r="T135" s="352"/>
      <c r="U135" s="324"/>
      <c r="V135" s="324"/>
      <c r="W135" s="324"/>
      <c r="X135" s="324"/>
      <c r="Y135" s="324"/>
      <c r="Z135" s="325"/>
      <c r="AA135" s="326"/>
      <c r="AB135" s="327">
        <f t="shared" si="81"/>
        <v>0</v>
      </c>
      <c r="AC135" s="328">
        <f t="shared" si="73"/>
        <v>0</v>
      </c>
      <c r="AD135" s="918"/>
      <c r="AE135" s="919"/>
      <c r="AF135" s="919"/>
      <c r="AG135" s="919"/>
      <c r="AH135" s="919"/>
      <c r="AI135" s="919"/>
      <c r="AJ135" s="919"/>
      <c r="AK135" s="919"/>
      <c r="AL135" s="919"/>
      <c r="AM135" s="919"/>
      <c r="AN135" s="932">
        <v>8</v>
      </c>
      <c r="AO135" s="933">
        <v>11</v>
      </c>
      <c r="AP135" s="917"/>
      <c r="AQ135" s="332">
        <f t="shared" si="82"/>
        <v>19</v>
      </c>
      <c r="AR135" s="333">
        <f t="shared" si="74"/>
        <v>302670</v>
      </c>
      <c r="AS135" s="943">
        <v>5</v>
      </c>
      <c r="AT135" s="944">
        <v>4</v>
      </c>
      <c r="AU135" s="940"/>
      <c r="AV135" s="940"/>
      <c r="AW135" s="940"/>
      <c r="AX135" s="940"/>
      <c r="AY135" s="940"/>
      <c r="AZ135" s="940"/>
      <c r="BA135" s="940"/>
      <c r="BB135" s="940"/>
      <c r="BC135" s="940"/>
      <c r="BD135" s="941"/>
      <c r="BE135" s="938"/>
      <c r="BF135" s="332">
        <f t="shared" si="83"/>
        <v>9</v>
      </c>
      <c r="BG135" s="333">
        <f t="shared" si="75"/>
        <v>143370</v>
      </c>
      <c r="BH135" s="329"/>
      <c r="BI135" s="330"/>
      <c r="BJ135" s="330"/>
      <c r="BK135" s="330"/>
      <c r="BL135" s="330"/>
      <c r="BM135" s="330"/>
      <c r="BN135" s="330"/>
      <c r="BO135" s="330"/>
      <c r="BP135" s="330"/>
      <c r="BQ135" s="330"/>
      <c r="BR135" s="330"/>
      <c r="BS135" s="331"/>
      <c r="BT135" s="326"/>
      <c r="BU135" s="332">
        <f t="shared" si="84"/>
        <v>0</v>
      </c>
      <c r="BV135" s="333">
        <f t="shared" si="76"/>
        <v>0</v>
      </c>
      <c r="BW135" s="329"/>
      <c r="BX135" s="330"/>
      <c r="BY135" s="330"/>
      <c r="BZ135" s="330"/>
      <c r="CA135" s="330"/>
      <c r="CB135" s="330"/>
      <c r="CC135" s="330"/>
      <c r="CD135" s="330"/>
      <c r="CE135" s="330"/>
      <c r="CF135" s="330"/>
      <c r="CG135" s="330"/>
      <c r="CH135" s="331"/>
      <c r="CI135" s="326"/>
      <c r="CJ135" s="332">
        <f t="shared" si="85"/>
        <v>0</v>
      </c>
      <c r="CK135" s="333">
        <f t="shared" si="77"/>
        <v>0</v>
      </c>
      <c r="CL135" s="334">
        <f t="shared" si="78"/>
        <v>0</v>
      </c>
      <c r="CM135" s="335">
        <f t="shared" si="79"/>
        <v>28</v>
      </c>
      <c r="CN135" s="336">
        <f t="shared" si="80"/>
        <v>446040</v>
      </c>
      <c r="CQ135" s="480"/>
    </row>
    <row r="136" spans="1:95" s="866" customFormat="1" ht="24.75" customHeight="1">
      <c r="A136" s="1068"/>
      <c r="B136" s="1049"/>
      <c r="C136" s="1049"/>
      <c r="D136" s="895"/>
      <c r="E136" s="867" t="s">
        <v>107</v>
      </c>
      <c r="F136" s="898"/>
      <c r="G136" s="910" t="s">
        <v>43</v>
      </c>
      <c r="H136" s="910" t="s">
        <v>61</v>
      </c>
      <c r="I136" s="909" t="s">
        <v>2053</v>
      </c>
      <c r="J136" s="674" t="s">
        <v>1990</v>
      </c>
      <c r="K136" s="883">
        <f>IFERROR(VLOOKUP(H136,справочник!$A$3:$B$12,2,0),"нет данных")</f>
        <v>15930</v>
      </c>
      <c r="L136" s="870"/>
      <c r="M136" s="885"/>
      <c r="N136" s="881">
        <f t="shared" ref="N136" si="310">IFERROR(ROUND((K136*M136+K136*L136),2),0)</f>
        <v>0</v>
      </c>
      <c r="O136" s="884"/>
      <c r="P136" s="882"/>
      <c r="Q136" s="882"/>
      <c r="R136" s="882"/>
      <c r="S136" s="882"/>
      <c r="T136" s="882"/>
      <c r="U136" s="868"/>
      <c r="V136" s="868"/>
      <c r="W136" s="868"/>
      <c r="X136" s="868"/>
      <c r="Y136" s="868"/>
      <c r="Z136" s="869"/>
      <c r="AA136" s="870"/>
      <c r="AB136" s="871">
        <f t="shared" ref="AB136" si="311">SUM(O136:Z136)</f>
        <v>0</v>
      </c>
      <c r="AC136" s="872">
        <f t="shared" ref="AC136" si="312">IFERROR(ROUND(($K136*AB136+$K136*AA136),2),0)</f>
        <v>0</v>
      </c>
      <c r="AD136" s="918"/>
      <c r="AE136" s="919"/>
      <c r="AF136" s="919"/>
      <c r="AG136" s="919"/>
      <c r="AH136" s="919"/>
      <c r="AI136" s="919"/>
      <c r="AJ136" s="919"/>
      <c r="AK136" s="919"/>
      <c r="AL136" s="919"/>
      <c r="AM136" s="919"/>
      <c r="AN136" s="932">
        <v>8</v>
      </c>
      <c r="AO136" s="933">
        <v>11</v>
      </c>
      <c r="AP136" s="917"/>
      <c r="AQ136" s="876">
        <f t="shared" ref="AQ136" si="313">SUM(AD136:AO136)</f>
        <v>19</v>
      </c>
      <c r="AR136" s="877">
        <f t="shared" ref="AR136" si="314">IFERROR(ROUND(($K136*AQ136+$K136*AP136),2),0)</f>
        <v>302670</v>
      </c>
      <c r="AS136" s="943">
        <v>5</v>
      </c>
      <c r="AT136" s="944">
        <v>3</v>
      </c>
      <c r="AU136" s="940"/>
      <c r="AV136" s="940"/>
      <c r="AW136" s="940"/>
      <c r="AX136" s="940"/>
      <c r="AY136" s="940"/>
      <c r="AZ136" s="940"/>
      <c r="BA136" s="940"/>
      <c r="BB136" s="940"/>
      <c r="BC136" s="940"/>
      <c r="BD136" s="941"/>
      <c r="BE136" s="938"/>
      <c r="BF136" s="876">
        <f t="shared" ref="BF136" si="315">SUM(AS136:BD136)</f>
        <v>8</v>
      </c>
      <c r="BG136" s="877">
        <f t="shared" ref="BG136" si="316">IFERROR(ROUND(($K136*BF136+$K136*BE136),2),0)</f>
        <v>127440</v>
      </c>
      <c r="BH136" s="873"/>
      <c r="BI136" s="874"/>
      <c r="BJ136" s="874"/>
      <c r="BK136" s="874"/>
      <c r="BL136" s="874"/>
      <c r="BM136" s="874"/>
      <c r="BN136" s="874"/>
      <c r="BO136" s="874"/>
      <c r="BP136" s="874"/>
      <c r="BQ136" s="874"/>
      <c r="BR136" s="874"/>
      <c r="BS136" s="875"/>
      <c r="BT136" s="870"/>
      <c r="BU136" s="876">
        <f t="shared" ref="BU136" si="317">SUM(BH136:BS136)</f>
        <v>0</v>
      </c>
      <c r="BV136" s="877">
        <f t="shared" ref="BV136" si="318">IFERROR(ROUND(($K136*BU136+$K136*BT136),2),0)</f>
        <v>0</v>
      </c>
      <c r="BW136" s="873"/>
      <c r="BX136" s="874"/>
      <c r="BY136" s="874"/>
      <c r="BZ136" s="874"/>
      <c r="CA136" s="874"/>
      <c r="CB136" s="874"/>
      <c r="CC136" s="874"/>
      <c r="CD136" s="874"/>
      <c r="CE136" s="874"/>
      <c r="CF136" s="874"/>
      <c r="CG136" s="874"/>
      <c r="CH136" s="875"/>
      <c r="CI136" s="870"/>
      <c r="CJ136" s="876">
        <f t="shared" ref="CJ136" si="319">SUM(BW136:CH136)</f>
        <v>0</v>
      </c>
      <c r="CK136" s="877">
        <f t="shared" ref="CK136" si="320">IFERROR(ROUND(($K136*CJ136+$K136*CI136),2),0)</f>
        <v>0</v>
      </c>
      <c r="CL136" s="878">
        <f t="shared" ref="CL136" si="321">AA136+AP136+L136+BE136+BT136+CI136</f>
        <v>0</v>
      </c>
      <c r="CM136" s="879">
        <f t="shared" ref="CM136" si="322">AB136+AQ136+M136+BF136+BU136+CJ136</f>
        <v>27</v>
      </c>
      <c r="CN136" s="880">
        <f t="shared" ref="CN136" si="323">AC136+AR136+N136+BG136+BV136+CK136</f>
        <v>430110</v>
      </c>
      <c r="CQ136" s="886"/>
    </row>
    <row r="137" spans="1:95" s="866" customFormat="1" ht="24.75" customHeight="1">
      <c r="A137" s="1068"/>
      <c r="B137" s="1049"/>
      <c r="C137" s="1049"/>
      <c r="D137" s="895"/>
      <c r="E137" s="867" t="s">
        <v>107</v>
      </c>
      <c r="F137" s="898"/>
      <c r="G137" s="899" t="s">
        <v>1625</v>
      </c>
      <c r="H137" s="899" t="s">
        <v>58</v>
      </c>
      <c r="I137" s="902" t="s">
        <v>2054</v>
      </c>
      <c r="J137" s="674" t="s">
        <v>1990</v>
      </c>
      <c r="K137" s="883">
        <f>IFERROR(VLOOKUP(H137,справочник!$A$3:$B$12,2,0),"нет данных")</f>
        <v>6980</v>
      </c>
      <c r="L137" s="870"/>
      <c r="M137" s="885"/>
      <c r="N137" s="881">
        <f t="shared" ref="N137" si="324">IFERROR(ROUND((K137*M137+K137*L137),2),0)</f>
        <v>0</v>
      </c>
      <c r="O137" s="884"/>
      <c r="P137" s="882"/>
      <c r="Q137" s="882"/>
      <c r="R137" s="882"/>
      <c r="S137" s="882"/>
      <c r="T137" s="882"/>
      <c r="U137" s="868"/>
      <c r="V137" s="868"/>
      <c r="W137" s="868"/>
      <c r="X137" s="868"/>
      <c r="Y137" s="868"/>
      <c r="Z137" s="869"/>
      <c r="AA137" s="870"/>
      <c r="AB137" s="871">
        <f t="shared" ref="AB137" si="325">SUM(O137:Z137)</f>
        <v>0</v>
      </c>
      <c r="AC137" s="872">
        <f t="shared" ref="AC137" si="326">IFERROR(ROUND(($K137*AB137+$K137*AA137),2),0)</f>
        <v>0</v>
      </c>
      <c r="AD137" s="918"/>
      <c r="AE137" s="919"/>
      <c r="AF137" s="919"/>
      <c r="AG137" s="919"/>
      <c r="AH137" s="919"/>
      <c r="AI137" s="919"/>
      <c r="AJ137" s="919"/>
      <c r="AK137" s="919"/>
      <c r="AL137" s="919"/>
      <c r="AM137" s="919"/>
      <c r="AN137" s="932">
        <v>11</v>
      </c>
      <c r="AO137" s="933">
        <v>5</v>
      </c>
      <c r="AP137" s="917"/>
      <c r="AQ137" s="876">
        <f t="shared" ref="AQ137" si="327">SUM(AD137:AO137)</f>
        <v>16</v>
      </c>
      <c r="AR137" s="877">
        <f t="shared" ref="AR137" si="328">IFERROR(ROUND(($K137*AQ137+$K137*AP137),2),0)</f>
        <v>111680</v>
      </c>
      <c r="AS137" s="939"/>
      <c r="AT137" s="940"/>
      <c r="AU137" s="940"/>
      <c r="AV137" s="940"/>
      <c r="AW137" s="940"/>
      <c r="AX137" s="940"/>
      <c r="AY137" s="940"/>
      <c r="AZ137" s="940"/>
      <c r="BA137" s="940"/>
      <c r="BB137" s="940"/>
      <c r="BC137" s="940"/>
      <c r="BD137" s="941"/>
      <c r="BE137" s="938"/>
      <c r="BF137" s="876">
        <f t="shared" ref="BF137" si="329">SUM(AS137:BD137)</f>
        <v>0</v>
      </c>
      <c r="BG137" s="877">
        <f t="shared" ref="BG137" si="330">IFERROR(ROUND(($K137*BF137+$K137*BE137),2),0)</f>
        <v>0</v>
      </c>
      <c r="BH137" s="873"/>
      <c r="BI137" s="874"/>
      <c r="BJ137" s="874"/>
      <c r="BK137" s="874"/>
      <c r="BL137" s="874"/>
      <c r="BM137" s="874"/>
      <c r="BN137" s="874"/>
      <c r="BO137" s="874"/>
      <c r="BP137" s="874"/>
      <c r="BQ137" s="874"/>
      <c r="BR137" s="874"/>
      <c r="BS137" s="875"/>
      <c r="BT137" s="870"/>
      <c r="BU137" s="876">
        <f t="shared" ref="BU137" si="331">SUM(BH137:BS137)</f>
        <v>0</v>
      </c>
      <c r="BV137" s="877">
        <f t="shared" ref="BV137" si="332">IFERROR(ROUND(($K137*BU137+$K137*BT137),2),0)</f>
        <v>0</v>
      </c>
      <c r="BW137" s="873"/>
      <c r="BX137" s="874"/>
      <c r="BY137" s="874"/>
      <c r="BZ137" s="874"/>
      <c r="CA137" s="874"/>
      <c r="CB137" s="874"/>
      <c r="CC137" s="874"/>
      <c r="CD137" s="874"/>
      <c r="CE137" s="874"/>
      <c r="CF137" s="874"/>
      <c r="CG137" s="874"/>
      <c r="CH137" s="875"/>
      <c r="CI137" s="870"/>
      <c r="CJ137" s="876">
        <f t="shared" ref="CJ137" si="333">SUM(BW137:CH137)</f>
        <v>0</v>
      </c>
      <c r="CK137" s="877">
        <f t="shared" ref="CK137" si="334">IFERROR(ROUND(($K137*CJ137+$K137*CI137),2),0)</f>
        <v>0</v>
      </c>
      <c r="CL137" s="878">
        <f t="shared" ref="CL137" si="335">AA137+AP137+L137+BE137+BT137+CI137</f>
        <v>0</v>
      </c>
      <c r="CM137" s="879">
        <f t="shared" ref="CM137" si="336">AB137+AQ137+M137+BF137+BU137+CJ137</f>
        <v>16</v>
      </c>
      <c r="CN137" s="880">
        <f t="shared" ref="CN137" si="337">AC137+AR137+N137+BG137+BV137+CK137</f>
        <v>111680</v>
      </c>
      <c r="CQ137" s="886"/>
    </row>
    <row r="138" spans="1:95" s="33" customFormat="1" ht="24.75" customHeight="1">
      <c r="A138" s="1052"/>
      <c r="B138" s="1050"/>
      <c r="C138" s="1050"/>
      <c r="D138" s="895"/>
      <c r="E138" s="125" t="s">
        <v>107</v>
      </c>
      <c r="F138" s="898"/>
      <c r="G138" s="899" t="s">
        <v>1625</v>
      </c>
      <c r="H138" s="899" t="s">
        <v>58</v>
      </c>
      <c r="I138" s="902" t="s">
        <v>2055</v>
      </c>
      <c r="J138" s="674" t="s">
        <v>1990</v>
      </c>
      <c r="K138" s="374">
        <f>IFERROR(VLOOKUP(H138,справочник!$A$3:$B$12,2,0),"нет данных")</f>
        <v>6980</v>
      </c>
      <c r="L138" s="326"/>
      <c r="M138" s="399"/>
      <c r="N138" s="346">
        <f t="shared" si="72"/>
        <v>0</v>
      </c>
      <c r="O138" s="394"/>
      <c r="P138" s="352"/>
      <c r="Q138" s="352"/>
      <c r="R138" s="352"/>
      <c r="S138" s="352"/>
      <c r="T138" s="352"/>
      <c r="U138" s="324"/>
      <c r="V138" s="324"/>
      <c r="W138" s="324"/>
      <c r="X138" s="324"/>
      <c r="Y138" s="324"/>
      <c r="Z138" s="325"/>
      <c r="AA138" s="326"/>
      <c r="AB138" s="327">
        <f t="shared" si="81"/>
        <v>0</v>
      </c>
      <c r="AC138" s="328">
        <f t="shared" si="73"/>
        <v>0</v>
      </c>
      <c r="AD138" s="918"/>
      <c r="AE138" s="919"/>
      <c r="AF138" s="919"/>
      <c r="AG138" s="919"/>
      <c r="AH138" s="919"/>
      <c r="AI138" s="919"/>
      <c r="AJ138" s="919"/>
      <c r="AK138" s="919"/>
      <c r="AL138" s="919"/>
      <c r="AM138" s="919"/>
      <c r="AN138" s="932">
        <v>11</v>
      </c>
      <c r="AO138" s="933">
        <v>5</v>
      </c>
      <c r="AP138" s="917"/>
      <c r="AQ138" s="332">
        <f t="shared" si="82"/>
        <v>16</v>
      </c>
      <c r="AR138" s="333">
        <f t="shared" si="74"/>
        <v>111680</v>
      </c>
      <c r="AS138" s="939"/>
      <c r="AT138" s="940"/>
      <c r="AU138" s="940"/>
      <c r="AV138" s="940"/>
      <c r="AW138" s="940"/>
      <c r="AX138" s="940"/>
      <c r="AY138" s="940"/>
      <c r="AZ138" s="940"/>
      <c r="BA138" s="940"/>
      <c r="BB138" s="940"/>
      <c r="BC138" s="940"/>
      <c r="BD138" s="941"/>
      <c r="BE138" s="938"/>
      <c r="BF138" s="332">
        <f t="shared" si="83"/>
        <v>0</v>
      </c>
      <c r="BG138" s="333">
        <f t="shared" si="75"/>
        <v>0</v>
      </c>
      <c r="BH138" s="329"/>
      <c r="BI138" s="330"/>
      <c r="BJ138" s="330"/>
      <c r="BK138" s="330"/>
      <c r="BL138" s="330"/>
      <c r="BM138" s="330"/>
      <c r="BN138" s="330"/>
      <c r="BO138" s="330"/>
      <c r="BP138" s="330"/>
      <c r="BQ138" s="330"/>
      <c r="BR138" s="330"/>
      <c r="BS138" s="331"/>
      <c r="BT138" s="326"/>
      <c r="BU138" s="332">
        <f t="shared" si="84"/>
        <v>0</v>
      </c>
      <c r="BV138" s="333">
        <f t="shared" si="76"/>
        <v>0</v>
      </c>
      <c r="BW138" s="329"/>
      <c r="BX138" s="330"/>
      <c r="BY138" s="330"/>
      <c r="BZ138" s="330"/>
      <c r="CA138" s="330"/>
      <c r="CB138" s="330"/>
      <c r="CC138" s="330"/>
      <c r="CD138" s="330"/>
      <c r="CE138" s="330"/>
      <c r="CF138" s="330"/>
      <c r="CG138" s="330"/>
      <c r="CH138" s="331"/>
      <c r="CI138" s="326"/>
      <c r="CJ138" s="332">
        <f t="shared" si="85"/>
        <v>0</v>
      </c>
      <c r="CK138" s="333">
        <f t="shared" si="77"/>
        <v>0</v>
      </c>
      <c r="CL138" s="334">
        <f t="shared" si="78"/>
        <v>0</v>
      </c>
      <c r="CM138" s="335">
        <f t="shared" si="79"/>
        <v>16</v>
      </c>
      <c r="CN138" s="336">
        <f t="shared" si="80"/>
        <v>111680</v>
      </c>
      <c r="CQ138" s="480"/>
    </row>
    <row r="139" spans="1:95" s="33" customFormat="1" ht="24.75" customHeight="1">
      <c r="A139" s="1051" t="s">
        <v>136</v>
      </c>
      <c r="B139" s="1048" t="s">
        <v>1508</v>
      </c>
      <c r="C139" s="1048" t="s">
        <v>92</v>
      </c>
      <c r="D139" s="895"/>
      <c r="E139" s="125" t="s">
        <v>107</v>
      </c>
      <c r="F139" s="898"/>
      <c r="G139" s="899"/>
      <c r="H139" s="899"/>
      <c r="I139" s="902"/>
      <c r="J139" s="674" t="s">
        <v>1990</v>
      </c>
      <c r="K139" s="374" t="str">
        <f>IFERROR(VLOOKUP(H139,справочник!$A$3:$B$12,2,0),"нет данных")</f>
        <v>нет данных</v>
      </c>
      <c r="L139" s="326"/>
      <c r="M139" s="399"/>
      <c r="N139" s="346">
        <f t="shared" si="72"/>
        <v>0</v>
      </c>
      <c r="O139" s="394"/>
      <c r="P139" s="352"/>
      <c r="Q139" s="352"/>
      <c r="R139" s="352"/>
      <c r="S139" s="352"/>
      <c r="T139" s="352"/>
      <c r="U139" s="324"/>
      <c r="V139" s="324"/>
      <c r="W139" s="324"/>
      <c r="X139" s="324"/>
      <c r="Y139" s="324"/>
      <c r="Z139" s="325"/>
      <c r="AA139" s="326"/>
      <c r="AB139" s="327">
        <f t="shared" si="81"/>
        <v>0</v>
      </c>
      <c r="AC139" s="328">
        <f t="shared" si="73"/>
        <v>0</v>
      </c>
      <c r="AD139" s="918"/>
      <c r="AE139" s="919"/>
      <c r="AF139" s="919"/>
      <c r="AG139" s="919"/>
      <c r="AH139" s="919"/>
      <c r="AI139" s="919"/>
      <c r="AJ139" s="919"/>
      <c r="AK139" s="919"/>
      <c r="AL139" s="919"/>
      <c r="AM139" s="919"/>
      <c r="AN139" s="919"/>
      <c r="AO139" s="920"/>
      <c r="AP139" s="917"/>
      <c r="AQ139" s="332">
        <f t="shared" si="82"/>
        <v>0</v>
      </c>
      <c r="AR139" s="333">
        <f t="shared" si="74"/>
        <v>0</v>
      </c>
      <c r="AS139" s="939"/>
      <c r="AT139" s="940"/>
      <c r="AU139" s="940"/>
      <c r="AV139" s="940"/>
      <c r="AW139" s="940"/>
      <c r="AX139" s="940"/>
      <c r="AY139" s="940"/>
      <c r="AZ139" s="940"/>
      <c r="BA139" s="940"/>
      <c r="BB139" s="940"/>
      <c r="BC139" s="940"/>
      <c r="BD139" s="941"/>
      <c r="BE139" s="938"/>
      <c r="BF139" s="332">
        <f t="shared" si="83"/>
        <v>0</v>
      </c>
      <c r="BG139" s="333">
        <f t="shared" si="75"/>
        <v>0</v>
      </c>
      <c r="BH139" s="329"/>
      <c r="BI139" s="330"/>
      <c r="BJ139" s="330"/>
      <c r="BK139" s="330"/>
      <c r="BL139" s="330"/>
      <c r="BM139" s="330"/>
      <c r="BN139" s="330"/>
      <c r="BO139" s="330"/>
      <c r="BP139" s="330"/>
      <c r="BQ139" s="330"/>
      <c r="BR139" s="330"/>
      <c r="BS139" s="331"/>
      <c r="BT139" s="326"/>
      <c r="BU139" s="332">
        <f t="shared" si="84"/>
        <v>0</v>
      </c>
      <c r="BV139" s="333">
        <f t="shared" si="76"/>
        <v>0</v>
      </c>
      <c r="BW139" s="329"/>
      <c r="BX139" s="330"/>
      <c r="BY139" s="330"/>
      <c r="BZ139" s="330"/>
      <c r="CA139" s="330"/>
      <c r="CB139" s="330"/>
      <c r="CC139" s="330"/>
      <c r="CD139" s="330"/>
      <c r="CE139" s="330"/>
      <c r="CF139" s="330"/>
      <c r="CG139" s="330"/>
      <c r="CH139" s="331"/>
      <c r="CI139" s="326"/>
      <c r="CJ139" s="332">
        <f t="shared" si="85"/>
        <v>0</v>
      </c>
      <c r="CK139" s="333">
        <f t="shared" si="77"/>
        <v>0</v>
      </c>
      <c r="CL139" s="334">
        <f t="shared" si="78"/>
        <v>0</v>
      </c>
      <c r="CM139" s="335">
        <f t="shared" si="79"/>
        <v>0</v>
      </c>
      <c r="CN139" s="336">
        <f t="shared" si="80"/>
        <v>0</v>
      </c>
      <c r="CQ139" s="480"/>
    </row>
    <row r="140" spans="1:95" s="33" customFormat="1" ht="24.75" customHeight="1">
      <c r="A140" s="1052"/>
      <c r="B140" s="1050"/>
      <c r="C140" s="1050"/>
      <c r="D140" s="895"/>
      <c r="E140" s="125" t="s">
        <v>107</v>
      </c>
      <c r="F140" s="898"/>
      <c r="G140" s="899"/>
      <c r="H140" s="899"/>
      <c r="I140" s="902"/>
      <c r="J140" s="674" t="s">
        <v>1990</v>
      </c>
      <c r="K140" s="374" t="str">
        <f>IFERROR(VLOOKUP(H140,справочник!$A$3:$B$12,2,0),"нет данных")</f>
        <v>нет данных</v>
      </c>
      <c r="L140" s="326"/>
      <c r="M140" s="399"/>
      <c r="N140" s="346">
        <f t="shared" si="72"/>
        <v>0</v>
      </c>
      <c r="O140" s="394"/>
      <c r="P140" s="352"/>
      <c r="Q140" s="352"/>
      <c r="R140" s="352"/>
      <c r="S140" s="352"/>
      <c r="T140" s="352"/>
      <c r="U140" s="324"/>
      <c r="V140" s="324"/>
      <c r="W140" s="324"/>
      <c r="X140" s="324"/>
      <c r="Y140" s="324"/>
      <c r="Z140" s="325"/>
      <c r="AA140" s="326"/>
      <c r="AB140" s="327">
        <f t="shared" si="81"/>
        <v>0</v>
      </c>
      <c r="AC140" s="328">
        <f t="shared" si="73"/>
        <v>0</v>
      </c>
      <c r="AD140" s="918"/>
      <c r="AE140" s="919"/>
      <c r="AF140" s="919"/>
      <c r="AG140" s="919"/>
      <c r="AH140" s="919"/>
      <c r="AI140" s="919"/>
      <c r="AJ140" s="919"/>
      <c r="AK140" s="919"/>
      <c r="AL140" s="919"/>
      <c r="AM140" s="919"/>
      <c r="AN140" s="919"/>
      <c r="AO140" s="920"/>
      <c r="AP140" s="917"/>
      <c r="AQ140" s="332">
        <f t="shared" si="82"/>
        <v>0</v>
      </c>
      <c r="AR140" s="333">
        <f t="shared" si="74"/>
        <v>0</v>
      </c>
      <c r="AS140" s="939"/>
      <c r="AT140" s="940"/>
      <c r="AU140" s="940"/>
      <c r="AV140" s="940"/>
      <c r="AW140" s="940"/>
      <c r="AX140" s="940"/>
      <c r="AY140" s="940"/>
      <c r="AZ140" s="940"/>
      <c r="BA140" s="940"/>
      <c r="BB140" s="940"/>
      <c r="BC140" s="940"/>
      <c r="BD140" s="941"/>
      <c r="BE140" s="938"/>
      <c r="BF140" s="332">
        <f t="shared" si="83"/>
        <v>0</v>
      </c>
      <c r="BG140" s="333">
        <f t="shared" si="75"/>
        <v>0</v>
      </c>
      <c r="BH140" s="329"/>
      <c r="BI140" s="330"/>
      <c r="BJ140" s="330"/>
      <c r="BK140" s="330"/>
      <c r="BL140" s="330"/>
      <c r="BM140" s="330"/>
      <c r="BN140" s="330"/>
      <c r="BO140" s="330"/>
      <c r="BP140" s="330"/>
      <c r="BQ140" s="330"/>
      <c r="BR140" s="330"/>
      <c r="BS140" s="331"/>
      <c r="BT140" s="326"/>
      <c r="BU140" s="332">
        <f t="shared" si="84"/>
        <v>0</v>
      </c>
      <c r="BV140" s="333">
        <f t="shared" si="76"/>
        <v>0</v>
      </c>
      <c r="BW140" s="329"/>
      <c r="BX140" s="330"/>
      <c r="BY140" s="330"/>
      <c r="BZ140" s="330"/>
      <c r="CA140" s="330"/>
      <c r="CB140" s="330"/>
      <c r="CC140" s="330"/>
      <c r="CD140" s="330"/>
      <c r="CE140" s="330"/>
      <c r="CF140" s="330"/>
      <c r="CG140" s="330"/>
      <c r="CH140" s="331"/>
      <c r="CI140" s="326"/>
      <c r="CJ140" s="332">
        <f t="shared" si="85"/>
        <v>0</v>
      </c>
      <c r="CK140" s="333">
        <f t="shared" si="77"/>
        <v>0</v>
      </c>
      <c r="CL140" s="334">
        <f t="shared" si="78"/>
        <v>0</v>
      </c>
      <c r="CM140" s="335">
        <f t="shared" si="79"/>
        <v>0</v>
      </c>
      <c r="CN140" s="336">
        <f t="shared" si="80"/>
        <v>0</v>
      </c>
      <c r="CQ140" s="480"/>
    </row>
    <row r="141" spans="1:95" s="33" customFormat="1" ht="24.75" customHeight="1">
      <c r="A141" s="1051" t="s">
        <v>137</v>
      </c>
      <c r="B141" s="1048" t="s">
        <v>1509</v>
      </c>
      <c r="C141" s="1048" t="s">
        <v>93</v>
      </c>
      <c r="D141" s="896" t="s">
        <v>2041</v>
      </c>
      <c r="E141" s="125" t="s">
        <v>107</v>
      </c>
      <c r="F141" s="898"/>
      <c r="G141" s="899"/>
      <c r="H141" s="904"/>
      <c r="I141" s="902"/>
      <c r="J141" s="674" t="s">
        <v>1990</v>
      </c>
      <c r="K141" s="374" t="str">
        <f>IFERROR(VLOOKUP(H141,справочник!$A$3:$B$12,2,0),"нет данных")</f>
        <v>нет данных</v>
      </c>
      <c r="L141" s="326"/>
      <c r="M141" s="399"/>
      <c r="N141" s="346">
        <f t="shared" si="72"/>
        <v>0</v>
      </c>
      <c r="O141" s="394"/>
      <c r="P141" s="352"/>
      <c r="Q141" s="352"/>
      <c r="R141" s="352"/>
      <c r="S141" s="352"/>
      <c r="T141" s="352"/>
      <c r="U141" s="324"/>
      <c r="V141" s="324"/>
      <c r="W141" s="324"/>
      <c r="X141" s="324"/>
      <c r="Y141" s="324"/>
      <c r="Z141" s="325"/>
      <c r="AA141" s="326"/>
      <c r="AB141" s="327">
        <f t="shared" si="81"/>
        <v>0</v>
      </c>
      <c r="AC141" s="328">
        <f t="shared" si="73"/>
        <v>0</v>
      </c>
      <c r="AD141" s="918"/>
      <c r="AE141" s="919"/>
      <c r="AF141" s="919"/>
      <c r="AG141" s="919"/>
      <c r="AH141" s="919"/>
      <c r="AI141" s="919"/>
      <c r="AJ141" s="919"/>
      <c r="AK141" s="919"/>
      <c r="AL141" s="919"/>
      <c r="AM141" s="919"/>
      <c r="AN141" s="919"/>
      <c r="AO141" s="920"/>
      <c r="AP141" s="917"/>
      <c r="AQ141" s="332">
        <f t="shared" si="82"/>
        <v>0</v>
      </c>
      <c r="AR141" s="333">
        <f t="shared" si="74"/>
        <v>0</v>
      </c>
      <c r="AS141" s="939"/>
      <c r="AT141" s="940"/>
      <c r="AU141" s="940"/>
      <c r="AV141" s="940"/>
      <c r="AW141" s="940"/>
      <c r="AX141" s="940"/>
      <c r="AY141" s="940"/>
      <c r="AZ141" s="940"/>
      <c r="BA141" s="940"/>
      <c r="BB141" s="940"/>
      <c r="BC141" s="940"/>
      <c r="BD141" s="941"/>
      <c r="BE141" s="938"/>
      <c r="BF141" s="332">
        <f t="shared" si="83"/>
        <v>0</v>
      </c>
      <c r="BG141" s="333">
        <f t="shared" si="75"/>
        <v>0</v>
      </c>
      <c r="BH141" s="329"/>
      <c r="BI141" s="330"/>
      <c r="BJ141" s="330"/>
      <c r="BK141" s="330"/>
      <c r="BL141" s="330"/>
      <c r="BM141" s="330"/>
      <c r="BN141" s="330"/>
      <c r="BO141" s="330"/>
      <c r="BP141" s="330"/>
      <c r="BQ141" s="330"/>
      <c r="BR141" s="330"/>
      <c r="BS141" s="331"/>
      <c r="BT141" s="326"/>
      <c r="BU141" s="332">
        <f t="shared" si="84"/>
        <v>0</v>
      </c>
      <c r="BV141" s="333">
        <f t="shared" si="76"/>
        <v>0</v>
      </c>
      <c r="BW141" s="329"/>
      <c r="BX141" s="330"/>
      <c r="BY141" s="330"/>
      <c r="BZ141" s="330"/>
      <c r="CA141" s="330"/>
      <c r="CB141" s="330"/>
      <c r="CC141" s="330"/>
      <c r="CD141" s="330"/>
      <c r="CE141" s="330"/>
      <c r="CF141" s="330"/>
      <c r="CG141" s="330"/>
      <c r="CH141" s="331"/>
      <c r="CI141" s="326"/>
      <c r="CJ141" s="332">
        <f t="shared" si="85"/>
        <v>0</v>
      </c>
      <c r="CK141" s="333">
        <f t="shared" si="77"/>
        <v>0</v>
      </c>
      <c r="CL141" s="334">
        <f t="shared" si="78"/>
        <v>0</v>
      </c>
      <c r="CM141" s="335">
        <f t="shared" si="79"/>
        <v>0</v>
      </c>
      <c r="CN141" s="336">
        <f t="shared" si="80"/>
        <v>0</v>
      </c>
      <c r="CQ141" s="480"/>
    </row>
    <row r="142" spans="1:95" s="866" customFormat="1" ht="24.75" customHeight="1">
      <c r="A142" s="1068"/>
      <c r="B142" s="1049"/>
      <c r="C142" s="1049"/>
      <c r="D142" s="895" t="s">
        <v>2041</v>
      </c>
      <c r="E142" s="867" t="s">
        <v>107</v>
      </c>
      <c r="F142" s="898"/>
      <c r="G142" s="910" t="s">
        <v>43</v>
      </c>
      <c r="H142" s="910" t="s">
        <v>61</v>
      </c>
      <c r="I142" s="909" t="s">
        <v>2053</v>
      </c>
      <c r="J142" s="674" t="s">
        <v>1990</v>
      </c>
      <c r="K142" s="883">
        <f>IFERROR(VLOOKUP(H142,справочник!$A$3:$B$12,2,0),"нет данных")</f>
        <v>15930</v>
      </c>
      <c r="L142" s="870"/>
      <c r="M142" s="885"/>
      <c r="N142" s="881">
        <f t="shared" ref="N142" si="338">IFERROR(ROUND((K142*M142+K142*L142),2),0)</f>
        <v>0</v>
      </c>
      <c r="O142" s="884"/>
      <c r="P142" s="882"/>
      <c r="Q142" s="882"/>
      <c r="R142" s="882"/>
      <c r="S142" s="882"/>
      <c r="T142" s="882"/>
      <c r="U142" s="868"/>
      <c r="V142" s="868"/>
      <c r="W142" s="868"/>
      <c r="X142" s="868"/>
      <c r="Y142" s="868"/>
      <c r="Z142" s="869"/>
      <c r="AA142" s="870"/>
      <c r="AB142" s="871">
        <f t="shared" ref="AB142" si="339">SUM(O142:Z142)</f>
        <v>0</v>
      </c>
      <c r="AC142" s="872">
        <f t="shared" ref="AC142" si="340">IFERROR(ROUND(($K142*AB142+$K142*AA142),2),0)</f>
        <v>0</v>
      </c>
      <c r="AD142" s="918"/>
      <c r="AE142" s="919"/>
      <c r="AF142" s="919"/>
      <c r="AG142" s="919"/>
      <c r="AH142" s="919"/>
      <c r="AI142" s="919"/>
      <c r="AJ142" s="919"/>
      <c r="AK142" s="930">
        <v>13</v>
      </c>
      <c r="AL142" s="930">
        <v>10</v>
      </c>
      <c r="AM142" s="919"/>
      <c r="AN142" s="919"/>
      <c r="AO142" s="920"/>
      <c r="AP142" s="917"/>
      <c r="AQ142" s="876">
        <f t="shared" ref="AQ142" si="341">SUM(AD142:AO142)</f>
        <v>23</v>
      </c>
      <c r="AR142" s="877">
        <f t="shared" ref="AR142" si="342">IFERROR(ROUND(($K142*AQ142+$K142*AP142),2),0)</f>
        <v>366390</v>
      </c>
      <c r="AS142" s="939"/>
      <c r="AT142" s="944">
        <v>4</v>
      </c>
      <c r="AU142" s="945">
        <v>5</v>
      </c>
      <c r="AV142" s="945">
        <v>5</v>
      </c>
      <c r="AW142" s="940"/>
      <c r="AX142" s="940"/>
      <c r="AY142" s="940"/>
      <c r="AZ142" s="940"/>
      <c r="BA142" s="940"/>
      <c r="BB142" s="940"/>
      <c r="BC142" s="940"/>
      <c r="BD142" s="941"/>
      <c r="BE142" s="938"/>
      <c r="BF142" s="876">
        <f t="shared" ref="BF142" si="343">SUM(AS142:BD142)</f>
        <v>14</v>
      </c>
      <c r="BG142" s="877">
        <f t="shared" ref="BG142" si="344">IFERROR(ROUND(($K142*BF142+$K142*BE142),2),0)</f>
        <v>223020</v>
      </c>
      <c r="BH142" s="873"/>
      <c r="BI142" s="874"/>
      <c r="BJ142" s="874"/>
      <c r="BK142" s="874"/>
      <c r="BL142" s="874"/>
      <c r="BM142" s="874"/>
      <c r="BN142" s="874"/>
      <c r="BO142" s="874"/>
      <c r="BP142" s="874"/>
      <c r="BQ142" s="874"/>
      <c r="BR142" s="874"/>
      <c r="BS142" s="875"/>
      <c r="BT142" s="870"/>
      <c r="BU142" s="876">
        <f t="shared" ref="BU142" si="345">SUM(BH142:BS142)</f>
        <v>0</v>
      </c>
      <c r="BV142" s="877">
        <f t="shared" ref="BV142" si="346">IFERROR(ROUND(($K142*BU142+$K142*BT142),2),0)</f>
        <v>0</v>
      </c>
      <c r="BW142" s="873"/>
      <c r="BX142" s="874"/>
      <c r="BY142" s="874"/>
      <c r="BZ142" s="874"/>
      <c r="CA142" s="874"/>
      <c r="CB142" s="874"/>
      <c r="CC142" s="874"/>
      <c r="CD142" s="874"/>
      <c r="CE142" s="874"/>
      <c r="CF142" s="874"/>
      <c r="CG142" s="874"/>
      <c r="CH142" s="875"/>
      <c r="CI142" s="870"/>
      <c r="CJ142" s="876">
        <f t="shared" ref="CJ142" si="347">SUM(BW142:CH142)</f>
        <v>0</v>
      </c>
      <c r="CK142" s="877">
        <f t="shared" ref="CK142" si="348">IFERROR(ROUND(($K142*CJ142+$K142*CI142),2),0)</f>
        <v>0</v>
      </c>
      <c r="CL142" s="878">
        <f t="shared" ref="CL142" si="349">AA142+AP142+L142+BE142+BT142+CI142</f>
        <v>0</v>
      </c>
      <c r="CM142" s="879">
        <f t="shared" ref="CM142" si="350">AB142+AQ142+M142+BF142+BU142+CJ142</f>
        <v>37</v>
      </c>
      <c r="CN142" s="880">
        <f t="shared" ref="CN142" si="351">AC142+AR142+N142+BG142+BV142+CK142</f>
        <v>589410</v>
      </c>
      <c r="CQ142" s="886"/>
    </row>
    <row r="143" spans="1:95" s="33" customFormat="1" ht="24.75" customHeight="1">
      <c r="A143" s="1052"/>
      <c r="B143" s="1050"/>
      <c r="C143" s="1050"/>
      <c r="D143" s="895" t="s">
        <v>2041</v>
      </c>
      <c r="E143" s="125" t="s">
        <v>107</v>
      </c>
      <c r="F143" s="898"/>
      <c r="G143" s="899" t="s">
        <v>43</v>
      </c>
      <c r="H143" s="904" t="s">
        <v>61</v>
      </c>
      <c r="I143" s="902" t="s">
        <v>2052</v>
      </c>
      <c r="J143" s="674" t="s">
        <v>1990</v>
      </c>
      <c r="K143" s="374">
        <f>IFERROR(VLOOKUP(H143,справочник!$A$3:$B$12,2,0),"нет данных")</f>
        <v>15930</v>
      </c>
      <c r="L143" s="326"/>
      <c r="M143" s="399"/>
      <c r="N143" s="346">
        <f t="shared" si="72"/>
        <v>0</v>
      </c>
      <c r="O143" s="394"/>
      <c r="P143" s="352"/>
      <c r="Q143" s="352"/>
      <c r="R143" s="352"/>
      <c r="S143" s="352"/>
      <c r="T143" s="352"/>
      <c r="U143" s="324"/>
      <c r="V143" s="324"/>
      <c r="W143" s="324"/>
      <c r="X143" s="324"/>
      <c r="Y143" s="324"/>
      <c r="Z143" s="325"/>
      <c r="AA143" s="326"/>
      <c r="AB143" s="327">
        <f t="shared" si="81"/>
        <v>0</v>
      </c>
      <c r="AC143" s="328">
        <f t="shared" si="73"/>
        <v>0</v>
      </c>
      <c r="AD143" s="918"/>
      <c r="AE143" s="919"/>
      <c r="AF143" s="919"/>
      <c r="AG143" s="919"/>
      <c r="AH143" s="919"/>
      <c r="AI143" s="919"/>
      <c r="AJ143" s="919"/>
      <c r="AK143" s="930">
        <v>13</v>
      </c>
      <c r="AL143" s="930">
        <v>10</v>
      </c>
      <c r="AM143" s="919"/>
      <c r="AN143" s="919"/>
      <c r="AO143" s="920"/>
      <c r="AP143" s="917"/>
      <c r="AQ143" s="332">
        <f t="shared" si="82"/>
        <v>23</v>
      </c>
      <c r="AR143" s="333">
        <f t="shared" si="74"/>
        <v>366390</v>
      </c>
      <c r="AS143" s="939"/>
      <c r="AT143" s="944">
        <v>3</v>
      </c>
      <c r="AU143" s="945">
        <v>5</v>
      </c>
      <c r="AV143" s="945">
        <v>5</v>
      </c>
      <c r="AW143" s="940"/>
      <c r="AX143" s="940"/>
      <c r="AY143" s="940"/>
      <c r="AZ143" s="940"/>
      <c r="BA143" s="940"/>
      <c r="BB143" s="940"/>
      <c r="BC143" s="940"/>
      <c r="BD143" s="941"/>
      <c r="BE143" s="938"/>
      <c r="BF143" s="332">
        <f t="shared" si="83"/>
        <v>13</v>
      </c>
      <c r="BG143" s="333">
        <f t="shared" si="75"/>
        <v>207090</v>
      </c>
      <c r="BH143" s="329"/>
      <c r="BI143" s="330"/>
      <c r="BJ143" s="330"/>
      <c r="BK143" s="330"/>
      <c r="BL143" s="330"/>
      <c r="BM143" s="330"/>
      <c r="BN143" s="330"/>
      <c r="BO143" s="330"/>
      <c r="BP143" s="330"/>
      <c r="BQ143" s="330"/>
      <c r="BR143" s="330"/>
      <c r="BS143" s="331"/>
      <c r="BT143" s="326"/>
      <c r="BU143" s="332">
        <f t="shared" si="84"/>
        <v>0</v>
      </c>
      <c r="BV143" s="333">
        <f t="shared" si="76"/>
        <v>0</v>
      </c>
      <c r="BW143" s="329"/>
      <c r="BX143" s="330"/>
      <c r="BY143" s="330"/>
      <c r="BZ143" s="330"/>
      <c r="CA143" s="330"/>
      <c r="CB143" s="330"/>
      <c r="CC143" s="330"/>
      <c r="CD143" s="330"/>
      <c r="CE143" s="330"/>
      <c r="CF143" s="330"/>
      <c r="CG143" s="330"/>
      <c r="CH143" s="331"/>
      <c r="CI143" s="326"/>
      <c r="CJ143" s="332">
        <f t="shared" si="85"/>
        <v>0</v>
      </c>
      <c r="CK143" s="333">
        <f t="shared" si="77"/>
        <v>0</v>
      </c>
      <c r="CL143" s="334">
        <f t="shared" si="78"/>
        <v>0</v>
      </c>
      <c r="CM143" s="335">
        <f t="shared" si="79"/>
        <v>36</v>
      </c>
      <c r="CN143" s="336">
        <f t="shared" si="80"/>
        <v>573480</v>
      </c>
      <c r="CQ143" s="480"/>
    </row>
    <row r="144" spans="1:95" s="33" customFormat="1" ht="24.75" customHeight="1">
      <c r="A144" s="1051" t="s">
        <v>139</v>
      </c>
      <c r="B144" s="1048" t="s">
        <v>1679</v>
      </c>
      <c r="C144" s="1048" t="s">
        <v>1534</v>
      </c>
      <c r="D144" s="895"/>
      <c r="E144" s="125" t="s">
        <v>107</v>
      </c>
      <c r="F144" s="898"/>
      <c r="G144" s="899" t="s">
        <v>40</v>
      </c>
      <c r="H144" s="904" t="s">
        <v>1453</v>
      </c>
      <c r="I144" s="902" t="s">
        <v>2049</v>
      </c>
      <c r="J144" s="674" t="s">
        <v>1990</v>
      </c>
      <c r="K144" s="374">
        <f>IFERROR(VLOOKUP(H144,справочник!$A$3:$B$12,2,0),"нет данных")</f>
        <v>21520</v>
      </c>
      <c r="L144" s="326"/>
      <c r="M144" s="399"/>
      <c r="N144" s="346">
        <f t="shared" si="72"/>
        <v>0</v>
      </c>
      <c r="O144" s="394"/>
      <c r="P144" s="352"/>
      <c r="Q144" s="352"/>
      <c r="R144" s="352"/>
      <c r="S144" s="352"/>
      <c r="T144" s="352"/>
      <c r="U144" s="324"/>
      <c r="V144" s="324"/>
      <c r="W144" s="324"/>
      <c r="X144" s="324"/>
      <c r="Y144" s="324"/>
      <c r="Z144" s="325"/>
      <c r="AA144" s="326"/>
      <c r="AB144" s="327">
        <f t="shared" si="81"/>
        <v>0</v>
      </c>
      <c r="AC144" s="328">
        <f t="shared" si="73"/>
        <v>0</v>
      </c>
      <c r="AD144" s="918"/>
      <c r="AE144" s="919"/>
      <c r="AF144" s="919"/>
      <c r="AG144" s="919"/>
      <c r="AH144" s="919"/>
      <c r="AI144" s="919"/>
      <c r="AJ144" s="919"/>
      <c r="AK144" s="919"/>
      <c r="AL144" s="930">
        <v>10</v>
      </c>
      <c r="AM144" s="930">
        <v>10</v>
      </c>
      <c r="AN144" s="919"/>
      <c r="AO144" s="920"/>
      <c r="AP144" s="917"/>
      <c r="AQ144" s="332">
        <f t="shared" si="82"/>
        <v>20</v>
      </c>
      <c r="AR144" s="333">
        <f t="shared" si="74"/>
        <v>430400</v>
      </c>
      <c r="AS144" s="939"/>
      <c r="AT144" s="940"/>
      <c r="AU144" s="940"/>
      <c r="AV144" s="940"/>
      <c r="AW144" s="940"/>
      <c r="AX144" s="940"/>
      <c r="AY144" s="940"/>
      <c r="AZ144" s="940"/>
      <c r="BA144" s="940"/>
      <c r="BB144" s="940"/>
      <c r="BC144" s="940"/>
      <c r="BD144" s="941"/>
      <c r="BE144" s="938"/>
      <c r="BF144" s="332">
        <f t="shared" si="83"/>
        <v>0</v>
      </c>
      <c r="BG144" s="333">
        <f t="shared" si="75"/>
        <v>0</v>
      </c>
      <c r="BH144" s="329"/>
      <c r="BI144" s="330"/>
      <c r="BJ144" s="330"/>
      <c r="BK144" s="330"/>
      <c r="BL144" s="330"/>
      <c r="BM144" s="330"/>
      <c r="BN144" s="330"/>
      <c r="BO144" s="330"/>
      <c r="BP144" s="330"/>
      <c r="BQ144" s="330"/>
      <c r="BR144" s="330"/>
      <c r="BS144" s="331"/>
      <c r="BT144" s="326"/>
      <c r="BU144" s="332">
        <f t="shared" si="84"/>
        <v>0</v>
      </c>
      <c r="BV144" s="333">
        <f t="shared" si="76"/>
        <v>0</v>
      </c>
      <c r="BW144" s="329"/>
      <c r="BX144" s="330"/>
      <c r="BY144" s="330"/>
      <c r="BZ144" s="330"/>
      <c r="CA144" s="330"/>
      <c r="CB144" s="330"/>
      <c r="CC144" s="330"/>
      <c r="CD144" s="330"/>
      <c r="CE144" s="330"/>
      <c r="CF144" s="330"/>
      <c r="CG144" s="330"/>
      <c r="CH144" s="331"/>
      <c r="CI144" s="326"/>
      <c r="CJ144" s="332">
        <f t="shared" si="85"/>
        <v>0</v>
      </c>
      <c r="CK144" s="333">
        <f t="shared" si="77"/>
        <v>0</v>
      </c>
      <c r="CL144" s="334">
        <f t="shared" si="78"/>
        <v>0</v>
      </c>
      <c r="CM144" s="335">
        <f t="shared" si="79"/>
        <v>20</v>
      </c>
      <c r="CN144" s="336">
        <f t="shared" si="80"/>
        <v>430400</v>
      </c>
      <c r="CQ144" s="480"/>
    </row>
    <row r="145" spans="1:95" s="866" customFormat="1" ht="24.75" customHeight="1">
      <c r="A145" s="1068"/>
      <c r="B145" s="1049"/>
      <c r="C145" s="1049"/>
      <c r="D145" s="895"/>
      <c r="E145" s="867" t="s">
        <v>107</v>
      </c>
      <c r="F145" s="898"/>
      <c r="G145" s="910" t="s">
        <v>43</v>
      </c>
      <c r="H145" s="910" t="s">
        <v>61</v>
      </c>
      <c r="I145" s="909" t="s">
        <v>2053</v>
      </c>
      <c r="J145" s="674" t="s">
        <v>1990</v>
      </c>
      <c r="K145" s="883">
        <f>IFERROR(VLOOKUP(H145,справочник!$A$3:$B$12,2,0),"нет данных")</f>
        <v>15930</v>
      </c>
      <c r="L145" s="870"/>
      <c r="M145" s="885"/>
      <c r="N145" s="881">
        <f t="shared" ref="N145" si="352">IFERROR(ROUND((K145*M145+K145*L145),2),0)</f>
        <v>0</v>
      </c>
      <c r="O145" s="884"/>
      <c r="P145" s="882"/>
      <c r="Q145" s="882"/>
      <c r="R145" s="882"/>
      <c r="S145" s="882"/>
      <c r="T145" s="882"/>
      <c r="U145" s="868"/>
      <c r="V145" s="868"/>
      <c r="W145" s="868"/>
      <c r="X145" s="868"/>
      <c r="Y145" s="868"/>
      <c r="Z145" s="869"/>
      <c r="AA145" s="870"/>
      <c r="AB145" s="871">
        <f t="shared" ref="AB145" si="353">SUM(O145:Z145)</f>
        <v>0</v>
      </c>
      <c r="AC145" s="872">
        <f t="shared" ref="AC145" si="354">IFERROR(ROUND(($K145*AB145+$K145*AA145),2),0)</f>
        <v>0</v>
      </c>
      <c r="AD145" s="918"/>
      <c r="AE145" s="919"/>
      <c r="AF145" s="919"/>
      <c r="AG145" s="919"/>
      <c r="AH145" s="919"/>
      <c r="AI145" s="919"/>
      <c r="AJ145" s="919"/>
      <c r="AK145" s="919"/>
      <c r="AL145" s="930">
        <v>5</v>
      </c>
      <c r="AM145" s="930">
        <v>10</v>
      </c>
      <c r="AN145" s="919"/>
      <c r="AO145" s="920"/>
      <c r="AP145" s="917"/>
      <c r="AQ145" s="876">
        <f t="shared" ref="AQ145" si="355">SUM(AD145:AO145)</f>
        <v>15</v>
      </c>
      <c r="AR145" s="877">
        <f t="shared" ref="AR145" si="356">IFERROR(ROUND(($K145*AQ145+$K145*AP145),2),0)</f>
        <v>238950</v>
      </c>
      <c r="AS145" s="939"/>
      <c r="AT145" s="940"/>
      <c r="AU145" s="940"/>
      <c r="AV145" s="940"/>
      <c r="AW145" s="940"/>
      <c r="AX145" s="940"/>
      <c r="AY145" s="940"/>
      <c r="AZ145" s="940"/>
      <c r="BA145" s="940"/>
      <c r="BB145" s="940"/>
      <c r="BC145" s="940"/>
      <c r="BD145" s="941"/>
      <c r="BE145" s="938"/>
      <c r="BF145" s="876">
        <f t="shared" ref="BF145" si="357">SUM(AS145:BD145)</f>
        <v>0</v>
      </c>
      <c r="BG145" s="877">
        <f t="shared" ref="BG145" si="358">IFERROR(ROUND(($K145*BF145+$K145*BE145),2),0)</f>
        <v>0</v>
      </c>
      <c r="BH145" s="873"/>
      <c r="BI145" s="874"/>
      <c r="BJ145" s="874"/>
      <c r="BK145" s="874"/>
      <c r="BL145" s="874"/>
      <c r="BM145" s="874"/>
      <c r="BN145" s="874"/>
      <c r="BO145" s="874"/>
      <c r="BP145" s="874"/>
      <c r="BQ145" s="874"/>
      <c r="BR145" s="874"/>
      <c r="BS145" s="875"/>
      <c r="BT145" s="870"/>
      <c r="BU145" s="876">
        <f t="shared" ref="BU145" si="359">SUM(BH145:BS145)</f>
        <v>0</v>
      </c>
      <c r="BV145" s="877">
        <f t="shared" ref="BV145" si="360">IFERROR(ROUND(($K145*BU145+$K145*BT145),2),0)</f>
        <v>0</v>
      </c>
      <c r="BW145" s="873"/>
      <c r="BX145" s="874"/>
      <c r="BY145" s="874"/>
      <c r="BZ145" s="874"/>
      <c r="CA145" s="874"/>
      <c r="CB145" s="874"/>
      <c r="CC145" s="874"/>
      <c r="CD145" s="874"/>
      <c r="CE145" s="874"/>
      <c r="CF145" s="874"/>
      <c r="CG145" s="874"/>
      <c r="CH145" s="875"/>
      <c r="CI145" s="870"/>
      <c r="CJ145" s="876">
        <f t="shared" ref="CJ145" si="361">SUM(BW145:CH145)</f>
        <v>0</v>
      </c>
      <c r="CK145" s="877">
        <f t="shared" ref="CK145" si="362">IFERROR(ROUND(($K145*CJ145+$K145*CI145),2),0)</f>
        <v>0</v>
      </c>
      <c r="CL145" s="878">
        <f t="shared" ref="CL145" si="363">AA145+AP145+L145+BE145+BT145+CI145</f>
        <v>0</v>
      </c>
      <c r="CM145" s="879">
        <f t="shared" ref="CM145" si="364">AB145+AQ145+M145+BF145+BU145+CJ145</f>
        <v>15</v>
      </c>
      <c r="CN145" s="880">
        <f t="shared" ref="CN145" si="365">AC145+AR145+N145+BG145+BV145+CK145</f>
        <v>238950</v>
      </c>
      <c r="CQ145" s="886"/>
    </row>
    <row r="146" spans="1:95" s="33" customFormat="1" ht="24.75" customHeight="1">
      <c r="A146" s="1052"/>
      <c r="B146" s="1050"/>
      <c r="C146" s="1050"/>
      <c r="D146" s="895"/>
      <c r="E146" s="125" t="s">
        <v>107</v>
      </c>
      <c r="F146" s="898"/>
      <c r="G146" s="899" t="s">
        <v>43</v>
      </c>
      <c r="H146" s="899" t="s">
        <v>61</v>
      </c>
      <c r="I146" s="902" t="s">
        <v>2052</v>
      </c>
      <c r="J146" s="674" t="s">
        <v>1990</v>
      </c>
      <c r="K146" s="374">
        <f>IFERROR(VLOOKUP(H146,справочник!$A$3:$B$12,2,0),"нет данных")</f>
        <v>15930</v>
      </c>
      <c r="L146" s="326"/>
      <c r="M146" s="399"/>
      <c r="N146" s="346">
        <f t="shared" si="72"/>
        <v>0</v>
      </c>
      <c r="O146" s="394"/>
      <c r="P146" s="352"/>
      <c r="Q146" s="352"/>
      <c r="R146" s="352"/>
      <c r="S146" s="352"/>
      <c r="T146" s="352"/>
      <c r="U146" s="324"/>
      <c r="V146" s="324"/>
      <c r="W146" s="324"/>
      <c r="X146" s="324"/>
      <c r="Y146" s="324"/>
      <c r="Z146" s="325"/>
      <c r="AA146" s="326"/>
      <c r="AB146" s="327">
        <f t="shared" si="81"/>
        <v>0</v>
      </c>
      <c r="AC146" s="328">
        <f t="shared" si="73"/>
        <v>0</v>
      </c>
      <c r="AD146" s="918"/>
      <c r="AE146" s="919"/>
      <c r="AF146" s="919"/>
      <c r="AG146" s="919"/>
      <c r="AH146" s="919"/>
      <c r="AI146" s="919"/>
      <c r="AJ146" s="919"/>
      <c r="AK146" s="919"/>
      <c r="AL146" s="930">
        <v>5</v>
      </c>
      <c r="AM146" s="930">
        <v>10</v>
      </c>
      <c r="AN146" s="919"/>
      <c r="AO146" s="920"/>
      <c r="AP146" s="917"/>
      <c r="AQ146" s="332">
        <f t="shared" si="82"/>
        <v>15</v>
      </c>
      <c r="AR146" s="333">
        <f t="shared" si="74"/>
        <v>238950</v>
      </c>
      <c r="AS146" s="939"/>
      <c r="AT146" s="940"/>
      <c r="AU146" s="940"/>
      <c r="AV146" s="940"/>
      <c r="AW146" s="940"/>
      <c r="AX146" s="940"/>
      <c r="AY146" s="940"/>
      <c r="AZ146" s="940"/>
      <c r="BA146" s="940"/>
      <c r="BB146" s="940"/>
      <c r="BC146" s="940"/>
      <c r="BD146" s="941"/>
      <c r="BE146" s="938"/>
      <c r="BF146" s="332">
        <f t="shared" si="83"/>
        <v>0</v>
      </c>
      <c r="BG146" s="333">
        <f t="shared" si="75"/>
        <v>0</v>
      </c>
      <c r="BH146" s="329"/>
      <c r="BI146" s="330"/>
      <c r="BJ146" s="330"/>
      <c r="BK146" s="330"/>
      <c r="BL146" s="330"/>
      <c r="BM146" s="330"/>
      <c r="BN146" s="330"/>
      <c r="BO146" s="330"/>
      <c r="BP146" s="330"/>
      <c r="BQ146" s="330"/>
      <c r="BR146" s="330"/>
      <c r="BS146" s="331"/>
      <c r="BT146" s="326"/>
      <c r="BU146" s="332">
        <f t="shared" si="84"/>
        <v>0</v>
      </c>
      <c r="BV146" s="333">
        <f t="shared" si="76"/>
        <v>0</v>
      </c>
      <c r="BW146" s="329"/>
      <c r="BX146" s="330"/>
      <c r="BY146" s="330"/>
      <c r="BZ146" s="330"/>
      <c r="CA146" s="330"/>
      <c r="CB146" s="330"/>
      <c r="CC146" s="330"/>
      <c r="CD146" s="330"/>
      <c r="CE146" s="330"/>
      <c r="CF146" s="330"/>
      <c r="CG146" s="330"/>
      <c r="CH146" s="331"/>
      <c r="CI146" s="326"/>
      <c r="CJ146" s="332">
        <f t="shared" si="85"/>
        <v>0</v>
      </c>
      <c r="CK146" s="333">
        <f t="shared" si="77"/>
        <v>0</v>
      </c>
      <c r="CL146" s="334">
        <f t="shared" si="78"/>
        <v>0</v>
      </c>
      <c r="CM146" s="335">
        <f t="shared" si="79"/>
        <v>15</v>
      </c>
      <c r="CN146" s="336">
        <f t="shared" si="80"/>
        <v>238950</v>
      </c>
      <c r="CQ146" s="480"/>
    </row>
    <row r="147" spans="1:95" s="33" customFormat="1" ht="24.75" customHeight="1">
      <c r="A147" s="1051" t="s">
        <v>140</v>
      </c>
      <c r="B147" s="1048" t="s">
        <v>1510</v>
      </c>
      <c r="C147" s="1048" t="s">
        <v>1535</v>
      </c>
      <c r="D147" s="895"/>
      <c r="E147" s="125" t="s">
        <v>107</v>
      </c>
      <c r="F147" s="898"/>
      <c r="G147" s="899"/>
      <c r="H147" s="899"/>
      <c r="I147" s="902"/>
      <c r="J147" s="674" t="s">
        <v>1990</v>
      </c>
      <c r="K147" s="374" t="str">
        <f>IFERROR(VLOOKUP(H147,справочник!$A$3:$B$12,2,0),"нет данных")</f>
        <v>нет данных</v>
      </c>
      <c r="L147" s="326"/>
      <c r="M147" s="399"/>
      <c r="N147" s="346">
        <f t="shared" si="72"/>
        <v>0</v>
      </c>
      <c r="O147" s="394"/>
      <c r="P147" s="352"/>
      <c r="Q147" s="352"/>
      <c r="R147" s="352"/>
      <c r="S147" s="352"/>
      <c r="T147" s="352"/>
      <c r="U147" s="324"/>
      <c r="V147" s="324"/>
      <c r="W147" s="324"/>
      <c r="X147" s="324"/>
      <c r="Y147" s="324"/>
      <c r="Z147" s="325"/>
      <c r="AA147" s="326"/>
      <c r="AB147" s="327">
        <f t="shared" si="81"/>
        <v>0</v>
      </c>
      <c r="AC147" s="328">
        <f t="shared" si="73"/>
        <v>0</v>
      </c>
      <c r="AD147" s="918"/>
      <c r="AE147" s="919"/>
      <c r="AF147" s="919"/>
      <c r="AG147" s="919"/>
      <c r="AH147" s="919"/>
      <c r="AI147" s="919"/>
      <c r="AJ147" s="919"/>
      <c r="AK147" s="919"/>
      <c r="AL147" s="919"/>
      <c r="AM147" s="919"/>
      <c r="AN147" s="919"/>
      <c r="AO147" s="920"/>
      <c r="AP147" s="917"/>
      <c r="AQ147" s="332">
        <f t="shared" si="82"/>
        <v>0</v>
      </c>
      <c r="AR147" s="333">
        <f t="shared" si="74"/>
        <v>0</v>
      </c>
      <c r="AS147" s="939"/>
      <c r="AT147" s="940"/>
      <c r="AU147" s="940"/>
      <c r="AV147" s="940"/>
      <c r="AW147" s="940"/>
      <c r="AX147" s="940"/>
      <c r="AY147" s="940"/>
      <c r="AZ147" s="940"/>
      <c r="BA147" s="940"/>
      <c r="BB147" s="940"/>
      <c r="BC147" s="940"/>
      <c r="BD147" s="941"/>
      <c r="BE147" s="938"/>
      <c r="BF147" s="332">
        <f t="shared" si="83"/>
        <v>0</v>
      </c>
      <c r="BG147" s="333">
        <f t="shared" si="75"/>
        <v>0</v>
      </c>
      <c r="BH147" s="329"/>
      <c r="BI147" s="330"/>
      <c r="BJ147" s="330"/>
      <c r="BK147" s="330"/>
      <c r="BL147" s="330"/>
      <c r="BM147" s="330"/>
      <c r="BN147" s="330"/>
      <c r="BO147" s="330"/>
      <c r="BP147" s="330"/>
      <c r="BQ147" s="330"/>
      <c r="BR147" s="330"/>
      <c r="BS147" s="331"/>
      <c r="BT147" s="326"/>
      <c r="BU147" s="332">
        <f t="shared" si="84"/>
        <v>0</v>
      </c>
      <c r="BV147" s="333">
        <f t="shared" si="76"/>
        <v>0</v>
      </c>
      <c r="BW147" s="329"/>
      <c r="BX147" s="330"/>
      <c r="BY147" s="330"/>
      <c r="BZ147" s="330"/>
      <c r="CA147" s="330"/>
      <c r="CB147" s="330"/>
      <c r="CC147" s="330"/>
      <c r="CD147" s="330"/>
      <c r="CE147" s="330"/>
      <c r="CF147" s="330"/>
      <c r="CG147" s="330"/>
      <c r="CH147" s="331"/>
      <c r="CI147" s="326"/>
      <c r="CJ147" s="332">
        <f t="shared" si="85"/>
        <v>0</v>
      </c>
      <c r="CK147" s="333">
        <f t="shared" si="77"/>
        <v>0</v>
      </c>
      <c r="CL147" s="334">
        <f t="shared" si="78"/>
        <v>0</v>
      </c>
      <c r="CM147" s="335">
        <f t="shared" si="79"/>
        <v>0</v>
      </c>
      <c r="CN147" s="336">
        <f t="shared" si="80"/>
        <v>0</v>
      </c>
      <c r="CQ147" s="480"/>
    </row>
    <row r="148" spans="1:95" s="33" customFormat="1" ht="24.75" customHeight="1">
      <c r="A148" s="1052"/>
      <c r="B148" s="1050"/>
      <c r="C148" s="1050"/>
      <c r="D148" s="895"/>
      <c r="E148" s="125" t="s">
        <v>107</v>
      </c>
      <c r="F148" s="898"/>
      <c r="G148" s="899"/>
      <c r="H148" s="899"/>
      <c r="I148" s="902"/>
      <c r="J148" s="674" t="s">
        <v>1990</v>
      </c>
      <c r="K148" s="374" t="str">
        <f>IFERROR(VLOOKUP(H148,справочник!$A$3:$B$12,2,0),"нет данных")</f>
        <v>нет данных</v>
      </c>
      <c r="L148" s="326"/>
      <c r="M148" s="399"/>
      <c r="N148" s="346">
        <f t="shared" si="72"/>
        <v>0</v>
      </c>
      <c r="O148" s="394"/>
      <c r="P148" s="352"/>
      <c r="Q148" s="352"/>
      <c r="R148" s="352"/>
      <c r="S148" s="352"/>
      <c r="T148" s="352"/>
      <c r="U148" s="324"/>
      <c r="V148" s="324"/>
      <c r="W148" s="324"/>
      <c r="X148" s="324"/>
      <c r="Y148" s="324"/>
      <c r="Z148" s="325"/>
      <c r="AA148" s="326"/>
      <c r="AB148" s="327">
        <f t="shared" si="81"/>
        <v>0</v>
      </c>
      <c r="AC148" s="328">
        <f t="shared" si="73"/>
        <v>0</v>
      </c>
      <c r="AD148" s="918"/>
      <c r="AE148" s="919"/>
      <c r="AF148" s="919"/>
      <c r="AG148" s="919"/>
      <c r="AH148" s="919"/>
      <c r="AI148" s="919"/>
      <c r="AJ148" s="919"/>
      <c r="AK148" s="919"/>
      <c r="AL148" s="919"/>
      <c r="AM148" s="919"/>
      <c r="AN148" s="919"/>
      <c r="AO148" s="920"/>
      <c r="AP148" s="917"/>
      <c r="AQ148" s="332">
        <f t="shared" si="82"/>
        <v>0</v>
      </c>
      <c r="AR148" s="333">
        <f t="shared" si="74"/>
        <v>0</v>
      </c>
      <c r="AS148" s="939"/>
      <c r="AT148" s="940"/>
      <c r="AU148" s="940"/>
      <c r="AV148" s="940"/>
      <c r="AW148" s="940"/>
      <c r="AX148" s="940"/>
      <c r="AY148" s="940"/>
      <c r="AZ148" s="940"/>
      <c r="BA148" s="940"/>
      <c r="BB148" s="940"/>
      <c r="BC148" s="940"/>
      <c r="BD148" s="941"/>
      <c r="BE148" s="938"/>
      <c r="BF148" s="332">
        <f t="shared" si="83"/>
        <v>0</v>
      </c>
      <c r="BG148" s="333">
        <f t="shared" si="75"/>
        <v>0</v>
      </c>
      <c r="BH148" s="329"/>
      <c r="BI148" s="330"/>
      <c r="BJ148" s="330"/>
      <c r="BK148" s="330"/>
      <c r="BL148" s="330"/>
      <c r="BM148" s="330"/>
      <c r="BN148" s="330"/>
      <c r="BO148" s="330"/>
      <c r="BP148" s="330"/>
      <c r="BQ148" s="330"/>
      <c r="BR148" s="330"/>
      <c r="BS148" s="331"/>
      <c r="BT148" s="326"/>
      <c r="BU148" s="332">
        <f t="shared" si="84"/>
        <v>0</v>
      </c>
      <c r="BV148" s="333">
        <f t="shared" si="76"/>
        <v>0</v>
      </c>
      <c r="BW148" s="329"/>
      <c r="BX148" s="330"/>
      <c r="BY148" s="330"/>
      <c r="BZ148" s="330"/>
      <c r="CA148" s="330"/>
      <c r="CB148" s="330"/>
      <c r="CC148" s="330"/>
      <c r="CD148" s="330"/>
      <c r="CE148" s="330"/>
      <c r="CF148" s="330"/>
      <c r="CG148" s="330"/>
      <c r="CH148" s="331"/>
      <c r="CI148" s="326"/>
      <c r="CJ148" s="332">
        <f t="shared" si="85"/>
        <v>0</v>
      </c>
      <c r="CK148" s="333">
        <f t="shared" si="77"/>
        <v>0</v>
      </c>
      <c r="CL148" s="334">
        <f t="shared" si="78"/>
        <v>0</v>
      </c>
      <c r="CM148" s="335">
        <f t="shared" si="79"/>
        <v>0</v>
      </c>
      <c r="CN148" s="336">
        <f t="shared" si="80"/>
        <v>0</v>
      </c>
      <c r="CQ148" s="480"/>
    </row>
    <row r="149" spans="1:95" s="33" customFormat="1" ht="29.25" customHeight="1">
      <c r="A149" s="1051" t="s">
        <v>141</v>
      </c>
      <c r="B149" s="1048" t="s">
        <v>1511</v>
      </c>
      <c r="C149" s="1048" t="s">
        <v>1492</v>
      </c>
      <c r="D149" s="895" t="s">
        <v>2042</v>
      </c>
      <c r="E149" s="125" t="s">
        <v>107</v>
      </c>
      <c r="F149" s="898"/>
      <c r="G149" s="899" t="s">
        <v>43</v>
      </c>
      <c r="H149" s="899" t="s">
        <v>61</v>
      </c>
      <c r="I149" s="902" t="s">
        <v>2052</v>
      </c>
      <c r="J149" s="674" t="s">
        <v>1990</v>
      </c>
      <c r="K149" s="374">
        <f>IFERROR(VLOOKUP(H149,справочник!$A$3:$B$12,2,0),"нет данных")</f>
        <v>15930</v>
      </c>
      <c r="L149" s="326"/>
      <c r="M149" s="399"/>
      <c r="N149" s="346">
        <f t="shared" si="72"/>
        <v>0</v>
      </c>
      <c r="O149" s="394"/>
      <c r="P149" s="352"/>
      <c r="Q149" s="352"/>
      <c r="R149" s="352"/>
      <c r="S149" s="352"/>
      <c r="T149" s="352"/>
      <c r="U149" s="324"/>
      <c r="V149" s="324"/>
      <c r="W149" s="324"/>
      <c r="X149" s="324"/>
      <c r="Y149" s="324"/>
      <c r="Z149" s="325"/>
      <c r="AA149" s="326"/>
      <c r="AB149" s="327">
        <f t="shared" si="81"/>
        <v>0</v>
      </c>
      <c r="AC149" s="328">
        <f t="shared" si="73"/>
        <v>0</v>
      </c>
      <c r="AD149" s="918"/>
      <c r="AE149" s="919"/>
      <c r="AF149" s="919"/>
      <c r="AG149" s="931">
        <v>6</v>
      </c>
      <c r="AH149" s="919"/>
      <c r="AI149" s="919"/>
      <c r="AJ149" s="919"/>
      <c r="AK149" s="919"/>
      <c r="AL149" s="919"/>
      <c r="AM149" s="919"/>
      <c r="AN149" s="932">
        <v>3</v>
      </c>
      <c r="AO149" s="920"/>
      <c r="AP149" s="917"/>
      <c r="AQ149" s="332">
        <f t="shared" si="82"/>
        <v>9</v>
      </c>
      <c r="AR149" s="333">
        <f t="shared" si="74"/>
        <v>143370</v>
      </c>
      <c r="AS149" s="939"/>
      <c r="AT149" s="940"/>
      <c r="AU149" s="940"/>
      <c r="AV149" s="945">
        <v>5</v>
      </c>
      <c r="AW149" s="940"/>
      <c r="AX149" s="940"/>
      <c r="AY149" s="940"/>
      <c r="AZ149" s="940"/>
      <c r="BA149" s="940"/>
      <c r="BB149" s="940"/>
      <c r="BC149" s="940"/>
      <c r="BD149" s="941"/>
      <c r="BE149" s="938"/>
      <c r="BF149" s="332">
        <f t="shared" si="83"/>
        <v>5</v>
      </c>
      <c r="BG149" s="333">
        <f t="shared" si="75"/>
        <v>79650</v>
      </c>
      <c r="BH149" s="329"/>
      <c r="BI149" s="330"/>
      <c r="BJ149" s="330"/>
      <c r="BK149" s="330"/>
      <c r="BL149" s="330"/>
      <c r="BM149" s="330"/>
      <c r="BN149" s="330"/>
      <c r="BO149" s="330"/>
      <c r="BP149" s="330"/>
      <c r="BQ149" s="330"/>
      <c r="BR149" s="330"/>
      <c r="BS149" s="331"/>
      <c r="BT149" s="326"/>
      <c r="BU149" s="332">
        <f t="shared" si="84"/>
        <v>0</v>
      </c>
      <c r="BV149" s="333">
        <f t="shared" si="76"/>
        <v>0</v>
      </c>
      <c r="BW149" s="329"/>
      <c r="BX149" s="330"/>
      <c r="BY149" s="330"/>
      <c r="BZ149" s="330"/>
      <c r="CA149" s="330"/>
      <c r="CB149" s="330"/>
      <c r="CC149" s="330"/>
      <c r="CD149" s="330"/>
      <c r="CE149" s="330"/>
      <c r="CF149" s="330"/>
      <c r="CG149" s="330"/>
      <c r="CH149" s="331"/>
      <c r="CI149" s="326"/>
      <c r="CJ149" s="332">
        <f t="shared" si="85"/>
        <v>0</v>
      </c>
      <c r="CK149" s="333">
        <f t="shared" si="77"/>
        <v>0</v>
      </c>
      <c r="CL149" s="334">
        <f t="shared" si="78"/>
        <v>0</v>
      </c>
      <c r="CM149" s="335">
        <f t="shared" si="79"/>
        <v>14</v>
      </c>
      <c r="CN149" s="336">
        <f t="shared" si="80"/>
        <v>223020</v>
      </c>
      <c r="CQ149" s="480"/>
    </row>
    <row r="150" spans="1:95" s="33" customFormat="1" ht="29.25" customHeight="1">
      <c r="A150" s="1052"/>
      <c r="B150" s="1050"/>
      <c r="C150" s="1050"/>
      <c r="D150" s="895" t="s">
        <v>2042</v>
      </c>
      <c r="E150" s="125" t="s">
        <v>107</v>
      </c>
      <c r="F150" s="898"/>
      <c r="G150" s="910" t="s">
        <v>43</v>
      </c>
      <c r="H150" s="910" t="s">
        <v>61</v>
      </c>
      <c r="I150" s="909" t="s">
        <v>2053</v>
      </c>
      <c r="J150" s="674" t="s">
        <v>1990</v>
      </c>
      <c r="K150" s="374">
        <f>IFERROR(VLOOKUP(H150,справочник!$A$3:$B$12,2,0),"нет данных")</f>
        <v>15930</v>
      </c>
      <c r="L150" s="326"/>
      <c r="M150" s="399"/>
      <c r="N150" s="346">
        <f t="shared" si="72"/>
        <v>0</v>
      </c>
      <c r="O150" s="394"/>
      <c r="P150" s="352"/>
      <c r="Q150" s="352"/>
      <c r="R150" s="352"/>
      <c r="S150" s="352"/>
      <c r="T150" s="352"/>
      <c r="U150" s="324"/>
      <c r="V150" s="324"/>
      <c r="W150" s="324"/>
      <c r="X150" s="324"/>
      <c r="Y150" s="324"/>
      <c r="Z150" s="325"/>
      <c r="AA150" s="326"/>
      <c r="AB150" s="327">
        <f t="shared" si="81"/>
        <v>0</v>
      </c>
      <c r="AC150" s="328">
        <f t="shared" si="73"/>
        <v>0</v>
      </c>
      <c r="AD150" s="918"/>
      <c r="AE150" s="919"/>
      <c r="AF150" s="919"/>
      <c r="AG150" s="931">
        <v>6</v>
      </c>
      <c r="AH150" s="919"/>
      <c r="AI150" s="919"/>
      <c r="AJ150" s="919"/>
      <c r="AK150" s="919"/>
      <c r="AL150" s="919"/>
      <c r="AM150" s="919"/>
      <c r="AN150" s="930">
        <v>3</v>
      </c>
      <c r="AO150" s="920"/>
      <c r="AP150" s="917"/>
      <c r="AQ150" s="332">
        <f t="shared" si="82"/>
        <v>9</v>
      </c>
      <c r="AR150" s="333">
        <f t="shared" si="74"/>
        <v>143370</v>
      </c>
      <c r="AS150" s="939"/>
      <c r="AT150" s="940"/>
      <c r="AU150" s="940"/>
      <c r="AV150" s="945">
        <v>5</v>
      </c>
      <c r="AW150" s="940"/>
      <c r="AX150" s="940"/>
      <c r="AY150" s="940"/>
      <c r="AZ150" s="940"/>
      <c r="BA150" s="940"/>
      <c r="BB150" s="940"/>
      <c r="BC150" s="940"/>
      <c r="BD150" s="941"/>
      <c r="BE150" s="938"/>
      <c r="BF150" s="332">
        <f t="shared" si="83"/>
        <v>5</v>
      </c>
      <c r="BG150" s="333">
        <f t="shared" si="75"/>
        <v>79650</v>
      </c>
      <c r="BH150" s="329"/>
      <c r="BI150" s="330"/>
      <c r="BJ150" s="330"/>
      <c r="BK150" s="330"/>
      <c r="BL150" s="330"/>
      <c r="BM150" s="330"/>
      <c r="BN150" s="330"/>
      <c r="BO150" s="330"/>
      <c r="BP150" s="330"/>
      <c r="BQ150" s="330"/>
      <c r="BR150" s="330"/>
      <c r="BS150" s="331"/>
      <c r="BT150" s="326"/>
      <c r="BU150" s="332">
        <f t="shared" si="84"/>
        <v>0</v>
      </c>
      <c r="BV150" s="333">
        <f t="shared" si="76"/>
        <v>0</v>
      </c>
      <c r="BW150" s="329"/>
      <c r="BX150" s="330"/>
      <c r="BY150" s="330"/>
      <c r="BZ150" s="330"/>
      <c r="CA150" s="330"/>
      <c r="CB150" s="330"/>
      <c r="CC150" s="330"/>
      <c r="CD150" s="330"/>
      <c r="CE150" s="330"/>
      <c r="CF150" s="330"/>
      <c r="CG150" s="330"/>
      <c r="CH150" s="331"/>
      <c r="CI150" s="326"/>
      <c r="CJ150" s="332">
        <f t="shared" si="85"/>
        <v>0</v>
      </c>
      <c r="CK150" s="333">
        <f t="shared" si="77"/>
        <v>0</v>
      </c>
      <c r="CL150" s="334">
        <f t="shared" si="78"/>
        <v>0</v>
      </c>
      <c r="CM150" s="335">
        <f t="shared" si="79"/>
        <v>14</v>
      </c>
      <c r="CN150" s="336">
        <f t="shared" si="80"/>
        <v>223020</v>
      </c>
      <c r="CQ150" s="480"/>
    </row>
    <row r="151" spans="1:95" s="33" customFormat="1" ht="29.25" customHeight="1">
      <c r="A151" s="1051" t="s">
        <v>142</v>
      </c>
      <c r="B151" s="1048" t="s">
        <v>95</v>
      </c>
      <c r="C151" s="1048" t="s">
        <v>1536</v>
      </c>
      <c r="D151" s="895"/>
      <c r="E151" s="125" t="s">
        <v>107</v>
      </c>
      <c r="F151" s="898"/>
      <c r="G151" s="899" t="s">
        <v>43</v>
      </c>
      <c r="H151" s="899" t="s">
        <v>61</v>
      </c>
      <c r="I151" s="902" t="s">
        <v>2052</v>
      </c>
      <c r="J151" s="674" t="s">
        <v>1990</v>
      </c>
      <c r="K151" s="374">
        <f>IFERROR(VLOOKUP(H151,справочник!$A$3:$B$12,2,0),"нет данных")</f>
        <v>15930</v>
      </c>
      <c r="L151" s="326"/>
      <c r="M151" s="399"/>
      <c r="N151" s="346">
        <f t="shared" si="72"/>
        <v>0</v>
      </c>
      <c r="O151" s="394"/>
      <c r="P151" s="352"/>
      <c r="Q151" s="352"/>
      <c r="R151" s="352"/>
      <c r="S151" s="352"/>
      <c r="T151" s="352"/>
      <c r="U151" s="324"/>
      <c r="V151" s="324"/>
      <c r="W151" s="324"/>
      <c r="X151" s="324"/>
      <c r="Y151" s="324"/>
      <c r="Z151" s="325"/>
      <c r="AA151" s="326"/>
      <c r="AB151" s="327">
        <f t="shared" si="81"/>
        <v>0</v>
      </c>
      <c r="AC151" s="328">
        <f t="shared" si="73"/>
        <v>0</v>
      </c>
      <c r="AD151" s="918"/>
      <c r="AE151" s="919"/>
      <c r="AF151" s="931">
        <v>10</v>
      </c>
      <c r="AG151" s="919"/>
      <c r="AH151" s="919"/>
      <c r="AI151" s="919"/>
      <c r="AJ151" s="919"/>
      <c r="AK151" s="919"/>
      <c r="AL151" s="919"/>
      <c r="AM151" s="919"/>
      <c r="AN151" s="919"/>
      <c r="AO151" s="920"/>
      <c r="AP151" s="917"/>
      <c r="AQ151" s="332">
        <f t="shared" si="82"/>
        <v>10</v>
      </c>
      <c r="AR151" s="333">
        <f t="shared" si="74"/>
        <v>159300</v>
      </c>
      <c r="AS151" s="939"/>
      <c r="AT151" s="940"/>
      <c r="AU151" s="940"/>
      <c r="AV151" s="940"/>
      <c r="AW151" s="940"/>
      <c r="AX151" s="940"/>
      <c r="AY151" s="940"/>
      <c r="AZ151" s="940"/>
      <c r="BA151" s="940"/>
      <c r="BB151" s="940"/>
      <c r="BC151" s="940"/>
      <c r="BD151" s="941"/>
      <c r="BE151" s="938"/>
      <c r="BF151" s="332">
        <f t="shared" si="83"/>
        <v>0</v>
      </c>
      <c r="BG151" s="333">
        <f t="shared" si="75"/>
        <v>0</v>
      </c>
      <c r="BH151" s="329"/>
      <c r="BI151" s="330"/>
      <c r="BJ151" s="330"/>
      <c r="BK151" s="330"/>
      <c r="BL151" s="330"/>
      <c r="BM151" s="330"/>
      <c r="BN151" s="330"/>
      <c r="BO151" s="330"/>
      <c r="BP151" s="330"/>
      <c r="BQ151" s="330"/>
      <c r="BR151" s="330"/>
      <c r="BS151" s="331"/>
      <c r="BT151" s="326"/>
      <c r="BU151" s="332">
        <f t="shared" si="84"/>
        <v>0</v>
      </c>
      <c r="BV151" s="333">
        <f t="shared" si="76"/>
        <v>0</v>
      </c>
      <c r="BW151" s="329"/>
      <c r="BX151" s="330"/>
      <c r="BY151" s="330"/>
      <c r="BZ151" s="330"/>
      <c r="CA151" s="330"/>
      <c r="CB151" s="330"/>
      <c r="CC151" s="330"/>
      <c r="CD151" s="330"/>
      <c r="CE151" s="330"/>
      <c r="CF151" s="330"/>
      <c r="CG151" s="330"/>
      <c r="CH151" s="331"/>
      <c r="CI151" s="326"/>
      <c r="CJ151" s="332">
        <f t="shared" si="85"/>
        <v>0</v>
      </c>
      <c r="CK151" s="333">
        <f t="shared" si="77"/>
        <v>0</v>
      </c>
      <c r="CL151" s="334">
        <f t="shared" si="78"/>
        <v>0</v>
      </c>
      <c r="CM151" s="335">
        <f t="shared" si="79"/>
        <v>10</v>
      </c>
      <c r="CN151" s="336">
        <f t="shared" si="80"/>
        <v>159300</v>
      </c>
      <c r="CQ151" s="480"/>
    </row>
    <row r="152" spans="1:95" s="866" customFormat="1" ht="29.25" customHeight="1">
      <c r="A152" s="1068"/>
      <c r="B152" s="1049"/>
      <c r="C152" s="1049"/>
      <c r="D152" s="895"/>
      <c r="E152" s="867" t="s">
        <v>107</v>
      </c>
      <c r="F152" s="898"/>
      <c r="G152" s="910" t="s">
        <v>43</v>
      </c>
      <c r="H152" s="910" t="s">
        <v>61</v>
      </c>
      <c r="I152" s="909" t="s">
        <v>2053</v>
      </c>
      <c r="J152" s="674" t="s">
        <v>1990</v>
      </c>
      <c r="K152" s="883">
        <f>IFERROR(VLOOKUP(H152,справочник!$A$3:$B$12,2,0),"нет данных")</f>
        <v>15930</v>
      </c>
      <c r="L152" s="870"/>
      <c r="M152" s="885"/>
      <c r="N152" s="881">
        <f t="shared" ref="N152" si="366">IFERROR(ROUND((K152*M152+K152*L152),2),0)</f>
        <v>0</v>
      </c>
      <c r="O152" s="884"/>
      <c r="P152" s="882"/>
      <c r="Q152" s="882"/>
      <c r="R152" s="882"/>
      <c r="S152" s="882"/>
      <c r="T152" s="882"/>
      <c r="U152" s="868"/>
      <c r="V152" s="868"/>
      <c r="W152" s="868"/>
      <c r="X152" s="868"/>
      <c r="Y152" s="868"/>
      <c r="Z152" s="869"/>
      <c r="AA152" s="870"/>
      <c r="AB152" s="871">
        <f t="shared" ref="AB152" si="367">SUM(O152:Z152)</f>
        <v>0</v>
      </c>
      <c r="AC152" s="872">
        <f t="shared" ref="AC152" si="368">IFERROR(ROUND(($K152*AB152+$K152*AA152),2),0)</f>
        <v>0</v>
      </c>
      <c r="AD152" s="918"/>
      <c r="AE152" s="919"/>
      <c r="AF152" s="931">
        <v>10</v>
      </c>
      <c r="AG152" s="919"/>
      <c r="AH152" s="919"/>
      <c r="AI152" s="919"/>
      <c r="AJ152" s="919"/>
      <c r="AK152" s="919"/>
      <c r="AL152" s="919"/>
      <c r="AM152" s="919"/>
      <c r="AN152" s="919"/>
      <c r="AO152" s="920"/>
      <c r="AP152" s="917"/>
      <c r="AQ152" s="876">
        <f t="shared" ref="AQ152" si="369">SUM(AD152:AO152)</f>
        <v>10</v>
      </c>
      <c r="AR152" s="877">
        <f t="shared" ref="AR152" si="370">IFERROR(ROUND(($K152*AQ152+$K152*AP152),2),0)</f>
        <v>159300</v>
      </c>
      <c r="AS152" s="939"/>
      <c r="AT152" s="940"/>
      <c r="AU152" s="940"/>
      <c r="AV152" s="940"/>
      <c r="AW152" s="940"/>
      <c r="AX152" s="940"/>
      <c r="AY152" s="940"/>
      <c r="AZ152" s="940"/>
      <c r="BA152" s="940"/>
      <c r="BB152" s="940"/>
      <c r="BC152" s="940"/>
      <c r="BD152" s="941"/>
      <c r="BE152" s="938"/>
      <c r="BF152" s="876">
        <f t="shared" ref="BF152" si="371">SUM(AS152:BD152)</f>
        <v>0</v>
      </c>
      <c r="BG152" s="877">
        <f t="shared" ref="BG152" si="372">IFERROR(ROUND(($K152*BF152+$K152*BE152),2),0)</f>
        <v>0</v>
      </c>
      <c r="BH152" s="873"/>
      <c r="BI152" s="874"/>
      <c r="BJ152" s="874"/>
      <c r="BK152" s="874"/>
      <c r="BL152" s="874"/>
      <c r="BM152" s="874"/>
      <c r="BN152" s="874"/>
      <c r="BO152" s="874"/>
      <c r="BP152" s="874"/>
      <c r="BQ152" s="874"/>
      <c r="BR152" s="874"/>
      <c r="BS152" s="875"/>
      <c r="BT152" s="870"/>
      <c r="BU152" s="876">
        <f t="shared" ref="BU152" si="373">SUM(BH152:BS152)</f>
        <v>0</v>
      </c>
      <c r="BV152" s="877">
        <f t="shared" ref="BV152" si="374">IFERROR(ROUND(($K152*BU152+$K152*BT152),2),0)</f>
        <v>0</v>
      </c>
      <c r="BW152" s="873"/>
      <c r="BX152" s="874"/>
      <c r="BY152" s="874"/>
      <c r="BZ152" s="874"/>
      <c r="CA152" s="874"/>
      <c r="CB152" s="874"/>
      <c r="CC152" s="874"/>
      <c r="CD152" s="874"/>
      <c r="CE152" s="874"/>
      <c r="CF152" s="874"/>
      <c r="CG152" s="874"/>
      <c r="CH152" s="875"/>
      <c r="CI152" s="870"/>
      <c r="CJ152" s="876">
        <f t="shared" ref="CJ152" si="375">SUM(BW152:CH152)</f>
        <v>0</v>
      </c>
      <c r="CK152" s="877">
        <f t="shared" ref="CK152" si="376">IFERROR(ROUND(($K152*CJ152+$K152*CI152),2),0)</f>
        <v>0</v>
      </c>
      <c r="CL152" s="878">
        <f t="shared" ref="CL152" si="377">AA152+AP152+L152+BE152+BT152+CI152</f>
        <v>0</v>
      </c>
      <c r="CM152" s="879">
        <f t="shared" ref="CM152" si="378">AB152+AQ152+M152+BF152+BU152+CJ152</f>
        <v>10</v>
      </c>
      <c r="CN152" s="880">
        <f t="shared" ref="CN152" si="379">AC152+AR152+N152+BG152+BV152+CK152</f>
        <v>159300</v>
      </c>
      <c r="CQ152" s="886"/>
    </row>
    <row r="153" spans="1:95" s="33" customFormat="1" ht="29.25" customHeight="1">
      <c r="A153" s="1052"/>
      <c r="B153" s="1050"/>
      <c r="C153" s="1050"/>
      <c r="D153" s="895"/>
      <c r="E153" s="125" t="s">
        <v>107</v>
      </c>
      <c r="F153" s="898"/>
      <c r="G153" s="899" t="s">
        <v>1628</v>
      </c>
      <c r="H153" s="899" t="s">
        <v>59</v>
      </c>
      <c r="I153" s="908" t="s">
        <v>2056</v>
      </c>
      <c r="J153" s="674" t="s">
        <v>1990</v>
      </c>
      <c r="K153" s="374">
        <f>IFERROR(VLOOKUP(H153,справочник!$A$3:$B$12,2,0),"нет данных")</f>
        <v>9050</v>
      </c>
      <c r="L153" s="326"/>
      <c r="M153" s="399"/>
      <c r="N153" s="346">
        <f t="shared" si="72"/>
        <v>0</v>
      </c>
      <c r="O153" s="394"/>
      <c r="P153" s="352"/>
      <c r="Q153" s="352"/>
      <c r="R153" s="352"/>
      <c r="S153" s="352"/>
      <c r="T153" s="352"/>
      <c r="U153" s="324"/>
      <c r="V153" s="324"/>
      <c r="W153" s="324"/>
      <c r="X153" s="324"/>
      <c r="Y153" s="324"/>
      <c r="Z153" s="325"/>
      <c r="AA153" s="326"/>
      <c r="AB153" s="327">
        <f t="shared" si="81"/>
        <v>0</v>
      </c>
      <c r="AC153" s="328">
        <f t="shared" si="73"/>
        <v>0</v>
      </c>
      <c r="AD153" s="918"/>
      <c r="AE153" s="934">
        <v>5</v>
      </c>
      <c r="AF153" s="931">
        <v>10</v>
      </c>
      <c r="AG153" s="919"/>
      <c r="AH153" s="919"/>
      <c r="AI153" s="919"/>
      <c r="AJ153" s="919"/>
      <c r="AK153" s="919"/>
      <c r="AL153" s="919"/>
      <c r="AM153" s="919"/>
      <c r="AN153" s="919"/>
      <c r="AO153" s="920"/>
      <c r="AP153" s="917"/>
      <c r="AQ153" s="332">
        <f t="shared" si="82"/>
        <v>15</v>
      </c>
      <c r="AR153" s="333">
        <f t="shared" si="74"/>
        <v>135750</v>
      </c>
      <c r="AS153" s="939"/>
      <c r="AT153" s="940"/>
      <c r="AU153" s="940"/>
      <c r="AV153" s="940"/>
      <c r="AW153" s="940"/>
      <c r="AX153" s="940"/>
      <c r="AY153" s="940"/>
      <c r="AZ153" s="940"/>
      <c r="BA153" s="940"/>
      <c r="BB153" s="940"/>
      <c r="BC153" s="940"/>
      <c r="BD153" s="941"/>
      <c r="BE153" s="938"/>
      <c r="BF153" s="332">
        <f t="shared" si="83"/>
        <v>0</v>
      </c>
      <c r="BG153" s="333">
        <f t="shared" si="75"/>
        <v>0</v>
      </c>
      <c r="BH153" s="329"/>
      <c r="BI153" s="330"/>
      <c r="BJ153" s="330"/>
      <c r="BK153" s="330"/>
      <c r="BL153" s="330"/>
      <c r="BM153" s="330"/>
      <c r="BN153" s="330"/>
      <c r="BO153" s="330"/>
      <c r="BP153" s="330"/>
      <c r="BQ153" s="330"/>
      <c r="BR153" s="330"/>
      <c r="BS153" s="331"/>
      <c r="BT153" s="326"/>
      <c r="BU153" s="332">
        <f t="shared" si="84"/>
        <v>0</v>
      </c>
      <c r="BV153" s="333">
        <f t="shared" si="76"/>
        <v>0</v>
      </c>
      <c r="BW153" s="329"/>
      <c r="BX153" s="330"/>
      <c r="BY153" s="330"/>
      <c r="BZ153" s="330"/>
      <c r="CA153" s="330"/>
      <c r="CB153" s="330"/>
      <c r="CC153" s="330"/>
      <c r="CD153" s="330"/>
      <c r="CE153" s="330"/>
      <c r="CF153" s="330"/>
      <c r="CG153" s="330"/>
      <c r="CH153" s="331"/>
      <c r="CI153" s="326"/>
      <c r="CJ153" s="332">
        <f t="shared" si="85"/>
        <v>0</v>
      </c>
      <c r="CK153" s="333">
        <f t="shared" si="77"/>
        <v>0</v>
      </c>
      <c r="CL153" s="334">
        <f t="shared" si="78"/>
        <v>0</v>
      </c>
      <c r="CM153" s="335">
        <f t="shared" si="79"/>
        <v>15</v>
      </c>
      <c r="CN153" s="336">
        <f t="shared" si="80"/>
        <v>135750</v>
      </c>
      <c r="CQ153" s="480"/>
    </row>
    <row r="154" spans="1:95" s="33" customFormat="1" ht="29.25" customHeight="1">
      <c r="A154" s="1051" t="s">
        <v>143</v>
      </c>
      <c r="B154" s="1048" t="s">
        <v>1538</v>
      </c>
      <c r="C154" s="1048" t="s">
        <v>1539</v>
      </c>
      <c r="D154" s="895"/>
      <c r="E154" s="125" t="s">
        <v>107</v>
      </c>
      <c r="F154" s="898"/>
      <c r="G154" s="903"/>
      <c r="H154" s="903"/>
      <c r="I154" s="902"/>
      <c r="J154" s="674" t="s">
        <v>1990</v>
      </c>
      <c r="K154" s="374" t="str">
        <f>IFERROR(VLOOKUP(H154,справочник!$A$3:$B$12,2,0),"нет данных")</f>
        <v>нет данных</v>
      </c>
      <c r="L154" s="326"/>
      <c r="M154" s="399"/>
      <c r="N154" s="346">
        <f t="shared" si="72"/>
        <v>0</v>
      </c>
      <c r="O154" s="394"/>
      <c r="P154" s="352"/>
      <c r="Q154" s="352"/>
      <c r="R154" s="352"/>
      <c r="S154" s="352"/>
      <c r="T154" s="352"/>
      <c r="U154" s="324"/>
      <c r="V154" s="324"/>
      <c r="W154" s="324"/>
      <c r="X154" s="324"/>
      <c r="Y154" s="324"/>
      <c r="Z154" s="325"/>
      <c r="AA154" s="326"/>
      <c r="AB154" s="327">
        <f t="shared" si="81"/>
        <v>0</v>
      </c>
      <c r="AC154" s="328">
        <f t="shared" si="73"/>
        <v>0</v>
      </c>
      <c r="AD154" s="918"/>
      <c r="AE154" s="919"/>
      <c r="AF154" s="919"/>
      <c r="AG154" s="919"/>
      <c r="AH154" s="919"/>
      <c r="AI154" s="919"/>
      <c r="AJ154" s="919"/>
      <c r="AK154" s="919"/>
      <c r="AL154" s="919"/>
      <c r="AM154" s="919"/>
      <c r="AN154" s="919"/>
      <c r="AO154" s="920"/>
      <c r="AP154" s="917"/>
      <c r="AQ154" s="332">
        <f t="shared" si="82"/>
        <v>0</v>
      </c>
      <c r="AR154" s="333">
        <f t="shared" si="74"/>
        <v>0</v>
      </c>
      <c r="AS154" s="939"/>
      <c r="AT154" s="940"/>
      <c r="AU154" s="940"/>
      <c r="AV154" s="940"/>
      <c r="AW154" s="940"/>
      <c r="AX154" s="940"/>
      <c r="AY154" s="940"/>
      <c r="AZ154" s="940"/>
      <c r="BA154" s="940"/>
      <c r="BB154" s="940"/>
      <c r="BC154" s="940"/>
      <c r="BD154" s="941"/>
      <c r="BE154" s="938"/>
      <c r="BF154" s="332">
        <f t="shared" si="83"/>
        <v>0</v>
      </c>
      <c r="BG154" s="333">
        <f t="shared" si="75"/>
        <v>0</v>
      </c>
      <c r="BH154" s="329"/>
      <c r="BI154" s="330"/>
      <c r="BJ154" s="330"/>
      <c r="BK154" s="330"/>
      <c r="BL154" s="330"/>
      <c r="BM154" s="330"/>
      <c r="BN154" s="330"/>
      <c r="BO154" s="330"/>
      <c r="BP154" s="330"/>
      <c r="BQ154" s="330"/>
      <c r="BR154" s="330"/>
      <c r="BS154" s="331"/>
      <c r="BT154" s="326"/>
      <c r="BU154" s="332">
        <f t="shared" si="84"/>
        <v>0</v>
      </c>
      <c r="BV154" s="333">
        <f t="shared" si="76"/>
        <v>0</v>
      </c>
      <c r="BW154" s="329"/>
      <c r="BX154" s="330"/>
      <c r="BY154" s="330"/>
      <c r="BZ154" s="330"/>
      <c r="CA154" s="330"/>
      <c r="CB154" s="330"/>
      <c r="CC154" s="330"/>
      <c r="CD154" s="330"/>
      <c r="CE154" s="330"/>
      <c r="CF154" s="330"/>
      <c r="CG154" s="330"/>
      <c r="CH154" s="331"/>
      <c r="CI154" s="326"/>
      <c r="CJ154" s="332">
        <f t="shared" si="85"/>
        <v>0</v>
      </c>
      <c r="CK154" s="333">
        <f t="shared" si="77"/>
        <v>0</v>
      </c>
      <c r="CL154" s="334">
        <f t="shared" si="78"/>
        <v>0</v>
      </c>
      <c r="CM154" s="335">
        <f t="shared" si="79"/>
        <v>0</v>
      </c>
      <c r="CN154" s="336">
        <f t="shared" si="80"/>
        <v>0</v>
      </c>
      <c r="CQ154" s="480"/>
    </row>
    <row r="155" spans="1:95" s="866" customFormat="1" ht="29.25" customHeight="1">
      <c r="A155" s="1068"/>
      <c r="B155" s="1049"/>
      <c r="C155" s="1049"/>
      <c r="D155" s="895"/>
      <c r="E155" s="867" t="s">
        <v>107</v>
      </c>
      <c r="F155" s="898"/>
      <c r="G155" s="910" t="s">
        <v>43</v>
      </c>
      <c r="H155" s="910" t="s">
        <v>61</v>
      </c>
      <c r="I155" s="909" t="s">
        <v>2053</v>
      </c>
      <c r="J155" s="674" t="s">
        <v>1990</v>
      </c>
      <c r="K155" s="883">
        <f>IFERROR(VLOOKUP(H155,справочник!$A$3:$B$12,2,0),"нет данных")</f>
        <v>15930</v>
      </c>
      <c r="L155" s="870"/>
      <c r="M155" s="885"/>
      <c r="N155" s="881">
        <f t="shared" ref="N155" si="380">IFERROR(ROUND((K155*M155+K155*L155),2),0)</f>
        <v>0</v>
      </c>
      <c r="O155" s="884"/>
      <c r="P155" s="882"/>
      <c r="Q155" s="882"/>
      <c r="R155" s="882"/>
      <c r="S155" s="882"/>
      <c r="T155" s="882"/>
      <c r="U155" s="868"/>
      <c r="V155" s="868"/>
      <c r="W155" s="868"/>
      <c r="X155" s="868"/>
      <c r="Y155" s="868"/>
      <c r="Z155" s="869"/>
      <c r="AA155" s="870"/>
      <c r="AB155" s="871">
        <f t="shared" ref="AB155" si="381">SUM(O155:Z155)</f>
        <v>0</v>
      </c>
      <c r="AC155" s="872">
        <f t="shared" ref="AC155" si="382">IFERROR(ROUND(($K155*AB155+$K155*AA155),2),0)</f>
        <v>0</v>
      </c>
      <c r="AD155" s="918"/>
      <c r="AE155" s="919"/>
      <c r="AF155" s="931">
        <v>10</v>
      </c>
      <c r="AG155" s="931">
        <v>15</v>
      </c>
      <c r="AH155" s="919"/>
      <c r="AI155" s="919"/>
      <c r="AJ155" s="919"/>
      <c r="AK155" s="919"/>
      <c r="AL155" s="919"/>
      <c r="AM155" s="919"/>
      <c r="AN155" s="919"/>
      <c r="AO155" s="920"/>
      <c r="AP155" s="917"/>
      <c r="AQ155" s="876">
        <f t="shared" ref="AQ155" si="383">SUM(AD155:AO155)</f>
        <v>25</v>
      </c>
      <c r="AR155" s="877">
        <f t="shared" ref="AR155" si="384">IFERROR(ROUND(($K155*AQ155+$K155*AP155),2),0)</f>
        <v>398250</v>
      </c>
      <c r="AS155" s="939"/>
      <c r="AT155" s="940"/>
      <c r="AU155" s="940"/>
      <c r="AV155" s="940"/>
      <c r="AW155" s="940"/>
      <c r="AX155" s="940"/>
      <c r="AY155" s="940"/>
      <c r="AZ155" s="940"/>
      <c r="BA155" s="940"/>
      <c r="BB155" s="940"/>
      <c r="BC155" s="940"/>
      <c r="BD155" s="941"/>
      <c r="BE155" s="938"/>
      <c r="BF155" s="876">
        <f t="shared" ref="BF155" si="385">SUM(AS155:BD155)</f>
        <v>0</v>
      </c>
      <c r="BG155" s="877">
        <f t="shared" ref="BG155" si="386">IFERROR(ROUND(($K155*BF155+$K155*BE155),2),0)</f>
        <v>0</v>
      </c>
      <c r="BH155" s="873"/>
      <c r="BI155" s="874"/>
      <c r="BJ155" s="874"/>
      <c r="BK155" s="874"/>
      <c r="BL155" s="874"/>
      <c r="BM155" s="874"/>
      <c r="BN155" s="874"/>
      <c r="BO155" s="874"/>
      <c r="BP155" s="874"/>
      <c r="BQ155" s="874"/>
      <c r="BR155" s="874"/>
      <c r="BS155" s="875"/>
      <c r="BT155" s="870"/>
      <c r="BU155" s="876">
        <f t="shared" ref="BU155" si="387">SUM(BH155:BS155)</f>
        <v>0</v>
      </c>
      <c r="BV155" s="877">
        <f t="shared" ref="BV155" si="388">IFERROR(ROUND(($K155*BU155+$K155*BT155),2),0)</f>
        <v>0</v>
      </c>
      <c r="BW155" s="873"/>
      <c r="BX155" s="874"/>
      <c r="BY155" s="874"/>
      <c r="BZ155" s="874"/>
      <c r="CA155" s="874"/>
      <c r="CB155" s="874"/>
      <c r="CC155" s="874"/>
      <c r="CD155" s="874"/>
      <c r="CE155" s="874"/>
      <c r="CF155" s="874"/>
      <c r="CG155" s="874"/>
      <c r="CH155" s="875"/>
      <c r="CI155" s="870"/>
      <c r="CJ155" s="876">
        <f t="shared" ref="CJ155" si="389">SUM(BW155:CH155)</f>
        <v>0</v>
      </c>
      <c r="CK155" s="877">
        <f t="shared" ref="CK155" si="390">IFERROR(ROUND(($K155*CJ155+$K155*CI155),2),0)</f>
        <v>0</v>
      </c>
      <c r="CL155" s="878">
        <f t="shared" ref="CL155" si="391">AA155+AP155+L155+BE155+BT155+CI155</f>
        <v>0</v>
      </c>
      <c r="CM155" s="879">
        <f t="shared" ref="CM155" si="392">AB155+AQ155+M155+BF155+BU155+CJ155</f>
        <v>25</v>
      </c>
      <c r="CN155" s="880">
        <f t="shared" ref="CN155" si="393">AC155+AR155+N155+BG155+BV155+CK155</f>
        <v>398250</v>
      </c>
      <c r="CQ155" s="886"/>
    </row>
    <row r="156" spans="1:95" s="33" customFormat="1" ht="29.25" customHeight="1">
      <c r="A156" s="1052"/>
      <c r="B156" s="1050"/>
      <c r="C156" s="1050"/>
      <c r="D156" s="895"/>
      <c r="E156" s="125" t="s">
        <v>107</v>
      </c>
      <c r="F156" s="898"/>
      <c r="G156" s="899" t="s">
        <v>43</v>
      </c>
      <c r="H156" s="899" t="s">
        <v>61</v>
      </c>
      <c r="I156" s="902" t="s">
        <v>2052</v>
      </c>
      <c r="J156" s="674" t="s">
        <v>1990</v>
      </c>
      <c r="K156" s="374">
        <f>IFERROR(VLOOKUP(H156,справочник!$A$3:$B$12,2,0),"нет данных")</f>
        <v>15930</v>
      </c>
      <c r="L156" s="326"/>
      <c r="M156" s="399"/>
      <c r="N156" s="346">
        <f t="shared" si="72"/>
        <v>0</v>
      </c>
      <c r="O156" s="394"/>
      <c r="P156" s="352"/>
      <c r="Q156" s="352"/>
      <c r="R156" s="352"/>
      <c r="S156" s="352"/>
      <c r="T156" s="352"/>
      <c r="U156" s="324"/>
      <c r="V156" s="324"/>
      <c r="W156" s="324"/>
      <c r="X156" s="324"/>
      <c r="Y156" s="324"/>
      <c r="Z156" s="325"/>
      <c r="AA156" s="326"/>
      <c r="AB156" s="327">
        <f t="shared" si="81"/>
        <v>0</v>
      </c>
      <c r="AC156" s="328">
        <f t="shared" si="73"/>
        <v>0</v>
      </c>
      <c r="AD156" s="918"/>
      <c r="AE156" s="919"/>
      <c r="AF156" s="931">
        <v>10</v>
      </c>
      <c r="AG156" s="931">
        <v>15</v>
      </c>
      <c r="AH156" s="919"/>
      <c r="AI156" s="919"/>
      <c r="AJ156" s="919"/>
      <c r="AK156" s="919"/>
      <c r="AL156" s="919"/>
      <c r="AM156" s="919"/>
      <c r="AN156" s="919"/>
      <c r="AO156" s="920"/>
      <c r="AP156" s="917"/>
      <c r="AQ156" s="332">
        <f t="shared" si="82"/>
        <v>25</v>
      </c>
      <c r="AR156" s="333">
        <f t="shared" si="74"/>
        <v>398250</v>
      </c>
      <c r="AS156" s="939"/>
      <c r="AT156" s="940"/>
      <c r="AU156" s="940"/>
      <c r="AV156" s="940"/>
      <c r="AW156" s="940"/>
      <c r="AX156" s="940"/>
      <c r="AY156" s="940"/>
      <c r="AZ156" s="940"/>
      <c r="BA156" s="940"/>
      <c r="BB156" s="940"/>
      <c r="BC156" s="940"/>
      <c r="BD156" s="941"/>
      <c r="BE156" s="938"/>
      <c r="BF156" s="332">
        <f t="shared" si="83"/>
        <v>0</v>
      </c>
      <c r="BG156" s="333">
        <f t="shared" si="75"/>
        <v>0</v>
      </c>
      <c r="BH156" s="329"/>
      <c r="BI156" s="330"/>
      <c r="BJ156" s="330"/>
      <c r="BK156" s="330"/>
      <c r="BL156" s="330"/>
      <c r="BM156" s="330"/>
      <c r="BN156" s="330"/>
      <c r="BO156" s="330"/>
      <c r="BP156" s="330"/>
      <c r="BQ156" s="330"/>
      <c r="BR156" s="330"/>
      <c r="BS156" s="331"/>
      <c r="BT156" s="326"/>
      <c r="BU156" s="332">
        <f t="shared" si="84"/>
        <v>0</v>
      </c>
      <c r="BV156" s="333">
        <f t="shared" si="76"/>
        <v>0</v>
      </c>
      <c r="BW156" s="329"/>
      <c r="BX156" s="330"/>
      <c r="BY156" s="330"/>
      <c r="BZ156" s="330"/>
      <c r="CA156" s="330"/>
      <c r="CB156" s="330"/>
      <c r="CC156" s="330"/>
      <c r="CD156" s="330"/>
      <c r="CE156" s="330"/>
      <c r="CF156" s="330"/>
      <c r="CG156" s="330"/>
      <c r="CH156" s="331"/>
      <c r="CI156" s="326"/>
      <c r="CJ156" s="332">
        <f t="shared" si="85"/>
        <v>0</v>
      </c>
      <c r="CK156" s="333">
        <f t="shared" si="77"/>
        <v>0</v>
      </c>
      <c r="CL156" s="334">
        <f t="shared" si="78"/>
        <v>0</v>
      </c>
      <c r="CM156" s="335">
        <f t="shared" si="79"/>
        <v>25</v>
      </c>
      <c r="CN156" s="336">
        <f t="shared" si="80"/>
        <v>398250</v>
      </c>
      <c r="CQ156" s="480"/>
    </row>
    <row r="157" spans="1:95" s="33" customFormat="1" ht="29.25" customHeight="1">
      <c r="A157" s="1051" t="s">
        <v>144</v>
      </c>
      <c r="B157" s="1048" t="s">
        <v>1588</v>
      </c>
      <c r="C157" s="1048" t="s">
        <v>1537</v>
      </c>
      <c r="D157" s="895"/>
      <c r="E157" s="125" t="s">
        <v>107</v>
      </c>
      <c r="F157" s="898"/>
      <c r="G157" s="899" t="s">
        <v>1628</v>
      </c>
      <c r="H157" s="899" t="s">
        <v>59</v>
      </c>
      <c r="I157" s="908" t="s">
        <v>2056</v>
      </c>
      <c r="J157" s="674" t="s">
        <v>1990</v>
      </c>
      <c r="K157" s="374">
        <f>IFERROR(VLOOKUP(H157,справочник!$A$3:$B$12,2,0),"нет данных")</f>
        <v>9050</v>
      </c>
      <c r="L157" s="326"/>
      <c r="M157" s="399"/>
      <c r="N157" s="346">
        <f t="shared" si="72"/>
        <v>0</v>
      </c>
      <c r="O157" s="394"/>
      <c r="P157" s="352"/>
      <c r="Q157" s="352"/>
      <c r="R157" s="352"/>
      <c r="S157" s="352"/>
      <c r="T157" s="352"/>
      <c r="U157" s="324"/>
      <c r="V157" s="324"/>
      <c r="W157" s="324"/>
      <c r="X157" s="324"/>
      <c r="Y157" s="324"/>
      <c r="Z157" s="325"/>
      <c r="AA157" s="326"/>
      <c r="AB157" s="327">
        <f t="shared" si="81"/>
        <v>0</v>
      </c>
      <c r="AC157" s="328">
        <f t="shared" si="73"/>
        <v>0</v>
      </c>
      <c r="AD157" s="918"/>
      <c r="AE157" s="919"/>
      <c r="AF157" s="919"/>
      <c r="AG157" s="931">
        <v>14</v>
      </c>
      <c r="AH157" s="919"/>
      <c r="AI157" s="919"/>
      <c r="AJ157" s="919"/>
      <c r="AK157" s="919"/>
      <c r="AL157" s="919"/>
      <c r="AM157" s="919"/>
      <c r="AN157" s="919"/>
      <c r="AO157" s="920"/>
      <c r="AP157" s="917"/>
      <c r="AQ157" s="332">
        <f t="shared" si="82"/>
        <v>14</v>
      </c>
      <c r="AR157" s="333">
        <f t="shared" si="74"/>
        <v>126700</v>
      </c>
      <c r="AS157" s="939"/>
      <c r="AT157" s="940"/>
      <c r="AU157" s="940"/>
      <c r="AV157" s="940"/>
      <c r="AW157" s="940"/>
      <c r="AX157" s="940"/>
      <c r="AY157" s="940"/>
      <c r="AZ157" s="940"/>
      <c r="BA157" s="940"/>
      <c r="BB157" s="940"/>
      <c r="BC157" s="940"/>
      <c r="BD157" s="941"/>
      <c r="BE157" s="938"/>
      <c r="BF157" s="332">
        <f t="shared" si="83"/>
        <v>0</v>
      </c>
      <c r="BG157" s="333">
        <f t="shared" si="75"/>
        <v>0</v>
      </c>
      <c r="BH157" s="329"/>
      <c r="BI157" s="330"/>
      <c r="BJ157" s="330"/>
      <c r="BK157" s="330"/>
      <c r="BL157" s="330"/>
      <c r="BM157" s="330"/>
      <c r="BN157" s="330"/>
      <c r="BO157" s="330"/>
      <c r="BP157" s="330"/>
      <c r="BQ157" s="330"/>
      <c r="BR157" s="330"/>
      <c r="BS157" s="331"/>
      <c r="BT157" s="326"/>
      <c r="BU157" s="332">
        <f t="shared" si="84"/>
        <v>0</v>
      </c>
      <c r="BV157" s="333">
        <f t="shared" si="76"/>
        <v>0</v>
      </c>
      <c r="BW157" s="329"/>
      <c r="BX157" s="330"/>
      <c r="BY157" s="330"/>
      <c r="BZ157" s="330"/>
      <c r="CA157" s="330"/>
      <c r="CB157" s="330"/>
      <c r="CC157" s="330"/>
      <c r="CD157" s="330"/>
      <c r="CE157" s="330"/>
      <c r="CF157" s="330"/>
      <c r="CG157" s="330"/>
      <c r="CH157" s="331"/>
      <c r="CI157" s="326"/>
      <c r="CJ157" s="332">
        <f t="shared" si="85"/>
        <v>0</v>
      </c>
      <c r="CK157" s="333">
        <f t="shared" si="77"/>
        <v>0</v>
      </c>
      <c r="CL157" s="334">
        <f t="shared" si="78"/>
        <v>0</v>
      </c>
      <c r="CM157" s="335">
        <f t="shared" si="79"/>
        <v>14</v>
      </c>
      <c r="CN157" s="336">
        <f t="shared" si="80"/>
        <v>126700</v>
      </c>
      <c r="CQ157" s="480"/>
    </row>
    <row r="158" spans="1:95" s="866" customFormat="1" ht="29.25" customHeight="1">
      <c r="A158" s="1068"/>
      <c r="B158" s="1049"/>
      <c r="C158" s="1049"/>
      <c r="D158" s="895"/>
      <c r="E158" s="867" t="s">
        <v>107</v>
      </c>
      <c r="F158" s="898"/>
      <c r="G158" s="899" t="s">
        <v>43</v>
      </c>
      <c r="H158" s="899" t="s">
        <v>61</v>
      </c>
      <c r="I158" s="908" t="s">
        <v>2051</v>
      </c>
      <c r="J158" s="674" t="s">
        <v>1990</v>
      </c>
      <c r="K158" s="883">
        <f>IFERROR(VLOOKUP(H158,справочник!$A$3:$B$12,2,0),"нет данных")</f>
        <v>15930</v>
      </c>
      <c r="L158" s="870"/>
      <c r="M158" s="885"/>
      <c r="N158" s="881">
        <f t="shared" ref="N158" si="394">IFERROR(ROUND((K158*M158+K158*L158),2),0)</f>
        <v>0</v>
      </c>
      <c r="O158" s="884"/>
      <c r="P158" s="882"/>
      <c r="Q158" s="882"/>
      <c r="R158" s="882"/>
      <c r="S158" s="882"/>
      <c r="T158" s="882"/>
      <c r="U158" s="868"/>
      <c r="V158" s="868"/>
      <c r="W158" s="868"/>
      <c r="X158" s="868"/>
      <c r="Y158" s="868"/>
      <c r="Z158" s="869"/>
      <c r="AA158" s="870"/>
      <c r="AB158" s="871">
        <f t="shared" ref="AB158" si="395">SUM(O158:Z158)</f>
        <v>0</v>
      </c>
      <c r="AC158" s="872">
        <f t="shared" ref="AC158" si="396">IFERROR(ROUND(($K158*AB158+$K158*AA158),2),0)</f>
        <v>0</v>
      </c>
      <c r="AD158" s="919"/>
      <c r="AE158" s="919"/>
      <c r="AF158" s="919"/>
      <c r="AG158" s="919"/>
      <c r="AH158" s="931">
        <v>3</v>
      </c>
      <c r="AI158" s="919"/>
      <c r="AJ158" s="919"/>
      <c r="AK158" s="919"/>
      <c r="AL158" s="920"/>
      <c r="AM158" s="917"/>
      <c r="AN158" s="921"/>
      <c r="AO158" s="922"/>
      <c r="AP158" s="923"/>
      <c r="AQ158" s="876">
        <f t="shared" ref="AQ158" si="397">SUM(AD158:AO158)</f>
        <v>3</v>
      </c>
      <c r="AR158" s="877">
        <f t="shared" ref="AR158" si="398">IFERROR(ROUND(($K158*AQ158+$K158*AP158),2),0)</f>
        <v>47790</v>
      </c>
      <c r="AS158" s="939"/>
      <c r="AT158" s="940"/>
      <c r="AU158" s="940"/>
      <c r="AV158" s="940"/>
      <c r="AW158" s="940"/>
      <c r="AX158" s="940"/>
      <c r="AY158" s="940"/>
      <c r="AZ158" s="940"/>
      <c r="BA158" s="940"/>
      <c r="BB158" s="940"/>
      <c r="BC158" s="940"/>
      <c r="BD158" s="941"/>
      <c r="BE158" s="938"/>
      <c r="BF158" s="876">
        <f t="shared" ref="BF158" si="399">SUM(AS158:BD158)</f>
        <v>0</v>
      </c>
      <c r="BG158" s="877">
        <f t="shared" ref="BG158" si="400">IFERROR(ROUND(($K158*BF158+$K158*BE158),2),0)</f>
        <v>0</v>
      </c>
      <c r="BH158" s="873"/>
      <c r="BI158" s="874"/>
      <c r="BJ158" s="874"/>
      <c r="BK158" s="874"/>
      <c r="BL158" s="874"/>
      <c r="BM158" s="874"/>
      <c r="BN158" s="874"/>
      <c r="BO158" s="874"/>
      <c r="BP158" s="874"/>
      <c r="BQ158" s="874"/>
      <c r="BR158" s="874"/>
      <c r="BS158" s="875"/>
      <c r="BT158" s="870"/>
      <c r="BU158" s="876">
        <f t="shared" ref="BU158" si="401">SUM(BH158:BS158)</f>
        <v>0</v>
      </c>
      <c r="BV158" s="877">
        <f t="shared" ref="BV158" si="402">IFERROR(ROUND(($K158*BU158+$K158*BT158),2),0)</f>
        <v>0</v>
      </c>
      <c r="BW158" s="873"/>
      <c r="BX158" s="874"/>
      <c r="BY158" s="874"/>
      <c r="BZ158" s="874"/>
      <c r="CA158" s="874"/>
      <c r="CB158" s="874"/>
      <c r="CC158" s="874"/>
      <c r="CD158" s="874"/>
      <c r="CE158" s="874"/>
      <c r="CF158" s="874"/>
      <c r="CG158" s="874"/>
      <c r="CH158" s="875"/>
      <c r="CI158" s="870"/>
      <c r="CJ158" s="876">
        <f t="shared" ref="CJ158" si="403">SUM(BW158:CH158)</f>
        <v>0</v>
      </c>
      <c r="CK158" s="877">
        <f t="shared" ref="CK158" si="404">IFERROR(ROUND(($K158*CJ158+$K158*CI158),2),0)</f>
        <v>0</v>
      </c>
      <c r="CL158" s="878">
        <f t="shared" ref="CL158" si="405">AA158+AP158+L158+BE158+BT158+CI158</f>
        <v>0</v>
      </c>
      <c r="CM158" s="879">
        <f t="shared" ref="CM158" si="406">AB158+AQ158+M158+BF158+BU158+CJ158</f>
        <v>3</v>
      </c>
      <c r="CN158" s="880">
        <f t="shared" ref="CN158" si="407">AC158+AR158+N158+BG158+BV158+CK158</f>
        <v>47790</v>
      </c>
      <c r="CQ158" s="886"/>
    </row>
    <row r="159" spans="1:95" s="33" customFormat="1" ht="29.25" customHeight="1">
      <c r="A159" s="1052"/>
      <c r="B159" s="1050"/>
      <c r="C159" s="1050"/>
      <c r="D159" s="895"/>
      <c r="E159" s="125" t="s">
        <v>107</v>
      </c>
      <c r="F159" s="898"/>
      <c r="G159" s="899"/>
      <c r="H159" s="899"/>
      <c r="I159" s="900"/>
      <c r="J159" s="674" t="s">
        <v>1990</v>
      </c>
      <c r="K159" s="374" t="str">
        <f>IFERROR(VLOOKUP(H159,справочник!$A$3:$B$12,2,0),"нет данных")</f>
        <v>нет данных</v>
      </c>
      <c r="L159" s="326"/>
      <c r="M159" s="399"/>
      <c r="N159" s="346">
        <f t="shared" si="72"/>
        <v>0</v>
      </c>
      <c r="O159" s="394"/>
      <c r="P159" s="352"/>
      <c r="Q159" s="352"/>
      <c r="R159" s="352"/>
      <c r="S159" s="352"/>
      <c r="T159" s="352"/>
      <c r="U159" s="324"/>
      <c r="V159" s="324"/>
      <c r="W159" s="324"/>
      <c r="X159" s="324"/>
      <c r="Y159" s="324"/>
      <c r="Z159" s="325"/>
      <c r="AA159" s="326"/>
      <c r="AB159" s="327">
        <f t="shared" si="81"/>
        <v>0</v>
      </c>
      <c r="AC159" s="328">
        <f t="shared" si="73"/>
        <v>0</v>
      </c>
      <c r="AD159" s="918"/>
      <c r="AE159" s="919"/>
      <c r="AF159" s="919"/>
      <c r="AG159" s="919"/>
      <c r="AH159" s="919"/>
      <c r="AI159" s="919"/>
      <c r="AJ159" s="919"/>
      <c r="AK159" s="919"/>
      <c r="AL159" s="919"/>
      <c r="AM159" s="919"/>
      <c r="AN159" s="919"/>
      <c r="AO159" s="920"/>
      <c r="AP159" s="917"/>
      <c r="AQ159" s="332">
        <f t="shared" si="82"/>
        <v>0</v>
      </c>
      <c r="AR159" s="333">
        <f t="shared" si="74"/>
        <v>0</v>
      </c>
      <c r="AS159" s="939"/>
      <c r="AT159" s="940"/>
      <c r="AU159" s="940"/>
      <c r="AV159" s="940"/>
      <c r="AW159" s="940"/>
      <c r="AX159" s="940"/>
      <c r="AY159" s="940"/>
      <c r="AZ159" s="940"/>
      <c r="BA159" s="940"/>
      <c r="BB159" s="940"/>
      <c r="BC159" s="940"/>
      <c r="BD159" s="941"/>
      <c r="BE159" s="938"/>
      <c r="BF159" s="332">
        <f t="shared" si="83"/>
        <v>0</v>
      </c>
      <c r="BG159" s="333">
        <f t="shared" si="75"/>
        <v>0</v>
      </c>
      <c r="BH159" s="329"/>
      <c r="BI159" s="330"/>
      <c r="BJ159" s="330"/>
      <c r="BK159" s="330"/>
      <c r="BL159" s="330"/>
      <c r="BM159" s="330"/>
      <c r="BN159" s="330"/>
      <c r="BO159" s="330"/>
      <c r="BP159" s="330"/>
      <c r="BQ159" s="330"/>
      <c r="BR159" s="330"/>
      <c r="BS159" s="331"/>
      <c r="BT159" s="326"/>
      <c r="BU159" s="332">
        <f t="shared" si="84"/>
        <v>0</v>
      </c>
      <c r="BV159" s="333">
        <f t="shared" si="76"/>
        <v>0</v>
      </c>
      <c r="BW159" s="329"/>
      <c r="BX159" s="330"/>
      <c r="BY159" s="330"/>
      <c r="BZ159" s="330"/>
      <c r="CA159" s="330"/>
      <c r="CB159" s="330"/>
      <c r="CC159" s="330"/>
      <c r="CD159" s="330"/>
      <c r="CE159" s="330"/>
      <c r="CF159" s="330"/>
      <c r="CG159" s="330"/>
      <c r="CH159" s="331"/>
      <c r="CI159" s="326"/>
      <c r="CJ159" s="332">
        <f t="shared" si="85"/>
        <v>0</v>
      </c>
      <c r="CK159" s="333">
        <f t="shared" si="77"/>
        <v>0</v>
      </c>
      <c r="CL159" s="334">
        <f t="shared" si="78"/>
        <v>0</v>
      </c>
      <c r="CM159" s="335">
        <f t="shared" si="79"/>
        <v>0</v>
      </c>
      <c r="CN159" s="336">
        <f t="shared" si="80"/>
        <v>0</v>
      </c>
      <c r="CQ159" s="480"/>
    </row>
    <row r="160" spans="1:95" s="33" customFormat="1" ht="29.25" customHeight="1">
      <c r="A160" s="1051" t="s">
        <v>145</v>
      </c>
      <c r="B160" s="1048" t="s">
        <v>1589</v>
      </c>
      <c r="C160" s="1048" t="s">
        <v>1680</v>
      </c>
      <c r="D160" s="895"/>
      <c r="E160" s="125" t="s">
        <v>107</v>
      </c>
      <c r="F160" s="898"/>
      <c r="G160" s="899" t="s">
        <v>1628</v>
      </c>
      <c r="H160" s="899" t="s">
        <v>59</v>
      </c>
      <c r="I160" s="908" t="s">
        <v>2056</v>
      </c>
      <c r="J160" s="674" t="s">
        <v>1990</v>
      </c>
      <c r="K160" s="374">
        <f>IFERROR(VLOOKUP(H160,справочник!$A$3:$B$12,2,0),"нет данных")</f>
        <v>9050</v>
      </c>
      <c r="L160" s="326"/>
      <c r="M160" s="399"/>
      <c r="N160" s="346">
        <f t="shared" si="72"/>
        <v>0</v>
      </c>
      <c r="O160" s="394"/>
      <c r="P160" s="352"/>
      <c r="Q160" s="352"/>
      <c r="R160" s="352"/>
      <c r="S160" s="352"/>
      <c r="T160" s="352"/>
      <c r="U160" s="324"/>
      <c r="V160" s="324"/>
      <c r="W160" s="324"/>
      <c r="X160" s="324"/>
      <c r="Y160" s="324"/>
      <c r="Z160" s="325"/>
      <c r="AA160" s="326"/>
      <c r="AB160" s="327">
        <f t="shared" si="81"/>
        <v>0</v>
      </c>
      <c r="AC160" s="328">
        <f t="shared" si="73"/>
        <v>0</v>
      </c>
      <c r="AD160" s="918"/>
      <c r="AE160" s="919"/>
      <c r="AF160" s="919"/>
      <c r="AG160" s="919"/>
      <c r="AH160" s="931">
        <v>5</v>
      </c>
      <c r="AI160" s="919"/>
      <c r="AJ160" s="919"/>
      <c r="AK160" s="919"/>
      <c r="AL160" s="919"/>
      <c r="AM160" s="919"/>
      <c r="AN160" s="919"/>
      <c r="AO160" s="920"/>
      <c r="AP160" s="917"/>
      <c r="AQ160" s="332">
        <f t="shared" si="82"/>
        <v>5</v>
      </c>
      <c r="AR160" s="333">
        <f t="shared" si="74"/>
        <v>45250</v>
      </c>
      <c r="AS160" s="939"/>
      <c r="AT160" s="940"/>
      <c r="AU160" s="940"/>
      <c r="AV160" s="940"/>
      <c r="AW160" s="940"/>
      <c r="AX160" s="940"/>
      <c r="AY160" s="940"/>
      <c r="AZ160" s="940"/>
      <c r="BA160" s="940"/>
      <c r="BB160" s="940"/>
      <c r="BC160" s="940"/>
      <c r="BD160" s="941"/>
      <c r="BE160" s="938"/>
      <c r="BF160" s="332">
        <f t="shared" si="83"/>
        <v>0</v>
      </c>
      <c r="BG160" s="333">
        <f t="shared" si="75"/>
        <v>0</v>
      </c>
      <c r="BH160" s="329"/>
      <c r="BI160" s="330"/>
      <c r="BJ160" s="330"/>
      <c r="BK160" s="330"/>
      <c r="BL160" s="330"/>
      <c r="BM160" s="330"/>
      <c r="BN160" s="330"/>
      <c r="BO160" s="330"/>
      <c r="BP160" s="330"/>
      <c r="BQ160" s="330"/>
      <c r="BR160" s="330"/>
      <c r="BS160" s="331"/>
      <c r="BT160" s="326"/>
      <c r="BU160" s="332">
        <f t="shared" si="84"/>
        <v>0</v>
      </c>
      <c r="BV160" s="333">
        <f t="shared" si="76"/>
        <v>0</v>
      </c>
      <c r="BW160" s="329"/>
      <c r="BX160" s="330"/>
      <c r="BY160" s="330"/>
      <c r="BZ160" s="330"/>
      <c r="CA160" s="330"/>
      <c r="CB160" s="330"/>
      <c r="CC160" s="330"/>
      <c r="CD160" s="330"/>
      <c r="CE160" s="330"/>
      <c r="CF160" s="330"/>
      <c r="CG160" s="330"/>
      <c r="CH160" s="331"/>
      <c r="CI160" s="326"/>
      <c r="CJ160" s="332">
        <f t="shared" si="85"/>
        <v>0</v>
      </c>
      <c r="CK160" s="333">
        <f t="shared" si="77"/>
        <v>0</v>
      </c>
      <c r="CL160" s="334">
        <f t="shared" si="78"/>
        <v>0</v>
      </c>
      <c r="CM160" s="335">
        <f t="shared" si="79"/>
        <v>5</v>
      </c>
      <c r="CN160" s="336">
        <f t="shared" si="80"/>
        <v>45250</v>
      </c>
      <c r="CQ160" s="480"/>
    </row>
    <row r="161" spans="1:95" s="866" customFormat="1" ht="29.25" customHeight="1">
      <c r="A161" s="1068"/>
      <c r="B161" s="1049"/>
      <c r="C161" s="1049"/>
      <c r="D161" s="895"/>
      <c r="E161" s="867" t="s">
        <v>107</v>
      </c>
      <c r="F161" s="898"/>
      <c r="G161" s="899" t="s">
        <v>43</v>
      </c>
      <c r="H161" s="899" t="s">
        <v>61</v>
      </c>
      <c r="I161" s="908" t="s">
        <v>2051</v>
      </c>
      <c r="J161" s="674" t="s">
        <v>1990</v>
      </c>
      <c r="K161" s="883">
        <f>IFERROR(VLOOKUP(H161,справочник!$A$3:$B$12,2,0),"нет данных")</f>
        <v>15930</v>
      </c>
      <c r="L161" s="870"/>
      <c r="M161" s="885"/>
      <c r="N161" s="881">
        <f t="shared" ref="N161" si="408">IFERROR(ROUND((K161*M161+K161*L161),2),0)</f>
        <v>0</v>
      </c>
      <c r="O161" s="884"/>
      <c r="P161" s="882"/>
      <c r="Q161" s="882"/>
      <c r="R161" s="882"/>
      <c r="S161" s="882"/>
      <c r="T161" s="882"/>
      <c r="U161" s="868"/>
      <c r="V161" s="868"/>
      <c r="W161" s="868"/>
      <c r="X161" s="868"/>
      <c r="Y161" s="868"/>
      <c r="Z161" s="869"/>
      <c r="AA161" s="870"/>
      <c r="AB161" s="871">
        <f t="shared" ref="AB161" si="409">SUM(O161:Z161)</f>
        <v>0</v>
      </c>
      <c r="AC161" s="872">
        <f t="shared" ref="AC161" si="410">IFERROR(ROUND(($K161*AB161+$K161*AA161),2),0)</f>
        <v>0</v>
      </c>
      <c r="AD161" s="919"/>
      <c r="AE161" s="919"/>
      <c r="AF161" s="919"/>
      <c r="AG161" s="919"/>
      <c r="AH161" s="931">
        <v>3</v>
      </c>
      <c r="AI161" s="919"/>
      <c r="AJ161" s="919"/>
      <c r="AK161" s="919"/>
      <c r="AL161" s="920"/>
      <c r="AM161" s="917"/>
      <c r="AN161" s="921"/>
      <c r="AO161" s="922"/>
      <c r="AP161" s="923"/>
      <c r="AQ161" s="876">
        <f t="shared" ref="AQ161" si="411">SUM(AD161:AO161)</f>
        <v>3</v>
      </c>
      <c r="AR161" s="877">
        <f t="shared" ref="AR161" si="412">IFERROR(ROUND(($K161*AQ161+$K161*AP161),2),0)</f>
        <v>47790</v>
      </c>
      <c r="AS161" s="939"/>
      <c r="AT161" s="940"/>
      <c r="AU161" s="940"/>
      <c r="AV161" s="940"/>
      <c r="AW161" s="940"/>
      <c r="AX161" s="940"/>
      <c r="AY161" s="940"/>
      <c r="AZ161" s="940"/>
      <c r="BA161" s="940"/>
      <c r="BB161" s="940"/>
      <c r="BC161" s="940"/>
      <c r="BD161" s="941"/>
      <c r="BE161" s="938"/>
      <c r="BF161" s="876">
        <f t="shared" ref="BF161" si="413">SUM(AS161:BD161)</f>
        <v>0</v>
      </c>
      <c r="BG161" s="877">
        <f t="shared" ref="BG161" si="414">IFERROR(ROUND(($K161*BF161+$K161*BE161),2),0)</f>
        <v>0</v>
      </c>
      <c r="BH161" s="873"/>
      <c r="BI161" s="874"/>
      <c r="BJ161" s="874"/>
      <c r="BK161" s="874"/>
      <c r="BL161" s="874"/>
      <c r="BM161" s="874"/>
      <c r="BN161" s="874"/>
      <c r="BO161" s="874"/>
      <c r="BP161" s="874"/>
      <c r="BQ161" s="874"/>
      <c r="BR161" s="874"/>
      <c r="BS161" s="875"/>
      <c r="BT161" s="870"/>
      <c r="BU161" s="876">
        <f t="shared" ref="BU161" si="415">SUM(BH161:BS161)</f>
        <v>0</v>
      </c>
      <c r="BV161" s="877">
        <f t="shared" ref="BV161" si="416">IFERROR(ROUND(($K161*BU161+$K161*BT161),2),0)</f>
        <v>0</v>
      </c>
      <c r="BW161" s="873"/>
      <c r="BX161" s="874"/>
      <c r="BY161" s="874"/>
      <c r="BZ161" s="874"/>
      <c r="CA161" s="874"/>
      <c r="CB161" s="874"/>
      <c r="CC161" s="874"/>
      <c r="CD161" s="874"/>
      <c r="CE161" s="874"/>
      <c r="CF161" s="874"/>
      <c r="CG161" s="874"/>
      <c r="CH161" s="875"/>
      <c r="CI161" s="870"/>
      <c r="CJ161" s="876">
        <f t="shared" ref="CJ161" si="417">SUM(BW161:CH161)</f>
        <v>0</v>
      </c>
      <c r="CK161" s="877">
        <f t="shared" ref="CK161" si="418">IFERROR(ROUND(($K161*CJ161+$K161*CI161),2),0)</f>
        <v>0</v>
      </c>
      <c r="CL161" s="878">
        <f t="shared" ref="CL161" si="419">AA161+AP161+L161+BE161+BT161+CI161</f>
        <v>0</v>
      </c>
      <c r="CM161" s="879">
        <f t="shared" ref="CM161" si="420">AB161+AQ161+M161+BF161+BU161+CJ161</f>
        <v>3</v>
      </c>
      <c r="CN161" s="880">
        <f t="shared" ref="CN161" si="421">AC161+AR161+N161+BG161+BV161+CK161</f>
        <v>47790</v>
      </c>
      <c r="CQ161" s="886"/>
    </row>
    <row r="162" spans="1:95" s="866" customFormat="1" ht="29.25" customHeight="1">
      <c r="A162" s="1068"/>
      <c r="B162" s="1049"/>
      <c r="C162" s="1049"/>
      <c r="D162" s="895"/>
      <c r="E162" s="867" t="s">
        <v>107</v>
      </c>
      <c r="F162" s="898"/>
      <c r="G162" s="910" t="s">
        <v>43</v>
      </c>
      <c r="H162" s="910" t="s">
        <v>61</v>
      </c>
      <c r="I162" s="909" t="s">
        <v>2053</v>
      </c>
      <c r="J162" s="674" t="s">
        <v>1990</v>
      </c>
      <c r="K162" s="883">
        <f>IFERROR(VLOOKUP(H162,справочник!$A$3:$B$12,2,0),"нет данных")</f>
        <v>15930</v>
      </c>
      <c r="L162" s="870"/>
      <c r="M162" s="885"/>
      <c r="N162" s="881">
        <f t="shared" ref="N162" si="422">IFERROR(ROUND((K162*M162+K162*L162),2),0)</f>
        <v>0</v>
      </c>
      <c r="O162" s="884"/>
      <c r="P162" s="882"/>
      <c r="Q162" s="882"/>
      <c r="R162" s="882"/>
      <c r="S162" s="882"/>
      <c r="T162" s="882"/>
      <c r="U162" s="868"/>
      <c r="V162" s="868"/>
      <c r="W162" s="868"/>
      <c r="X162" s="868"/>
      <c r="Y162" s="868"/>
      <c r="Z162" s="869"/>
      <c r="AA162" s="870"/>
      <c r="AB162" s="871">
        <f t="shared" ref="AB162" si="423">SUM(O162:Z162)</f>
        <v>0</v>
      </c>
      <c r="AC162" s="872">
        <f t="shared" ref="AC162" si="424">IFERROR(ROUND(($K162*AB162+$K162*AA162),2),0)</f>
        <v>0</v>
      </c>
      <c r="AD162" s="918"/>
      <c r="AE162" s="919"/>
      <c r="AF162" s="919"/>
      <c r="AG162" s="919"/>
      <c r="AH162" s="931">
        <v>20</v>
      </c>
      <c r="AI162" s="931">
        <v>10</v>
      </c>
      <c r="AJ162" s="919"/>
      <c r="AK162" s="919"/>
      <c r="AL162" s="919"/>
      <c r="AM162" s="919"/>
      <c r="AN162" s="919"/>
      <c r="AO162" s="920"/>
      <c r="AP162" s="917"/>
      <c r="AQ162" s="876">
        <f t="shared" ref="AQ162" si="425">SUM(AD162:AO162)</f>
        <v>30</v>
      </c>
      <c r="AR162" s="877">
        <f t="shared" ref="AR162" si="426">IFERROR(ROUND(($K162*AQ162+$K162*AP162),2),0)</f>
        <v>477900</v>
      </c>
      <c r="AS162" s="939"/>
      <c r="AT162" s="940"/>
      <c r="AU162" s="940"/>
      <c r="AV162" s="940"/>
      <c r="AW162" s="940"/>
      <c r="AX162" s="940"/>
      <c r="AY162" s="940"/>
      <c r="AZ162" s="940"/>
      <c r="BA162" s="940"/>
      <c r="BB162" s="940"/>
      <c r="BC162" s="940"/>
      <c r="BD162" s="941"/>
      <c r="BE162" s="938"/>
      <c r="BF162" s="876">
        <f t="shared" ref="BF162" si="427">SUM(AS162:BD162)</f>
        <v>0</v>
      </c>
      <c r="BG162" s="877">
        <f t="shared" ref="BG162" si="428">IFERROR(ROUND(($K162*BF162+$K162*BE162),2),0)</f>
        <v>0</v>
      </c>
      <c r="BH162" s="873"/>
      <c r="BI162" s="874"/>
      <c r="BJ162" s="874"/>
      <c r="BK162" s="874"/>
      <c r="BL162" s="874"/>
      <c r="BM162" s="874"/>
      <c r="BN162" s="874"/>
      <c r="BO162" s="874"/>
      <c r="BP162" s="874"/>
      <c r="BQ162" s="874"/>
      <c r="BR162" s="874"/>
      <c r="BS162" s="875"/>
      <c r="BT162" s="870"/>
      <c r="BU162" s="876">
        <f t="shared" ref="BU162" si="429">SUM(BH162:BS162)</f>
        <v>0</v>
      </c>
      <c r="BV162" s="877">
        <f t="shared" ref="BV162" si="430">IFERROR(ROUND(($K162*BU162+$K162*BT162),2),0)</f>
        <v>0</v>
      </c>
      <c r="BW162" s="873"/>
      <c r="BX162" s="874"/>
      <c r="BY162" s="874"/>
      <c r="BZ162" s="874"/>
      <c r="CA162" s="874"/>
      <c r="CB162" s="874"/>
      <c r="CC162" s="874"/>
      <c r="CD162" s="874"/>
      <c r="CE162" s="874"/>
      <c r="CF162" s="874"/>
      <c r="CG162" s="874"/>
      <c r="CH162" s="875"/>
      <c r="CI162" s="870"/>
      <c r="CJ162" s="876">
        <f t="shared" ref="CJ162" si="431">SUM(BW162:CH162)</f>
        <v>0</v>
      </c>
      <c r="CK162" s="877">
        <f t="shared" ref="CK162" si="432">IFERROR(ROUND(($K162*CJ162+$K162*CI162),2),0)</f>
        <v>0</v>
      </c>
      <c r="CL162" s="878">
        <f t="shared" ref="CL162" si="433">AA162+AP162+L162+BE162+BT162+CI162</f>
        <v>0</v>
      </c>
      <c r="CM162" s="879">
        <f t="shared" ref="CM162" si="434">AB162+AQ162+M162+BF162+BU162+CJ162</f>
        <v>30</v>
      </c>
      <c r="CN162" s="880">
        <f t="shared" ref="CN162" si="435">AC162+AR162+N162+BG162+BV162+CK162</f>
        <v>477900</v>
      </c>
      <c r="CQ162" s="886"/>
    </row>
    <row r="163" spans="1:95" s="33" customFormat="1" ht="29.25" customHeight="1">
      <c r="A163" s="1052"/>
      <c r="B163" s="1050"/>
      <c r="C163" s="1050"/>
      <c r="D163" s="895"/>
      <c r="E163" s="125" t="s">
        <v>107</v>
      </c>
      <c r="F163" s="898"/>
      <c r="G163" s="899" t="s">
        <v>43</v>
      </c>
      <c r="H163" s="899" t="s">
        <v>61</v>
      </c>
      <c r="I163" s="902" t="s">
        <v>2052</v>
      </c>
      <c r="J163" s="674" t="s">
        <v>1990</v>
      </c>
      <c r="K163" s="374">
        <f>IFERROR(VLOOKUP(H163,справочник!$A$3:$B$12,2,0),"нет данных")</f>
        <v>15930</v>
      </c>
      <c r="L163" s="326"/>
      <c r="M163" s="399"/>
      <c r="N163" s="346">
        <f t="shared" si="72"/>
        <v>0</v>
      </c>
      <c r="O163" s="394"/>
      <c r="P163" s="352"/>
      <c r="Q163" s="352"/>
      <c r="R163" s="352"/>
      <c r="S163" s="352"/>
      <c r="T163" s="352"/>
      <c r="U163" s="324"/>
      <c r="V163" s="324"/>
      <c r="W163" s="324"/>
      <c r="X163" s="324"/>
      <c r="Y163" s="324"/>
      <c r="Z163" s="325"/>
      <c r="AA163" s="326"/>
      <c r="AB163" s="327">
        <f t="shared" si="81"/>
        <v>0</v>
      </c>
      <c r="AC163" s="328">
        <f t="shared" si="73"/>
        <v>0</v>
      </c>
      <c r="AD163" s="918"/>
      <c r="AE163" s="919"/>
      <c r="AF163" s="919"/>
      <c r="AG163" s="919"/>
      <c r="AH163" s="931">
        <v>20</v>
      </c>
      <c r="AI163" s="931">
        <v>10</v>
      </c>
      <c r="AJ163" s="919"/>
      <c r="AK163" s="919"/>
      <c r="AL163" s="919"/>
      <c r="AM163" s="919"/>
      <c r="AN163" s="919"/>
      <c r="AO163" s="920"/>
      <c r="AP163" s="917"/>
      <c r="AQ163" s="332">
        <f t="shared" si="82"/>
        <v>30</v>
      </c>
      <c r="AR163" s="333">
        <f t="shared" si="74"/>
        <v>477900</v>
      </c>
      <c r="AS163" s="939"/>
      <c r="AT163" s="940"/>
      <c r="AU163" s="940"/>
      <c r="AV163" s="940"/>
      <c r="AW163" s="940"/>
      <c r="AX163" s="940"/>
      <c r="AY163" s="940"/>
      <c r="AZ163" s="940"/>
      <c r="BA163" s="940"/>
      <c r="BB163" s="940"/>
      <c r="BC163" s="940"/>
      <c r="BD163" s="941"/>
      <c r="BE163" s="938"/>
      <c r="BF163" s="332">
        <f t="shared" si="83"/>
        <v>0</v>
      </c>
      <c r="BG163" s="333">
        <f t="shared" si="75"/>
        <v>0</v>
      </c>
      <c r="BH163" s="329"/>
      <c r="BI163" s="330"/>
      <c r="BJ163" s="330"/>
      <c r="BK163" s="330"/>
      <c r="BL163" s="330"/>
      <c r="BM163" s="330"/>
      <c r="BN163" s="330"/>
      <c r="BO163" s="330"/>
      <c r="BP163" s="330"/>
      <c r="BQ163" s="330"/>
      <c r="BR163" s="330"/>
      <c r="BS163" s="331"/>
      <c r="BT163" s="326"/>
      <c r="BU163" s="332">
        <f t="shared" si="84"/>
        <v>0</v>
      </c>
      <c r="BV163" s="333">
        <f t="shared" si="76"/>
        <v>0</v>
      </c>
      <c r="BW163" s="329"/>
      <c r="BX163" s="330"/>
      <c r="BY163" s="330"/>
      <c r="BZ163" s="330"/>
      <c r="CA163" s="330"/>
      <c r="CB163" s="330"/>
      <c r="CC163" s="330"/>
      <c r="CD163" s="330"/>
      <c r="CE163" s="330"/>
      <c r="CF163" s="330"/>
      <c r="CG163" s="330"/>
      <c r="CH163" s="331"/>
      <c r="CI163" s="326"/>
      <c r="CJ163" s="332">
        <f t="shared" si="85"/>
        <v>0</v>
      </c>
      <c r="CK163" s="333">
        <f t="shared" si="77"/>
        <v>0</v>
      </c>
      <c r="CL163" s="334">
        <f t="shared" si="78"/>
        <v>0</v>
      </c>
      <c r="CM163" s="335">
        <f t="shared" si="79"/>
        <v>30</v>
      </c>
      <c r="CN163" s="336">
        <f t="shared" si="80"/>
        <v>477900</v>
      </c>
      <c r="CQ163" s="480"/>
    </row>
    <row r="164" spans="1:95" s="33" customFormat="1" ht="29.25" customHeight="1">
      <c r="A164" s="1051" t="s">
        <v>146</v>
      </c>
      <c r="B164" s="1048" t="s">
        <v>1590</v>
      </c>
      <c r="C164" s="1048" t="s">
        <v>1540</v>
      </c>
      <c r="D164" s="895" t="s">
        <v>2043</v>
      </c>
      <c r="E164" s="125" t="s">
        <v>107</v>
      </c>
      <c r="F164" s="898"/>
      <c r="G164" s="899" t="s">
        <v>1628</v>
      </c>
      <c r="H164" s="899" t="s">
        <v>59</v>
      </c>
      <c r="I164" s="908" t="s">
        <v>2056</v>
      </c>
      <c r="J164" s="674" t="s">
        <v>1990</v>
      </c>
      <c r="K164" s="374">
        <f>IFERROR(VLOOKUP(H164,справочник!$A$3:$B$12,2,0),"нет данных")</f>
        <v>9050</v>
      </c>
      <c r="L164" s="326"/>
      <c r="M164" s="399"/>
      <c r="N164" s="346">
        <f t="shared" si="72"/>
        <v>0</v>
      </c>
      <c r="O164" s="394"/>
      <c r="P164" s="352"/>
      <c r="Q164" s="352"/>
      <c r="R164" s="352"/>
      <c r="S164" s="352"/>
      <c r="T164" s="352"/>
      <c r="U164" s="324"/>
      <c r="V164" s="324"/>
      <c r="W164" s="324"/>
      <c r="X164" s="324"/>
      <c r="Y164" s="324"/>
      <c r="Z164" s="325"/>
      <c r="AA164" s="326"/>
      <c r="AB164" s="327">
        <f t="shared" si="81"/>
        <v>0</v>
      </c>
      <c r="AC164" s="328">
        <f t="shared" si="73"/>
        <v>0</v>
      </c>
      <c r="AD164" s="918"/>
      <c r="AE164" s="919"/>
      <c r="AF164" s="919"/>
      <c r="AG164" s="931">
        <v>5</v>
      </c>
      <c r="AH164" s="919"/>
      <c r="AI164" s="919"/>
      <c r="AJ164" s="919"/>
      <c r="AK164" s="919"/>
      <c r="AL164" s="919"/>
      <c r="AM164" s="919"/>
      <c r="AN164" s="919"/>
      <c r="AO164" s="920"/>
      <c r="AP164" s="917"/>
      <c r="AQ164" s="332">
        <f t="shared" si="82"/>
        <v>5</v>
      </c>
      <c r="AR164" s="333">
        <f t="shared" si="74"/>
        <v>45250</v>
      </c>
      <c r="AS164" s="939"/>
      <c r="AT164" s="944">
        <v>5</v>
      </c>
      <c r="AU164" s="940"/>
      <c r="AV164" s="940"/>
      <c r="AW164" s="940"/>
      <c r="AX164" s="940"/>
      <c r="AY164" s="940"/>
      <c r="AZ164" s="940"/>
      <c r="BA164" s="940"/>
      <c r="BB164" s="940"/>
      <c r="BC164" s="940"/>
      <c r="BD164" s="941"/>
      <c r="BE164" s="938"/>
      <c r="BF164" s="332">
        <f t="shared" si="83"/>
        <v>5</v>
      </c>
      <c r="BG164" s="333">
        <f t="shared" si="75"/>
        <v>45250</v>
      </c>
      <c r="BH164" s="329"/>
      <c r="BI164" s="330"/>
      <c r="BJ164" s="330"/>
      <c r="BK164" s="330"/>
      <c r="BL164" s="330"/>
      <c r="BM164" s="330"/>
      <c r="BN164" s="330"/>
      <c r="BO164" s="330"/>
      <c r="BP164" s="330"/>
      <c r="BQ164" s="330"/>
      <c r="BR164" s="330"/>
      <c r="BS164" s="331"/>
      <c r="BT164" s="326"/>
      <c r="BU164" s="332">
        <f t="shared" si="84"/>
        <v>0</v>
      </c>
      <c r="BV164" s="333">
        <f t="shared" si="76"/>
        <v>0</v>
      </c>
      <c r="BW164" s="329"/>
      <c r="BX164" s="330"/>
      <c r="BY164" s="330"/>
      <c r="BZ164" s="330"/>
      <c r="CA164" s="330"/>
      <c r="CB164" s="330"/>
      <c r="CC164" s="330"/>
      <c r="CD164" s="330"/>
      <c r="CE164" s="330"/>
      <c r="CF164" s="330"/>
      <c r="CG164" s="330"/>
      <c r="CH164" s="331"/>
      <c r="CI164" s="326"/>
      <c r="CJ164" s="332">
        <f t="shared" si="85"/>
        <v>0</v>
      </c>
      <c r="CK164" s="333">
        <f t="shared" si="77"/>
        <v>0</v>
      </c>
      <c r="CL164" s="334">
        <f t="shared" si="78"/>
        <v>0</v>
      </c>
      <c r="CM164" s="335">
        <f t="shared" si="79"/>
        <v>10</v>
      </c>
      <c r="CN164" s="336">
        <f t="shared" si="80"/>
        <v>90500</v>
      </c>
      <c r="CQ164" s="480"/>
    </row>
    <row r="165" spans="1:95" s="866" customFormat="1" ht="29.25" customHeight="1">
      <c r="A165" s="1068"/>
      <c r="B165" s="1049"/>
      <c r="C165" s="1049"/>
      <c r="D165" s="895" t="s">
        <v>2043</v>
      </c>
      <c r="E165" s="867" t="s">
        <v>107</v>
      </c>
      <c r="F165" s="898"/>
      <c r="G165" s="910" t="s">
        <v>43</v>
      </c>
      <c r="H165" s="910" t="s">
        <v>61</v>
      </c>
      <c r="I165" s="909" t="s">
        <v>2053</v>
      </c>
      <c r="J165" s="674" t="s">
        <v>1990</v>
      </c>
      <c r="K165" s="883">
        <f>IFERROR(VLOOKUP(H165,справочник!$A$3:$B$12,2,0),"нет данных")</f>
        <v>15930</v>
      </c>
      <c r="L165" s="870"/>
      <c r="M165" s="885"/>
      <c r="N165" s="881">
        <f t="shared" ref="N165" si="436">IFERROR(ROUND((K165*M165+K165*L165),2),0)</f>
        <v>0</v>
      </c>
      <c r="O165" s="884"/>
      <c r="P165" s="882"/>
      <c r="Q165" s="882"/>
      <c r="R165" s="882"/>
      <c r="S165" s="882"/>
      <c r="T165" s="882"/>
      <c r="U165" s="868"/>
      <c r="V165" s="868"/>
      <c r="W165" s="868"/>
      <c r="X165" s="868"/>
      <c r="Y165" s="868"/>
      <c r="Z165" s="869"/>
      <c r="AA165" s="870"/>
      <c r="AB165" s="871">
        <f t="shared" ref="AB165" si="437">SUM(O165:Z165)</f>
        <v>0</v>
      </c>
      <c r="AC165" s="872">
        <f t="shared" ref="AC165" si="438">IFERROR(ROUND(($K165*AB165+$K165*AA165),2),0)</f>
        <v>0</v>
      </c>
      <c r="AD165" s="918"/>
      <c r="AE165" s="919"/>
      <c r="AF165" s="919"/>
      <c r="AG165" s="919"/>
      <c r="AH165" s="919"/>
      <c r="AI165" s="931">
        <v>10</v>
      </c>
      <c r="AJ165" s="919"/>
      <c r="AK165" s="919"/>
      <c r="AL165" s="919"/>
      <c r="AM165" s="919"/>
      <c r="AN165" s="919"/>
      <c r="AO165" s="920"/>
      <c r="AP165" s="917"/>
      <c r="AQ165" s="876">
        <f t="shared" ref="AQ165" si="439">SUM(AD165:AO165)</f>
        <v>10</v>
      </c>
      <c r="AR165" s="877">
        <f t="shared" ref="AR165" si="440">IFERROR(ROUND(($K165*AQ165+$K165*AP165),2),0)</f>
        <v>159300</v>
      </c>
      <c r="AS165" s="943">
        <v>2</v>
      </c>
      <c r="AT165" s="944">
        <v>2</v>
      </c>
      <c r="AU165" s="940"/>
      <c r="AV165" s="940"/>
      <c r="AW165" s="940"/>
      <c r="AX165" s="940"/>
      <c r="AY165" s="940"/>
      <c r="AZ165" s="940"/>
      <c r="BA165" s="940"/>
      <c r="BB165" s="940"/>
      <c r="BC165" s="940"/>
      <c r="BD165" s="941"/>
      <c r="BE165" s="938"/>
      <c r="BF165" s="876">
        <f t="shared" ref="BF165" si="441">SUM(AS165:BD165)</f>
        <v>4</v>
      </c>
      <c r="BG165" s="877">
        <f t="shared" ref="BG165" si="442">IFERROR(ROUND(($K165*BF165+$K165*BE165),2),0)</f>
        <v>63720</v>
      </c>
      <c r="BH165" s="873"/>
      <c r="BI165" s="874"/>
      <c r="BJ165" s="874"/>
      <c r="BK165" s="874"/>
      <c r="BL165" s="874"/>
      <c r="BM165" s="874"/>
      <c r="BN165" s="874"/>
      <c r="BO165" s="874"/>
      <c r="BP165" s="874"/>
      <c r="BQ165" s="874"/>
      <c r="BR165" s="874"/>
      <c r="BS165" s="875"/>
      <c r="BT165" s="870"/>
      <c r="BU165" s="876">
        <f t="shared" ref="BU165" si="443">SUM(BH165:BS165)</f>
        <v>0</v>
      </c>
      <c r="BV165" s="877">
        <f t="shared" ref="BV165" si="444">IFERROR(ROUND(($K165*BU165+$K165*BT165),2),0)</f>
        <v>0</v>
      </c>
      <c r="BW165" s="873"/>
      <c r="BX165" s="874"/>
      <c r="BY165" s="874"/>
      <c r="BZ165" s="874"/>
      <c r="CA165" s="874"/>
      <c r="CB165" s="874"/>
      <c r="CC165" s="874"/>
      <c r="CD165" s="874"/>
      <c r="CE165" s="874"/>
      <c r="CF165" s="874"/>
      <c r="CG165" s="874"/>
      <c r="CH165" s="875"/>
      <c r="CI165" s="870"/>
      <c r="CJ165" s="876">
        <f t="shared" ref="CJ165" si="445">SUM(BW165:CH165)</f>
        <v>0</v>
      </c>
      <c r="CK165" s="877">
        <f t="shared" ref="CK165" si="446">IFERROR(ROUND(($K165*CJ165+$K165*CI165),2),0)</f>
        <v>0</v>
      </c>
      <c r="CL165" s="878">
        <f t="shared" ref="CL165" si="447">AA165+AP165+L165+BE165+BT165+CI165</f>
        <v>0</v>
      </c>
      <c r="CM165" s="879">
        <f t="shared" ref="CM165" si="448">AB165+AQ165+M165+BF165+BU165+CJ165</f>
        <v>14</v>
      </c>
      <c r="CN165" s="880">
        <f t="shared" ref="CN165" si="449">AC165+AR165+N165+BG165+BV165+CK165</f>
        <v>223020</v>
      </c>
      <c r="CQ165" s="886"/>
    </row>
    <row r="166" spans="1:95" s="33" customFormat="1" ht="29.25" customHeight="1">
      <c r="A166" s="1052"/>
      <c r="B166" s="1050"/>
      <c r="C166" s="1050"/>
      <c r="D166" s="895" t="s">
        <v>2043</v>
      </c>
      <c r="E166" s="125" t="s">
        <v>107</v>
      </c>
      <c r="F166" s="898"/>
      <c r="G166" s="899" t="s">
        <v>43</v>
      </c>
      <c r="H166" s="899" t="s">
        <v>61</v>
      </c>
      <c r="I166" s="902" t="s">
        <v>2052</v>
      </c>
      <c r="J166" s="674" t="s">
        <v>1990</v>
      </c>
      <c r="K166" s="374">
        <f>IFERROR(VLOOKUP(H166,справочник!$A$3:$B$12,2,0),"нет данных")</f>
        <v>15930</v>
      </c>
      <c r="L166" s="326"/>
      <c r="M166" s="399"/>
      <c r="N166" s="346">
        <f t="shared" si="72"/>
        <v>0</v>
      </c>
      <c r="O166" s="394"/>
      <c r="P166" s="352"/>
      <c r="Q166" s="352"/>
      <c r="R166" s="352"/>
      <c r="S166" s="352"/>
      <c r="T166" s="352"/>
      <c r="U166" s="324"/>
      <c r="V166" s="324"/>
      <c r="W166" s="324"/>
      <c r="X166" s="324"/>
      <c r="Y166" s="324"/>
      <c r="Z166" s="325"/>
      <c r="AA166" s="326"/>
      <c r="AB166" s="327">
        <f t="shared" si="81"/>
        <v>0</v>
      </c>
      <c r="AC166" s="328">
        <f t="shared" si="73"/>
        <v>0</v>
      </c>
      <c r="AD166" s="918"/>
      <c r="AE166" s="919"/>
      <c r="AF166" s="919"/>
      <c r="AG166" s="919"/>
      <c r="AH166" s="919"/>
      <c r="AI166" s="931">
        <v>10</v>
      </c>
      <c r="AJ166" s="919"/>
      <c r="AK166" s="919"/>
      <c r="AL166" s="919"/>
      <c r="AM166" s="919"/>
      <c r="AN166" s="919"/>
      <c r="AO166" s="920"/>
      <c r="AP166" s="917"/>
      <c r="AQ166" s="332">
        <f t="shared" si="82"/>
        <v>10</v>
      </c>
      <c r="AR166" s="333">
        <f t="shared" si="74"/>
        <v>159300</v>
      </c>
      <c r="AS166" s="943">
        <v>2</v>
      </c>
      <c r="AT166" s="944">
        <v>2</v>
      </c>
      <c r="AU166" s="940"/>
      <c r="AV166" s="940"/>
      <c r="AW166" s="940"/>
      <c r="AX166" s="940"/>
      <c r="AY166" s="940"/>
      <c r="AZ166" s="940"/>
      <c r="BA166" s="940"/>
      <c r="BB166" s="940"/>
      <c r="BC166" s="940"/>
      <c r="BD166" s="941"/>
      <c r="BE166" s="938"/>
      <c r="BF166" s="332">
        <f t="shared" si="83"/>
        <v>4</v>
      </c>
      <c r="BG166" s="333">
        <f t="shared" si="75"/>
        <v>63720</v>
      </c>
      <c r="BH166" s="329"/>
      <c r="BI166" s="330"/>
      <c r="BJ166" s="330"/>
      <c r="BK166" s="330"/>
      <c r="BL166" s="330"/>
      <c r="BM166" s="330"/>
      <c r="BN166" s="330"/>
      <c r="BO166" s="330"/>
      <c r="BP166" s="330"/>
      <c r="BQ166" s="330"/>
      <c r="BR166" s="330"/>
      <c r="BS166" s="331"/>
      <c r="BT166" s="326"/>
      <c r="BU166" s="332">
        <f t="shared" si="84"/>
        <v>0</v>
      </c>
      <c r="BV166" s="333">
        <f t="shared" si="76"/>
        <v>0</v>
      </c>
      <c r="BW166" s="329"/>
      <c r="BX166" s="330"/>
      <c r="BY166" s="330"/>
      <c r="BZ166" s="330"/>
      <c r="CA166" s="330"/>
      <c r="CB166" s="330"/>
      <c r="CC166" s="330"/>
      <c r="CD166" s="330"/>
      <c r="CE166" s="330"/>
      <c r="CF166" s="330"/>
      <c r="CG166" s="330"/>
      <c r="CH166" s="331"/>
      <c r="CI166" s="326"/>
      <c r="CJ166" s="332">
        <f t="shared" si="85"/>
        <v>0</v>
      </c>
      <c r="CK166" s="333">
        <f t="shared" si="77"/>
        <v>0</v>
      </c>
      <c r="CL166" s="334">
        <f t="shared" si="78"/>
        <v>0</v>
      </c>
      <c r="CM166" s="335">
        <f t="shared" si="79"/>
        <v>14</v>
      </c>
      <c r="CN166" s="336">
        <f t="shared" si="80"/>
        <v>223020</v>
      </c>
      <c r="CQ166" s="480"/>
    </row>
    <row r="167" spans="1:95" s="33" customFormat="1" ht="29.25" customHeight="1">
      <c r="A167" s="1051" t="s">
        <v>160</v>
      </c>
      <c r="B167" s="1048" t="s">
        <v>1512</v>
      </c>
      <c r="C167" s="1048" t="s">
        <v>1591</v>
      </c>
      <c r="D167" s="895"/>
      <c r="E167" s="125" t="s">
        <v>107</v>
      </c>
      <c r="F167" s="898"/>
      <c r="G167" s="899"/>
      <c r="H167" s="899"/>
      <c r="I167" s="900"/>
      <c r="J167" s="674" t="s">
        <v>1990</v>
      </c>
      <c r="K167" s="374" t="str">
        <f>IFERROR(VLOOKUP(H167,справочник!$A$3:$B$12,2,0),"нет данных")</f>
        <v>нет данных</v>
      </c>
      <c r="L167" s="326"/>
      <c r="M167" s="399"/>
      <c r="N167" s="346">
        <f t="shared" si="72"/>
        <v>0</v>
      </c>
      <c r="O167" s="394"/>
      <c r="P167" s="352"/>
      <c r="Q167" s="352"/>
      <c r="R167" s="352"/>
      <c r="S167" s="352"/>
      <c r="T167" s="352"/>
      <c r="U167" s="324"/>
      <c r="V167" s="324"/>
      <c r="W167" s="324"/>
      <c r="X167" s="324"/>
      <c r="Y167" s="324"/>
      <c r="Z167" s="325"/>
      <c r="AA167" s="326"/>
      <c r="AB167" s="327">
        <f t="shared" si="81"/>
        <v>0</v>
      </c>
      <c r="AC167" s="328">
        <f t="shared" si="73"/>
        <v>0</v>
      </c>
      <c r="AD167" s="918"/>
      <c r="AE167" s="919"/>
      <c r="AF167" s="919"/>
      <c r="AG167" s="919"/>
      <c r="AH167" s="919"/>
      <c r="AI167" s="919"/>
      <c r="AJ167" s="919"/>
      <c r="AK167" s="919"/>
      <c r="AL167" s="919"/>
      <c r="AM167" s="919"/>
      <c r="AN167" s="919"/>
      <c r="AO167" s="920"/>
      <c r="AP167" s="917"/>
      <c r="AQ167" s="332">
        <f t="shared" si="82"/>
        <v>0</v>
      </c>
      <c r="AR167" s="333">
        <f t="shared" si="74"/>
        <v>0</v>
      </c>
      <c r="AS167" s="939"/>
      <c r="AT167" s="940"/>
      <c r="AU167" s="940"/>
      <c r="AV167" s="940"/>
      <c r="AW167" s="940"/>
      <c r="AX167" s="940"/>
      <c r="AY167" s="940"/>
      <c r="AZ167" s="940"/>
      <c r="BA167" s="940"/>
      <c r="BB167" s="940"/>
      <c r="BC167" s="940"/>
      <c r="BD167" s="941"/>
      <c r="BE167" s="938"/>
      <c r="BF167" s="332">
        <f t="shared" si="83"/>
        <v>0</v>
      </c>
      <c r="BG167" s="333">
        <f t="shared" si="75"/>
        <v>0</v>
      </c>
      <c r="BH167" s="329"/>
      <c r="BI167" s="330"/>
      <c r="BJ167" s="330"/>
      <c r="BK167" s="330"/>
      <c r="BL167" s="330"/>
      <c r="BM167" s="330"/>
      <c r="BN167" s="330"/>
      <c r="BO167" s="330"/>
      <c r="BP167" s="330"/>
      <c r="BQ167" s="330"/>
      <c r="BR167" s="330"/>
      <c r="BS167" s="331"/>
      <c r="BT167" s="326"/>
      <c r="BU167" s="332">
        <f t="shared" si="84"/>
        <v>0</v>
      </c>
      <c r="BV167" s="333">
        <f t="shared" si="76"/>
        <v>0</v>
      </c>
      <c r="BW167" s="329"/>
      <c r="BX167" s="330"/>
      <c r="BY167" s="330"/>
      <c r="BZ167" s="330"/>
      <c r="CA167" s="330"/>
      <c r="CB167" s="330"/>
      <c r="CC167" s="330"/>
      <c r="CD167" s="330"/>
      <c r="CE167" s="330"/>
      <c r="CF167" s="330"/>
      <c r="CG167" s="330"/>
      <c r="CH167" s="331"/>
      <c r="CI167" s="326"/>
      <c r="CJ167" s="332">
        <f t="shared" si="85"/>
        <v>0</v>
      </c>
      <c r="CK167" s="333">
        <f t="shared" si="77"/>
        <v>0</v>
      </c>
      <c r="CL167" s="334">
        <f t="shared" si="78"/>
        <v>0</v>
      </c>
      <c r="CM167" s="335">
        <f t="shared" si="79"/>
        <v>0</v>
      </c>
      <c r="CN167" s="336">
        <f t="shared" si="80"/>
        <v>0</v>
      </c>
      <c r="CQ167" s="480"/>
    </row>
    <row r="168" spans="1:95" s="33" customFormat="1" ht="29.25" customHeight="1">
      <c r="A168" s="1052"/>
      <c r="B168" s="1050"/>
      <c r="C168" s="1050"/>
      <c r="D168" s="895"/>
      <c r="E168" s="125" t="s">
        <v>107</v>
      </c>
      <c r="F168" s="898"/>
      <c r="G168" s="899"/>
      <c r="H168" s="899"/>
      <c r="I168" s="902"/>
      <c r="J168" s="674" t="s">
        <v>1990</v>
      </c>
      <c r="K168" s="374" t="str">
        <f>IFERROR(VLOOKUP(H168,справочник!$A$3:$B$12,2,0),"нет данных")</f>
        <v>нет данных</v>
      </c>
      <c r="L168" s="326"/>
      <c r="M168" s="399"/>
      <c r="N168" s="346">
        <f t="shared" si="72"/>
        <v>0</v>
      </c>
      <c r="O168" s="394"/>
      <c r="P168" s="352"/>
      <c r="Q168" s="352"/>
      <c r="R168" s="352"/>
      <c r="S168" s="352"/>
      <c r="T168" s="352"/>
      <c r="U168" s="324"/>
      <c r="V168" s="324"/>
      <c r="W168" s="324"/>
      <c r="X168" s="324"/>
      <c r="Y168" s="324"/>
      <c r="Z168" s="325"/>
      <c r="AA168" s="326"/>
      <c r="AB168" s="327">
        <f t="shared" si="81"/>
        <v>0</v>
      </c>
      <c r="AC168" s="328">
        <f t="shared" si="73"/>
        <v>0</v>
      </c>
      <c r="AD168" s="918"/>
      <c r="AE168" s="919"/>
      <c r="AF168" s="919"/>
      <c r="AG168" s="919"/>
      <c r="AH168" s="919"/>
      <c r="AI168" s="919"/>
      <c r="AJ168" s="919"/>
      <c r="AK168" s="919"/>
      <c r="AL168" s="919"/>
      <c r="AM168" s="919"/>
      <c r="AN168" s="919"/>
      <c r="AO168" s="920"/>
      <c r="AP168" s="917"/>
      <c r="AQ168" s="332">
        <f t="shared" si="82"/>
        <v>0</v>
      </c>
      <c r="AR168" s="333">
        <f t="shared" si="74"/>
        <v>0</v>
      </c>
      <c r="AS168" s="939"/>
      <c r="AT168" s="940"/>
      <c r="AU168" s="940"/>
      <c r="AV168" s="940"/>
      <c r="AW168" s="940"/>
      <c r="AX168" s="940"/>
      <c r="AY168" s="940"/>
      <c r="AZ168" s="940"/>
      <c r="BA168" s="940"/>
      <c r="BB168" s="940"/>
      <c r="BC168" s="940"/>
      <c r="BD168" s="941"/>
      <c r="BE168" s="938"/>
      <c r="BF168" s="332">
        <f t="shared" si="83"/>
        <v>0</v>
      </c>
      <c r="BG168" s="333">
        <f t="shared" si="75"/>
        <v>0</v>
      </c>
      <c r="BH168" s="329"/>
      <c r="BI168" s="330"/>
      <c r="BJ168" s="330"/>
      <c r="BK168" s="330"/>
      <c r="BL168" s="330"/>
      <c r="BM168" s="330"/>
      <c r="BN168" s="330"/>
      <c r="BO168" s="330"/>
      <c r="BP168" s="330"/>
      <c r="BQ168" s="330"/>
      <c r="BR168" s="330"/>
      <c r="BS168" s="331"/>
      <c r="BT168" s="326"/>
      <c r="BU168" s="332">
        <f t="shared" si="84"/>
        <v>0</v>
      </c>
      <c r="BV168" s="333">
        <f t="shared" si="76"/>
        <v>0</v>
      </c>
      <c r="BW168" s="329"/>
      <c r="BX168" s="330"/>
      <c r="BY168" s="330"/>
      <c r="BZ168" s="330"/>
      <c r="CA168" s="330"/>
      <c r="CB168" s="330"/>
      <c r="CC168" s="330"/>
      <c r="CD168" s="330"/>
      <c r="CE168" s="330"/>
      <c r="CF168" s="330"/>
      <c r="CG168" s="330"/>
      <c r="CH168" s="331"/>
      <c r="CI168" s="326"/>
      <c r="CJ168" s="332">
        <f t="shared" si="85"/>
        <v>0</v>
      </c>
      <c r="CK168" s="333">
        <f t="shared" si="77"/>
        <v>0</v>
      </c>
      <c r="CL168" s="334">
        <f t="shared" si="78"/>
        <v>0</v>
      </c>
      <c r="CM168" s="335">
        <f t="shared" si="79"/>
        <v>0</v>
      </c>
      <c r="CN168" s="336">
        <f t="shared" si="80"/>
        <v>0</v>
      </c>
      <c r="CQ168" s="480"/>
    </row>
    <row r="169" spans="1:95" s="33" customFormat="1" ht="29.25" customHeight="1">
      <c r="A169" s="1051" t="s">
        <v>161</v>
      </c>
      <c r="B169" s="1048" t="s">
        <v>1513</v>
      </c>
      <c r="C169" s="1048" t="s">
        <v>118</v>
      </c>
      <c r="D169" s="895"/>
      <c r="E169" s="125" t="s">
        <v>107</v>
      </c>
      <c r="F169" s="898"/>
      <c r="G169" s="899"/>
      <c r="H169" s="899"/>
      <c r="I169" s="900"/>
      <c r="J169" s="674" t="s">
        <v>1990</v>
      </c>
      <c r="K169" s="374" t="str">
        <f>IFERROR(VLOOKUP(H169,справочник!$A$3:$B$12,2,0),"нет данных")</f>
        <v>нет данных</v>
      </c>
      <c r="L169" s="326"/>
      <c r="M169" s="399"/>
      <c r="N169" s="346">
        <f t="shared" si="72"/>
        <v>0</v>
      </c>
      <c r="O169" s="394"/>
      <c r="P169" s="352"/>
      <c r="Q169" s="352"/>
      <c r="R169" s="352"/>
      <c r="S169" s="352"/>
      <c r="T169" s="352"/>
      <c r="U169" s="324"/>
      <c r="V169" s="324"/>
      <c r="W169" s="324"/>
      <c r="X169" s="324"/>
      <c r="Y169" s="324"/>
      <c r="Z169" s="325"/>
      <c r="AA169" s="326"/>
      <c r="AB169" s="327">
        <f t="shared" si="81"/>
        <v>0</v>
      </c>
      <c r="AC169" s="328">
        <f t="shared" si="73"/>
        <v>0</v>
      </c>
      <c r="AD169" s="918"/>
      <c r="AE169" s="919"/>
      <c r="AF169" s="919"/>
      <c r="AG169" s="919"/>
      <c r="AH169" s="919"/>
      <c r="AI169" s="919"/>
      <c r="AJ169" s="919"/>
      <c r="AK169" s="919"/>
      <c r="AL169" s="919"/>
      <c r="AM169" s="919"/>
      <c r="AN169" s="919"/>
      <c r="AO169" s="920"/>
      <c r="AP169" s="917"/>
      <c r="AQ169" s="332">
        <f t="shared" si="82"/>
        <v>0</v>
      </c>
      <c r="AR169" s="333">
        <f t="shared" si="74"/>
        <v>0</v>
      </c>
      <c r="AS169" s="939"/>
      <c r="AT169" s="940"/>
      <c r="AU169" s="940"/>
      <c r="AV169" s="940"/>
      <c r="AW169" s="940"/>
      <c r="AX169" s="940"/>
      <c r="AY169" s="940"/>
      <c r="AZ169" s="940"/>
      <c r="BA169" s="940"/>
      <c r="BB169" s="940"/>
      <c r="BC169" s="940"/>
      <c r="BD169" s="941"/>
      <c r="BE169" s="938"/>
      <c r="BF169" s="332">
        <f t="shared" si="83"/>
        <v>0</v>
      </c>
      <c r="BG169" s="333">
        <f t="shared" si="75"/>
        <v>0</v>
      </c>
      <c r="BH169" s="329"/>
      <c r="BI169" s="330"/>
      <c r="BJ169" s="330"/>
      <c r="BK169" s="330"/>
      <c r="BL169" s="330"/>
      <c r="BM169" s="330"/>
      <c r="BN169" s="330"/>
      <c r="BO169" s="330"/>
      <c r="BP169" s="330"/>
      <c r="BQ169" s="330"/>
      <c r="BR169" s="330"/>
      <c r="BS169" s="331"/>
      <c r="BT169" s="326"/>
      <c r="BU169" s="332">
        <f t="shared" si="84"/>
        <v>0</v>
      </c>
      <c r="BV169" s="333">
        <f t="shared" si="76"/>
        <v>0</v>
      </c>
      <c r="BW169" s="329"/>
      <c r="BX169" s="330"/>
      <c r="BY169" s="330"/>
      <c r="BZ169" s="330"/>
      <c r="CA169" s="330"/>
      <c r="CB169" s="330"/>
      <c r="CC169" s="330"/>
      <c r="CD169" s="330"/>
      <c r="CE169" s="330"/>
      <c r="CF169" s="330"/>
      <c r="CG169" s="330"/>
      <c r="CH169" s="331"/>
      <c r="CI169" s="326"/>
      <c r="CJ169" s="332">
        <f t="shared" si="85"/>
        <v>0</v>
      </c>
      <c r="CK169" s="333">
        <f t="shared" si="77"/>
        <v>0</v>
      </c>
      <c r="CL169" s="334">
        <f t="shared" si="78"/>
        <v>0</v>
      </c>
      <c r="CM169" s="335">
        <f t="shared" si="79"/>
        <v>0</v>
      </c>
      <c r="CN169" s="336">
        <f t="shared" si="80"/>
        <v>0</v>
      </c>
      <c r="CQ169" s="480"/>
    </row>
    <row r="170" spans="1:95" s="33" customFormat="1" ht="29.25" customHeight="1">
      <c r="A170" s="1052"/>
      <c r="B170" s="1050"/>
      <c r="C170" s="1050"/>
      <c r="D170" s="895"/>
      <c r="E170" s="125" t="s">
        <v>107</v>
      </c>
      <c r="F170" s="898"/>
      <c r="G170" s="899"/>
      <c r="H170" s="899"/>
      <c r="I170" s="902"/>
      <c r="J170" s="674" t="s">
        <v>1990</v>
      </c>
      <c r="K170" s="374" t="str">
        <f>IFERROR(VLOOKUP(H170,справочник!$A$3:$B$12,2,0),"нет данных")</f>
        <v>нет данных</v>
      </c>
      <c r="L170" s="326"/>
      <c r="M170" s="399"/>
      <c r="N170" s="346">
        <f t="shared" si="72"/>
        <v>0</v>
      </c>
      <c r="O170" s="394"/>
      <c r="P170" s="352"/>
      <c r="Q170" s="352"/>
      <c r="R170" s="352"/>
      <c r="S170" s="352"/>
      <c r="T170" s="352"/>
      <c r="U170" s="324"/>
      <c r="V170" s="324"/>
      <c r="W170" s="324"/>
      <c r="X170" s="324"/>
      <c r="Y170" s="324"/>
      <c r="Z170" s="325"/>
      <c r="AA170" s="326"/>
      <c r="AB170" s="327">
        <f t="shared" si="81"/>
        <v>0</v>
      </c>
      <c r="AC170" s="328">
        <f t="shared" si="73"/>
        <v>0</v>
      </c>
      <c r="AD170" s="918"/>
      <c r="AE170" s="919"/>
      <c r="AF170" s="919"/>
      <c r="AG170" s="919"/>
      <c r="AH170" s="919"/>
      <c r="AI170" s="919"/>
      <c r="AJ170" s="919"/>
      <c r="AK170" s="919"/>
      <c r="AL170" s="919"/>
      <c r="AM170" s="919"/>
      <c r="AN170" s="919"/>
      <c r="AO170" s="920"/>
      <c r="AP170" s="917"/>
      <c r="AQ170" s="332">
        <f t="shared" si="82"/>
        <v>0</v>
      </c>
      <c r="AR170" s="333">
        <f t="shared" si="74"/>
        <v>0</v>
      </c>
      <c r="AS170" s="939"/>
      <c r="AT170" s="940"/>
      <c r="AU170" s="940"/>
      <c r="AV170" s="940"/>
      <c r="AW170" s="940"/>
      <c r="AX170" s="940"/>
      <c r="AY170" s="940"/>
      <c r="AZ170" s="940"/>
      <c r="BA170" s="940"/>
      <c r="BB170" s="940"/>
      <c r="BC170" s="940"/>
      <c r="BD170" s="941"/>
      <c r="BE170" s="938"/>
      <c r="BF170" s="332">
        <f t="shared" si="83"/>
        <v>0</v>
      </c>
      <c r="BG170" s="333">
        <f t="shared" si="75"/>
        <v>0</v>
      </c>
      <c r="BH170" s="329"/>
      <c r="BI170" s="330"/>
      <c r="BJ170" s="330"/>
      <c r="BK170" s="330"/>
      <c r="BL170" s="330"/>
      <c r="BM170" s="330"/>
      <c r="BN170" s="330"/>
      <c r="BO170" s="330"/>
      <c r="BP170" s="330"/>
      <c r="BQ170" s="330"/>
      <c r="BR170" s="330"/>
      <c r="BS170" s="331"/>
      <c r="BT170" s="326"/>
      <c r="BU170" s="332">
        <f t="shared" si="84"/>
        <v>0</v>
      </c>
      <c r="BV170" s="333">
        <f t="shared" si="76"/>
        <v>0</v>
      </c>
      <c r="BW170" s="329"/>
      <c r="BX170" s="330"/>
      <c r="BY170" s="330"/>
      <c r="BZ170" s="330"/>
      <c r="CA170" s="330"/>
      <c r="CB170" s="330"/>
      <c r="CC170" s="330"/>
      <c r="CD170" s="330"/>
      <c r="CE170" s="330"/>
      <c r="CF170" s="330"/>
      <c r="CG170" s="330"/>
      <c r="CH170" s="331"/>
      <c r="CI170" s="326"/>
      <c r="CJ170" s="332">
        <f t="shared" si="85"/>
        <v>0</v>
      </c>
      <c r="CK170" s="333">
        <f t="shared" si="77"/>
        <v>0</v>
      </c>
      <c r="CL170" s="334">
        <f t="shared" si="78"/>
        <v>0</v>
      </c>
      <c r="CM170" s="335">
        <f t="shared" si="79"/>
        <v>0</v>
      </c>
      <c r="CN170" s="336">
        <f t="shared" si="80"/>
        <v>0</v>
      </c>
      <c r="CQ170" s="480"/>
    </row>
    <row r="171" spans="1:95" s="33" customFormat="1" ht="29.25" customHeight="1">
      <c r="A171" s="1051" t="s">
        <v>147</v>
      </c>
      <c r="B171" s="1048" t="s">
        <v>1514</v>
      </c>
      <c r="C171" s="1048" t="s">
        <v>96</v>
      </c>
      <c r="D171" s="895"/>
      <c r="E171" s="125" t="s">
        <v>106</v>
      </c>
      <c r="F171" s="898"/>
      <c r="G171" s="899" t="s">
        <v>40</v>
      </c>
      <c r="H171" s="899" t="s">
        <v>1453</v>
      </c>
      <c r="I171" s="902" t="s">
        <v>2049</v>
      </c>
      <c r="J171" s="674" t="s">
        <v>1990</v>
      </c>
      <c r="K171" s="374">
        <f>IFERROR(VLOOKUP(H171,справочник!$A$3:$B$12,2,0),"нет данных")</f>
        <v>21520</v>
      </c>
      <c r="L171" s="326"/>
      <c r="M171" s="399"/>
      <c r="N171" s="346">
        <f t="shared" ref="N171:N214" si="450">IFERROR(ROUND((K171*M171+K171*L171),2),0)</f>
        <v>0</v>
      </c>
      <c r="O171" s="394"/>
      <c r="P171" s="352"/>
      <c r="Q171" s="352"/>
      <c r="R171" s="352"/>
      <c r="S171" s="352"/>
      <c r="T171" s="352"/>
      <c r="U171" s="324"/>
      <c r="V171" s="324"/>
      <c r="W171" s="324"/>
      <c r="X171" s="324"/>
      <c r="Y171" s="324"/>
      <c r="Z171" s="325"/>
      <c r="AA171" s="326"/>
      <c r="AB171" s="327">
        <f t="shared" si="81"/>
        <v>0</v>
      </c>
      <c r="AC171" s="328">
        <f t="shared" ref="AC171:AC214" si="451">IFERROR(ROUND(($K171*AB171+$K171*AA171),2),0)</f>
        <v>0</v>
      </c>
      <c r="AD171" s="918"/>
      <c r="AE171" s="919"/>
      <c r="AF171" s="919"/>
      <c r="AG171" s="919"/>
      <c r="AH171" s="919"/>
      <c r="AI171" s="931">
        <v>5</v>
      </c>
      <c r="AJ171" s="930">
        <v>5</v>
      </c>
      <c r="AK171" s="919"/>
      <c r="AL171" s="919"/>
      <c r="AM171" s="919"/>
      <c r="AN171" s="919"/>
      <c r="AO171" s="920"/>
      <c r="AP171" s="917"/>
      <c r="AQ171" s="332">
        <f t="shared" si="82"/>
        <v>10</v>
      </c>
      <c r="AR171" s="333">
        <f t="shared" ref="AR171:AR214" si="452">IFERROR(ROUND(($K171*AQ171+$K171*AP171),2),0)</f>
        <v>215200</v>
      </c>
      <c r="AS171" s="939"/>
      <c r="AT171" s="940"/>
      <c r="AU171" s="940"/>
      <c r="AV171" s="940"/>
      <c r="AW171" s="940"/>
      <c r="AX171" s="940"/>
      <c r="AY171" s="940"/>
      <c r="AZ171" s="940"/>
      <c r="BA171" s="940"/>
      <c r="BB171" s="940"/>
      <c r="BC171" s="940"/>
      <c r="BD171" s="941"/>
      <c r="BE171" s="938"/>
      <c r="BF171" s="332">
        <f t="shared" ref="BF171:BF213" si="453">SUM(AS171:BD171)</f>
        <v>0</v>
      </c>
      <c r="BG171" s="333">
        <f t="shared" ref="BG171:BG214" si="454">IFERROR(ROUND(($K171*BF171+$K171*BE171),2),0)</f>
        <v>0</v>
      </c>
      <c r="BH171" s="329"/>
      <c r="BI171" s="330"/>
      <c r="BJ171" s="330"/>
      <c r="BK171" s="330"/>
      <c r="BL171" s="330"/>
      <c r="BM171" s="330"/>
      <c r="BN171" s="330"/>
      <c r="BO171" s="330"/>
      <c r="BP171" s="330"/>
      <c r="BQ171" s="330"/>
      <c r="BR171" s="330"/>
      <c r="BS171" s="331"/>
      <c r="BT171" s="326"/>
      <c r="BU171" s="332">
        <f t="shared" ref="BU171:BU214" si="455">SUM(BH171:BS171)</f>
        <v>0</v>
      </c>
      <c r="BV171" s="333">
        <f t="shared" ref="BV171:BV214" si="456">IFERROR(ROUND(($K171*BU171+$K171*BT171),2),0)</f>
        <v>0</v>
      </c>
      <c r="BW171" s="329"/>
      <c r="BX171" s="330"/>
      <c r="BY171" s="330"/>
      <c r="BZ171" s="330"/>
      <c r="CA171" s="330"/>
      <c r="CB171" s="330"/>
      <c r="CC171" s="330"/>
      <c r="CD171" s="330"/>
      <c r="CE171" s="330"/>
      <c r="CF171" s="330"/>
      <c r="CG171" s="330"/>
      <c r="CH171" s="331"/>
      <c r="CI171" s="326"/>
      <c r="CJ171" s="332">
        <f t="shared" ref="CJ171:CJ214" si="457">SUM(BW171:CH171)</f>
        <v>0</v>
      </c>
      <c r="CK171" s="333">
        <f t="shared" ref="CK171:CK214" si="458">IFERROR(ROUND(($K171*CJ171+$K171*CI171),2),0)</f>
        <v>0</v>
      </c>
      <c r="CL171" s="334">
        <f t="shared" ref="CL171:CL214" si="459">AA171+AP171+L171+BE171+BT171+CI171</f>
        <v>0</v>
      </c>
      <c r="CM171" s="335">
        <f t="shared" ref="CM171:CM214" si="460">AB171+AQ171+M171+BF171+BU171+CJ171</f>
        <v>10</v>
      </c>
      <c r="CN171" s="336">
        <f t="shared" ref="CN171:CN214" si="461">AC171+AR171+N171+BG171+BV171+CK171</f>
        <v>215200</v>
      </c>
      <c r="CQ171" s="480"/>
    </row>
    <row r="172" spans="1:95" s="33" customFormat="1" ht="29.25" customHeight="1">
      <c r="A172" s="1052"/>
      <c r="B172" s="1050"/>
      <c r="C172" s="1050"/>
      <c r="D172" s="895"/>
      <c r="E172" s="125" t="s">
        <v>106</v>
      </c>
      <c r="F172" s="898"/>
      <c r="G172" s="899"/>
      <c r="H172" s="899"/>
      <c r="I172" s="902"/>
      <c r="J172" s="674" t="s">
        <v>1990</v>
      </c>
      <c r="K172" s="374" t="str">
        <f>IFERROR(VLOOKUP(H172,справочник!$A$3:$B$12,2,0),"нет данных")</f>
        <v>нет данных</v>
      </c>
      <c r="L172" s="326"/>
      <c r="M172" s="399"/>
      <c r="N172" s="346">
        <f t="shared" si="450"/>
        <v>0</v>
      </c>
      <c r="O172" s="394"/>
      <c r="P172" s="352"/>
      <c r="Q172" s="352"/>
      <c r="R172" s="352"/>
      <c r="S172" s="352"/>
      <c r="T172" s="352"/>
      <c r="U172" s="324"/>
      <c r="V172" s="324"/>
      <c r="W172" s="324"/>
      <c r="X172" s="324"/>
      <c r="Y172" s="324"/>
      <c r="Z172" s="325"/>
      <c r="AA172" s="326"/>
      <c r="AB172" s="327">
        <f t="shared" ref="AB172:AB214" si="462">SUM(O172:Z172)</f>
        <v>0</v>
      </c>
      <c r="AC172" s="328">
        <f t="shared" si="451"/>
        <v>0</v>
      </c>
      <c r="AD172" s="918"/>
      <c r="AE172" s="919"/>
      <c r="AF172" s="919"/>
      <c r="AG172" s="919"/>
      <c r="AH172" s="919"/>
      <c r="AI172" s="919"/>
      <c r="AJ172" s="919"/>
      <c r="AK172" s="919"/>
      <c r="AL172" s="919"/>
      <c r="AM172" s="919"/>
      <c r="AN172" s="919"/>
      <c r="AO172" s="920"/>
      <c r="AP172" s="917"/>
      <c r="AQ172" s="332">
        <f t="shared" ref="AQ172:AQ214" si="463">SUM(AD172:AO172)</f>
        <v>0</v>
      </c>
      <c r="AR172" s="333">
        <f t="shared" si="452"/>
        <v>0</v>
      </c>
      <c r="AS172" s="939"/>
      <c r="AT172" s="940"/>
      <c r="AU172" s="940"/>
      <c r="AV172" s="940"/>
      <c r="AW172" s="940"/>
      <c r="AX172" s="940"/>
      <c r="AY172" s="940"/>
      <c r="AZ172" s="940"/>
      <c r="BA172" s="940"/>
      <c r="BB172" s="940"/>
      <c r="BC172" s="940"/>
      <c r="BD172" s="941"/>
      <c r="BE172" s="938"/>
      <c r="BF172" s="332">
        <f t="shared" si="453"/>
        <v>0</v>
      </c>
      <c r="BG172" s="333">
        <f t="shared" si="454"/>
        <v>0</v>
      </c>
      <c r="BH172" s="329"/>
      <c r="BI172" s="330"/>
      <c r="BJ172" s="330"/>
      <c r="BK172" s="330"/>
      <c r="BL172" s="330"/>
      <c r="BM172" s="330"/>
      <c r="BN172" s="330"/>
      <c r="BO172" s="330"/>
      <c r="BP172" s="330"/>
      <c r="BQ172" s="330"/>
      <c r="BR172" s="330"/>
      <c r="BS172" s="331"/>
      <c r="BT172" s="326"/>
      <c r="BU172" s="332">
        <f t="shared" si="455"/>
        <v>0</v>
      </c>
      <c r="BV172" s="333">
        <f t="shared" si="456"/>
        <v>0</v>
      </c>
      <c r="BW172" s="329"/>
      <c r="BX172" s="330"/>
      <c r="BY172" s="330"/>
      <c r="BZ172" s="330"/>
      <c r="CA172" s="330"/>
      <c r="CB172" s="330"/>
      <c r="CC172" s="330"/>
      <c r="CD172" s="330"/>
      <c r="CE172" s="330"/>
      <c r="CF172" s="330"/>
      <c r="CG172" s="330"/>
      <c r="CH172" s="331"/>
      <c r="CI172" s="326"/>
      <c r="CJ172" s="332">
        <f t="shared" si="457"/>
        <v>0</v>
      </c>
      <c r="CK172" s="333">
        <f t="shared" si="458"/>
        <v>0</v>
      </c>
      <c r="CL172" s="334">
        <f t="shared" si="459"/>
        <v>0</v>
      </c>
      <c r="CM172" s="335">
        <f t="shared" si="460"/>
        <v>0</v>
      </c>
      <c r="CN172" s="336">
        <f t="shared" si="461"/>
        <v>0</v>
      </c>
      <c r="CQ172" s="480"/>
    </row>
    <row r="173" spans="1:95" s="33" customFormat="1" ht="29.25" customHeight="1">
      <c r="A173" s="1051" t="s">
        <v>148</v>
      </c>
      <c r="B173" s="1048" t="s">
        <v>1515</v>
      </c>
      <c r="C173" s="1048" t="s">
        <v>97</v>
      </c>
      <c r="D173" s="895" t="s">
        <v>2044</v>
      </c>
      <c r="E173" s="125" t="s">
        <v>106</v>
      </c>
      <c r="F173" s="898"/>
      <c r="G173" s="899" t="s">
        <v>40</v>
      </c>
      <c r="H173" s="904" t="s">
        <v>1453</v>
      </c>
      <c r="I173" s="902" t="s">
        <v>2049</v>
      </c>
      <c r="J173" s="674" t="s">
        <v>1990</v>
      </c>
      <c r="K173" s="374">
        <f>IFERROR(VLOOKUP(H173,справочник!$A$3:$B$12,2,0),"нет данных")</f>
        <v>21520</v>
      </c>
      <c r="L173" s="326"/>
      <c r="M173" s="399"/>
      <c r="N173" s="346">
        <f t="shared" si="450"/>
        <v>0</v>
      </c>
      <c r="O173" s="394"/>
      <c r="P173" s="352"/>
      <c r="Q173" s="352"/>
      <c r="R173" s="352"/>
      <c r="S173" s="352"/>
      <c r="T173" s="352"/>
      <c r="U173" s="324"/>
      <c r="V173" s="324"/>
      <c r="W173" s="324"/>
      <c r="X173" s="324"/>
      <c r="Y173" s="324"/>
      <c r="Z173" s="325"/>
      <c r="AA173" s="326"/>
      <c r="AB173" s="327">
        <f t="shared" si="462"/>
        <v>0</v>
      </c>
      <c r="AC173" s="328">
        <f t="shared" si="451"/>
        <v>0</v>
      </c>
      <c r="AD173" s="918"/>
      <c r="AE173" s="919"/>
      <c r="AF173" s="919"/>
      <c r="AG173" s="919"/>
      <c r="AH173" s="919"/>
      <c r="AI173" s="919"/>
      <c r="AJ173" s="930">
        <v>17</v>
      </c>
      <c r="AK173" s="930">
        <v>23</v>
      </c>
      <c r="AL173" s="930">
        <v>10</v>
      </c>
      <c r="AM173" s="930">
        <v>13</v>
      </c>
      <c r="AN173" s="932">
        <v>10</v>
      </c>
      <c r="AO173" s="920"/>
      <c r="AP173" s="917"/>
      <c r="AQ173" s="332">
        <f t="shared" si="463"/>
        <v>73</v>
      </c>
      <c r="AR173" s="333">
        <f t="shared" si="452"/>
        <v>1570960</v>
      </c>
      <c r="AS173" s="939"/>
      <c r="AT173" s="940"/>
      <c r="AU173" s="940"/>
      <c r="AV173" s="940"/>
      <c r="AW173" s="940"/>
      <c r="AX173" s="940"/>
      <c r="AY173" s="940"/>
      <c r="AZ173" s="940"/>
      <c r="BA173" s="940"/>
      <c r="BB173" s="940"/>
      <c r="BC173" s="940"/>
      <c r="BD173" s="941"/>
      <c r="BE173" s="938"/>
      <c r="BF173" s="332">
        <f t="shared" si="453"/>
        <v>0</v>
      </c>
      <c r="BG173" s="333">
        <f t="shared" si="454"/>
        <v>0</v>
      </c>
      <c r="BH173" s="329"/>
      <c r="BI173" s="330"/>
      <c r="BJ173" s="330"/>
      <c r="BK173" s="330"/>
      <c r="BL173" s="330"/>
      <c r="BM173" s="330"/>
      <c r="BN173" s="330"/>
      <c r="BO173" s="330"/>
      <c r="BP173" s="330"/>
      <c r="BQ173" s="330"/>
      <c r="BR173" s="330"/>
      <c r="BS173" s="331"/>
      <c r="BT173" s="326"/>
      <c r="BU173" s="332">
        <f t="shared" si="455"/>
        <v>0</v>
      </c>
      <c r="BV173" s="333">
        <f t="shared" si="456"/>
        <v>0</v>
      </c>
      <c r="BW173" s="329"/>
      <c r="BX173" s="330"/>
      <c r="BY173" s="330"/>
      <c r="BZ173" s="330"/>
      <c r="CA173" s="330"/>
      <c r="CB173" s="330"/>
      <c r="CC173" s="330"/>
      <c r="CD173" s="330"/>
      <c r="CE173" s="330"/>
      <c r="CF173" s="330"/>
      <c r="CG173" s="330"/>
      <c r="CH173" s="331"/>
      <c r="CI173" s="326"/>
      <c r="CJ173" s="332">
        <f t="shared" si="457"/>
        <v>0</v>
      </c>
      <c r="CK173" s="333">
        <f t="shared" si="458"/>
        <v>0</v>
      </c>
      <c r="CL173" s="334">
        <f t="shared" si="459"/>
        <v>0</v>
      </c>
      <c r="CM173" s="335">
        <f t="shared" si="460"/>
        <v>73</v>
      </c>
      <c r="CN173" s="336">
        <f t="shared" si="461"/>
        <v>1570960</v>
      </c>
      <c r="CQ173" s="480"/>
    </row>
    <row r="174" spans="1:95" s="33" customFormat="1" ht="29.25" customHeight="1">
      <c r="A174" s="1052"/>
      <c r="B174" s="1050"/>
      <c r="C174" s="1050"/>
      <c r="D174" s="895"/>
      <c r="E174" s="125" t="s">
        <v>106</v>
      </c>
      <c r="F174" s="898"/>
      <c r="G174" s="899"/>
      <c r="H174" s="899"/>
      <c r="I174" s="902"/>
      <c r="J174" s="674" t="s">
        <v>1990</v>
      </c>
      <c r="K174" s="374" t="str">
        <f>IFERROR(VLOOKUP(H174,справочник!$A$3:$B$12,2,0),"нет данных")</f>
        <v>нет данных</v>
      </c>
      <c r="L174" s="326"/>
      <c r="M174" s="399"/>
      <c r="N174" s="346">
        <f t="shared" si="450"/>
        <v>0</v>
      </c>
      <c r="O174" s="394"/>
      <c r="P174" s="352"/>
      <c r="Q174" s="352"/>
      <c r="R174" s="352"/>
      <c r="S174" s="352"/>
      <c r="T174" s="352"/>
      <c r="U174" s="324"/>
      <c r="V174" s="324"/>
      <c r="W174" s="324"/>
      <c r="X174" s="324"/>
      <c r="Y174" s="324"/>
      <c r="Z174" s="325"/>
      <c r="AA174" s="326"/>
      <c r="AB174" s="327">
        <f t="shared" si="462"/>
        <v>0</v>
      </c>
      <c r="AC174" s="328">
        <f t="shared" si="451"/>
        <v>0</v>
      </c>
      <c r="AD174" s="918"/>
      <c r="AE174" s="919"/>
      <c r="AF174" s="919"/>
      <c r="AG174" s="919"/>
      <c r="AH174" s="919"/>
      <c r="AI174" s="919"/>
      <c r="AJ174" s="919"/>
      <c r="AK174" s="919"/>
      <c r="AL174" s="919"/>
      <c r="AM174" s="919"/>
      <c r="AN174" s="919"/>
      <c r="AO174" s="920"/>
      <c r="AP174" s="917"/>
      <c r="AQ174" s="332">
        <f t="shared" si="463"/>
        <v>0</v>
      </c>
      <c r="AR174" s="333">
        <f t="shared" si="452"/>
        <v>0</v>
      </c>
      <c r="AS174" s="939"/>
      <c r="AT174" s="940"/>
      <c r="AU174" s="940"/>
      <c r="AV174" s="940"/>
      <c r="AW174" s="940"/>
      <c r="AX174" s="940"/>
      <c r="AY174" s="940"/>
      <c r="AZ174" s="940"/>
      <c r="BA174" s="940"/>
      <c r="BB174" s="940"/>
      <c r="BC174" s="940"/>
      <c r="BD174" s="941"/>
      <c r="BE174" s="938"/>
      <c r="BF174" s="332">
        <f t="shared" si="453"/>
        <v>0</v>
      </c>
      <c r="BG174" s="333">
        <f t="shared" si="454"/>
        <v>0</v>
      </c>
      <c r="BH174" s="329"/>
      <c r="BI174" s="330"/>
      <c r="BJ174" s="330"/>
      <c r="BK174" s="330"/>
      <c r="BL174" s="330"/>
      <c r="BM174" s="330"/>
      <c r="BN174" s="330"/>
      <c r="BO174" s="330"/>
      <c r="BP174" s="330"/>
      <c r="BQ174" s="330"/>
      <c r="BR174" s="330"/>
      <c r="BS174" s="331"/>
      <c r="BT174" s="326"/>
      <c r="BU174" s="332">
        <f t="shared" si="455"/>
        <v>0</v>
      </c>
      <c r="BV174" s="333">
        <f t="shared" si="456"/>
        <v>0</v>
      </c>
      <c r="BW174" s="329"/>
      <c r="BX174" s="330"/>
      <c r="BY174" s="330"/>
      <c r="BZ174" s="330"/>
      <c r="CA174" s="330"/>
      <c r="CB174" s="330"/>
      <c r="CC174" s="330"/>
      <c r="CD174" s="330"/>
      <c r="CE174" s="330"/>
      <c r="CF174" s="330"/>
      <c r="CG174" s="330"/>
      <c r="CH174" s="331"/>
      <c r="CI174" s="326"/>
      <c r="CJ174" s="332">
        <f t="shared" si="457"/>
        <v>0</v>
      </c>
      <c r="CK174" s="333">
        <f t="shared" si="458"/>
        <v>0</v>
      </c>
      <c r="CL174" s="334">
        <f t="shared" si="459"/>
        <v>0</v>
      </c>
      <c r="CM174" s="335">
        <f t="shared" si="460"/>
        <v>0</v>
      </c>
      <c r="CN174" s="336">
        <f t="shared" si="461"/>
        <v>0</v>
      </c>
      <c r="CQ174" s="480"/>
    </row>
    <row r="175" spans="1:95" s="33" customFormat="1" ht="22.5" customHeight="1">
      <c r="A175" s="1051" t="s">
        <v>149</v>
      </c>
      <c r="B175" s="1048" t="s">
        <v>1516</v>
      </c>
      <c r="C175" s="1048" t="s">
        <v>98</v>
      </c>
      <c r="D175" s="895"/>
      <c r="E175" s="125" t="s">
        <v>106</v>
      </c>
      <c r="F175" s="898"/>
      <c r="G175" s="899" t="s">
        <v>40</v>
      </c>
      <c r="H175" s="904" t="s">
        <v>1453</v>
      </c>
      <c r="I175" s="902" t="s">
        <v>2049</v>
      </c>
      <c r="J175" s="674" t="s">
        <v>1990</v>
      </c>
      <c r="K175" s="374">
        <f>IFERROR(VLOOKUP(H175,справочник!$A$3:$B$12,2,0),"нет данных")</f>
        <v>21520</v>
      </c>
      <c r="L175" s="326"/>
      <c r="M175" s="399"/>
      <c r="N175" s="346">
        <f t="shared" si="450"/>
        <v>0</v>
      </c>
      <c r="O175" s="394"/>
      <c r="P175" s="352"/>
      <c r="Q175" s="352"/>
      <c r="R175" s="352"/>
      <c r="S175" s="352"/>
      <c r="T175" s="352"/>
      <c r="U175" s="324"/>
      <c r="V175" s="324"/>
      <c r="W175" s="324"/>
      <c r="X175" s="324"/>
      <c r="Y175" s="324"/>
      <c r="Z175" s="325"/>
      <c r="AA175" s="326"/>
      <c r="AB175" s="327">
        <f t="shared" si="462"/>
        <v>0</v>
      </c>
      <c r="AC175" s="328">
        <f t="shared" si="451"/>
        <v>0</v>
      </c>
      <c r="AD175" s="918"/>
      <c r="AE175" s="919"/>
      <c r="AF175" s="919"/>
      <c r="AG175" s="919"/>
      <c r="AH175" s="919"/>
      <c r="AI175" s="919"/>
      <c r="AJ175" s="919"/>
      <c r="AK175" s="919"/>
      <c r="AL175" s="919"/>
      <c r="AM175" s="919"/>
      <c r="AN175" s="932">
        <v>11</v>
      </c>
      <c r="AO175" s="933">
        <v>21</v>
      </c>
      <c r="AP175" s="917"/>
      <c r="AQ175" s="332">
        <f t="shared" si="463"/>
        <v>32</v>
      </c>
      <c r="AR175" s="333">
        <f t="shared" si="452"/>
        <v>688640</v>
      </c>
      <c r="AS175" s="943">
        <v>17</v>
      </c>
      <c r="AT175" s="944">
        <v>5</v>
      </c>
      <c r="AU175" s="940"/>
      <c r="AV175" s="940"/>
      <c r="AW175" s="940"/>
      <c r="AX175" s="940"/>
      <c r="AY175" s="940"/>
      <c r="AZ175" s="940"/>
      <c r="BA175" s="940"/>
      <c r="BB175" s="940"/>
      <c r="BC175" s="940"/>
      <c r="BD175" s="941"/>
      <c r="BE175" s="938"/>
      <c r="BF175" s="332">
        <f t="shared" si="453"/>
        <v>22</v>
      </c>
      <c r="BG175" s="333">
        <f t="shared" si="454"/>
        <v>473440</v>
      </c>
      <c r="BH175" s="329"/>
      <c r="BI175" s="330"/>
      <c r="BJ175" s="330"/>
      <c r="BK175" s="330"/>
      <c r="BL175" s="330"/>
      <c r="BM175" s="330"/>
      <c r="BN175" s="330"/>
      <c r="BO175" s="330"/>
      <c r="BP175" s="330"/>
      <c r="BQ175" s="330"/>
      <c r="BR175" s="330"/>
      <c r="BS175" s="331"/>
      <c r="BT175" s="326"/>
      <c r="BU175" s="332">
        <f t="shared" si="455"/>
        <v>0</v>
      </c>
      <c r="BV175" s="333">
        <f t="shared" si="456"/>
        <v>0</v>
      </c>
      <c r="BW175" s="329"/>
      <c r="BX175" s="330"/>
      <c r="BY175" s="330"/>
      <c r="BZ175" s="330"/>
      <c r="CA175" s="330"/>
      <c r="CB175" s="330"/>
      <c r="CC175" s="330"/>
      <c r="CD175" s="330"/>
      <c r="CE175" s="330"/>
      <c r="CF175" s="330"/>
      <c r="CG175" s="330"/>
      <c r="CH175" s="331"/>
      <c r="CI175" s="326"/>
      <c r="CJ175" s="332">
        <f t="shared" si="457"/>
        <v>0</v>
      </c>
      <c r="CK175" s="333">
        <f t="shared" si="458"/>
        <v>0</v>
      </c>
      <c r="CL175" s="334">
        <f t="shared" si="459"/>
        <v>0</v>
      </c>
      <c r="CM175" s="335">
        <f t="shared" si="460"/>
        <v>54</v>
      </c>
      <c r="CN175" s="336">
        <f t="shared" si="461"/>
        <v>1162080</v>
      </c>
      <c r="CQ175" s="480"/>
    </row>
    <row r="176" spans="1:95" s="33" customFormat="1" ht="22.5" customHeight="1">
      <c r="A176" s="1052"/>
      <c r="B176" s="1050"/>
      <c r="C176" s="1050"/>
      <c r="D176" s="895"/>
      <c r="E176" s="125" t="s">
        <v>106</v>
      </c>
      <c r="F176" s="898"/>
      <c r="G176" s="899"/>
      <c r="H176" s="899"/>
      <c r="I176" s="902"/>
      <c r="J176" s="674" t="s">
        <v>1990</v>
      </c>
      <c r="K176" s="374" t="str">
        <f>IFERROR(VLOOKUP(H176,справочник!$A$3:$B$12,2,0),"нет данных")</f>
        <v>нет данных</v>
      </c>
      <c r="L176" s="326"/>
      <c r="M176" s="399"/>
      <c r="N176" s="346">
        <f t="shared" si="450"/>
        <v>0</v>
      </c>
      <c r="O176" s="394"/>
      <c r="P176" s="352"/>
      <c r="Q176" s="352"/>
      <c r="R176" s="352"/>
      <c r="S176" s="352"/>
      <c r="T176" s="352"/>
      <c r="U176" s="324"/>
      <c r="V176" s="324"/>
      <c r="W176" s="324"/>
      <c r="X176" s="324"/>
      <c r="Y176" s="324"/>
      <c r="Z176" s="325"/>
      <c r="AA176" s="326"/>
      <c r="AB176" s="327">
        <f t="shared" si="462"/>
        <v>0</v>
      </c>
      <c r="AC176" s="328">
        <f t="shared" si="451"/>
        <v>0</v>
      </c>
      <c r="AD176" s="918"/>
      <c r="AE176" s="919"/>
      <c r="AF176" s="919"/>
      <c r="AG176" s="919"/>
      <c r="AH176" s="919"/>
      <c r="AI176" s="919"/>
      <c r="AJ176" s="919"/>
      <c r="AK176" s="919"/>
      <c r="AL176" s="919"/>
      <c r="AM176" s="919"/>
      <c r="AN176" s="919"/>
      <c r="AO176" s="920"/>
      <c r="AP176" s="917"/>
      <c r="AQ176" s="332">
        <f t="shared" si="463"/>
        <v>0</v>
      </c>
      <c r="AR176" s="333">
        <f t="shared" si="452"/>
        <v>0</v>
      </c>
      <c r="AS176" s="939"/>
      <c r="AT176" s="940"/>
      <c r="AU176" s="940"/>
      <c r="AV176" s="940"/>
      <c r="AW176" s="940"/>
      <c r="AX176" s="940"/>
      <c r="AY176" s="940"/>
      <c r="AZ176" s="940"/>
      <c r="BA176" s="940"/>
      <c r="BB176" s="940"/>
      <c r="BC176" s="940"/>
      <c r="BD176" s="941"/>
      <c r="BE176" s="938"/>
      <c r="BF176" s="332">
        <f t="shared" si="453"/>
        <v>0</v>
      </c>
      <c r="BG176" s="333">
        <f t="shared" si="454"/>
        <v>0</v>
      </c>
      <c r="BH176" s="329"/>
      <c r="BI176" s="330"/>
      <c r="BJ176" s="330"/>
      <c r="BK176" s="330"/>
      <c r="BL176" s="330"/>
      <c r="BM176" s="330"/>
      <c r="BN176" s="330"/>
      <c r="BO176" s="330"/>
      <c r="BP176" s="330"/>
      <c r="BQ176" s="330"/>
      <c r="BR176" s="330"/>
      <c r="BS176" s="331"/>
      <c r="BT176" s="326"/>
      <c r="BU176" s="332">
        <f t="shared" si="455"/>
        <v>0</v>
      </c>
      <c r="BV176" s="333">
        <f t="shared" si="456"/>
        <v>0</v>
      </c>
      <c r="BW176" s="329"/>
      <c r="BX176" s="330"/>
      <c r="BY176" s="330"/>
      <c r="BZ176" s="330"/>
      <c r="CA176" s="330"/>
      <c r="CB176" s="330"/>
      <c r="CC176" s="330"/>
      <c r="CD176" s="330"/>
      <c r="CE176" s="330"/>
      <c r="CF176" s="330"/>
      <c r="CG176" s="330"/>
      <c r="CH176" s="331"/>
      <c r="CI176" s="326"/>
      <c r="CJ176" s="332">
        <f t="shared" si="457"/>
        <v>0</v>
      </c>
      <c r="CK176" s="333">
        <f t="shared" si="458"/>
        <v>0</v>
      </c>
      <c r="CL176" s="334">
        <f t="shared" si="459"/>
        <v>0</v>
      </c>
      <c r="CM176" s="335">
        <f t="shared" si="460"/>
        <v>0</v>
      </c>
      <c r="CN176" s="336">
        <f t="shared" si="461"/>
        <v>0</v>
      </c>
      <c r="CQ176" s="480"/>
    </row>
    <row r="177" spans="1:95" s="33" customFormat="1" ht="22.5" customHeight="1">
      <c r="A177" s="1051" t="s">
        <v>138</v>
      </c>
      <c r="B177" s="1048" t="s">
        <v>1517</v>
      </c>
      <c r="C177" s="1048" t="s">
        <v>94</v>
      </c>
      <c r="D177" s="895"/>
      <c r="E177" s="125" t="s">
        <v>106</v>
      </c>
      <c r="F177" s="898"/>
      <c r="G177" s="899" t="s">
        <v>1625</v>
      </c>
      <c r="H177" s="899" t="s">
        <v>58</v>
      </c>
      <c r="I177" s="902" t="s">
        <v>2054</v>
      </c>
      <c r="J177" s="674" t="s">
        <v>1990</v>
      </c>
      <c r="K177" s="374">
        <f>IFERROR(VLOOKUP(H177,справочник!$A$3:$B$12,2,0),"нет данных")</f>
        <v>6980</v>
      </c>
      <c r="L177" s="326"/>
      <c r="M177" s="399"/>
      <c r="N177" s="346">
        <f t="shared" si="450"/>
        <v>0</v>
      </c>
      <c r="O177" s="394"/>
      <c r="P177" s="352"/>
      <c r="Q177" s="352"/>
      <c r="R177" s="352"/>
      <c r="S177" s="352"/>
      <c r="T177" s="352"/>
      <c r="U177" s="324"/>
      <c r="V177" s="324"/>
      <c r="W177" s="324"/>
      <c r="X177" s="324"/>
      <c r="Y177" s="324"/>
      <c r="Z177" s="325"/>
      <c r="AA177" s="326"/>
      <c r="AB177" s="327">
        <f t="shared" si="462"/>
        <v>0</v>
      </c>
      <c r="AC177" s="328">
        <f t="shared" si="451"/>
        <v>0</v>
      </c>
      <c r="AD177" s="918"/>
      <c r="AE177" s="919"/>
      <c r="AF177" s="919"/>
      <c r="AG177" s="919"/>
      <c r="AH177" s="919"/>
      <c r="AI177" s="919"/>
      <c r="AJ177" s="919"/>
      <c r="AK177" s="919"/>
      <c r="AL177" s="919"/>
      <c r="AM177" s="919"/>
      <c r="AN177" s="919"/>
      <c r="AO177" s="933">
        <v>11</v>
      </c>
      <c r="AP177" s="917"/>
      <c r="AQ177" s="332">
        <f t="shared" si="463"/>
        <v>11</v>
      </c>
      <c r="AR177" s="333">
        <f t="shared" si="452"/>
        <v>76780</v>
      </c>
      <c r="AS177" s="939"/>
      <c r="AT177" s="940"/>
      <c r="AU177" s="940"/>
      <c r="AV177" s="940"/>
      <c r="AW177" s="940"/>
      <c r="AX177" s="940"/>
      <c r="AY177" s="940"/>
      <c r="AZ177" s="940"/>
      <c r="BA177" s="940"/>
      <c r="BB177" s="940"/>
      <c r="BC177" s="940"/>
      <c r="BD177" s="941"/>
      <c r="BE177" s="938"/>
      <c r="BF177" s="332">
        <f t="shared" si="453"/>
        <v>0</v>
      </c>
      <c r="BG177" s="333">
        <f t="shared" si="454"/>
        <v>0</v>
      </c>
      <c r="BH177" s="329"/>
      <c r="BI177" s="330"/>
      <c r="BJ177" s="330"/>
      <c r="BK177" s="330"/>
      <c r="BL177" s="330"/>
      <c r="BM177" s="330"/>
      <c r="BN177" s="330"/>
      <c r="BO177" s="330"/>
      <c r="BP177" s="330"/>
      <c r="BQ177" s="330"/>
      <c r="BR177" s="330"/>
      <c r="BS177" s="331"/>
      <c r="BT177" s="326"/>
      <c r="BU177" s="332">
        <f t="shared" si="455"/>
        <v>0</v>
      </c>
      <c r="BV177" s="333">
        <f t="shared" si="456"/>
        <v>0</v>
      </c>
      <c r="BW177" s="329"/>
      <c r="BX177" s="330"/>
      <c r="BY177" s="330"/>
      <c r="BZ177" s="330"/>
      <c r="CA177" s="330"/>
      <c r="CB177" s="330"/>
      <c r="CC177" s="330"/>
      <c r="CD177" s="330"/>
      <c r="CE177" s="330"/>
      <c r="CF177" s="330"/>
      <c r="CG177" s="330"/>
      <c r="CH177" s="331"/>
      <c r="CI177" s="326"/>
      <c r="CJ177" s="332">
        <f t="shared" si="457"/>
        <v>0</v>
      </c>
      <c r="CK177" s="333">
        <f t="shared" si="458"/>
        <v>0</v>
      </c>
      <c r="CL177" s="334">
        <f t="shared" si="459"/>
        <v>0</v>
      </c>
      <c r="CM177" s="335">
        <f t="shared" si="460"/>
        <v>11</v>
      </c>
      <c r="CN177" s="336">
        <f t="shared" si="461"/>
        <v>76780</v>
      </c>
      <c r="CQ177" s="480"/>
    </row>
    <row r="178" spans="1:95" s="33" customFormat="1" ht="22.5" customHeight="1">
      <c r="A178" s="1052"/>
      <c r="B178" s="1050"/>
      <c r="C178" s="1050"/>
      <c r="D178" s="895"/>
      <c r="E178" s="125" t="s">
        <v>106</v>
      </c>
      <c r="F178" s="898"/>
      <c r="G178" s="899" t="s">
        <v>1625</v>
      </c>
      <c r="H178" s="899" t="s">
        <v>58</v>
      </c>
      <c r="I178" s="902" t="s">
        <v>2055</v>
      </c>
      <c r="J178" s="674" t="s">
        <v>1990</v>
      </c>
      <c r="K178" s="374">
        <f>IFERROR(VLOOKUP(H178,справочник!$A$3:$B$12,2,0),"нет данных")</f>
        <v>6980</v>
      </c>
      <c r="L178" s="326"/>
      <c r="M178" s="399"/>
      <c r="N178" s="346">
        <f t="shared" si="450"/>
        <v>0</v>
      </c>
      <c r="O178" s="394"/>
      <c r="P178" s="352"/>
      <c r="Q178" s="352"/>
      <c r="R178" s="352"/>
      <c r="S178" s="352"/>
      <c r="T178" s="352"/>
      <c r="U178" s="324"/>
      <c r="V178" s="324"/>
      <c r="W178" s="324"/>
      <c r="X178" s="324"/>
      <c r="Y178" s="324"/>
      <c r="Z178" s="325"/>
      <c r="AA178" s="326"/>
      <c r="AB178" s="327">
        <f t="shared" si="462"/>
        <v>0</v>
      </c>
      <c r="AC178" s="328">
        <f t="shared" si="451"/>
        <v>0</v>
      </c>
      <c r="AD178" s="918"/>
      <c r="AE178" s="919"/>
      <c r="AF178" s="919"/>
      <c r="AG178" s="919"/>
      <c r="AH178" s="919"/>
      <c r="AI178" s="919"/>
      <c r="AJ178" s="919"/>
      <c r="AK178" s="919"/>
      <c r="AL178" s="919"/>
      <c r="AM178" s="919"/>
      <c r="AN178" s="919"/>
      <c r="AO178" s="933">
        <v>11</v>
      </c>
      <c r="AP178" s="917"/>
      <c r="AQ178" s="332">
        <f t="shared" si="463"/>
        <v>11</v>
      </c>
      <c r="AR178" s="333">
        <f t="shared" si="452"/>
        <v>76780</v>
      </c>
      <c r="AS178" s="939"/>
      <c r="AT178" s="940"/>
      <c r="AU178" s="940"/>
      <c r="AV178" s="940"/>
      <c r="AW178" s="940"/>
      <c r="AX178" s="940"/>
      <c r="AY178" s="940"/>
      <c r="AZ178" s="940"/>
      <c r="BA178" s="940"/>
      <c r="BB178" s="940"/>
      <c r="BC178" s="940"/>
      <c r="BD178" s="941"/>
      <c r="BE178" s="938"/>
      <c r="BF178" s="332">
        <f t="shared" si="453"/>
        <v>0</v>
      </c>
      <c r="BG178" s="333">
        <f t="shared" si="454"/>
        <v>0</v>
      </c>
      <c r="BH178" s="329"/>
      <c r="BI178" s="330"/>
      <c r="BJ178" s="330"/>
      <c r="BK178" s="330"/>
      <c r="BL178" s="330"/>
      <c r="BM178" s="330"/>
      <c r="BN178" s="330"/>
      <c r="BO178" s="330"/>
      <c r="BP178" s="330"/>
      <c r="BQ178" s="330"/>
      <c r="BR178" s="330"/>
      <c r="BS178" s="331"/>
      <c r="BT178" s="326"/>
      <c r="BU178" s="332">
        <f t="shared" si="455"/>
        <v>0</v>
      </c>
      <c r="BV178" s="333">
        <f t="shared" si="456"/>
        <v>0</v>
      </c>
      <c r="BW178" s="329"/>
      <c r="BX178" s="330"/>
      <c r="BY178" s="330"/>
      <c r="BZ178" s="330"/>
      <c r="CA178" s="330"/>
      <c r="CB178" s="330"/>
      <c r="CC178" s="330"/>
      <c r="CD178" s="330"/>
      <c r="CE178" s="330"/>
      <c r="CF178" s="330"/>
      <c r="CG178" s="330"/>
      <c r="CH178" s="331"/>
      <c r="CI178" s="326"/>
      <c r="CJ178" s="332">
        <f t="shared" si="457"/>
        <v>0</v>
      </c>
      <c r="CK178" s="333">
        <f t="shared" si="458"/>
        <v>0</v>
      </c>
      <c r="CL178" s="334">
        <f t="shared" si="459"/>
        <v>0</v>
      </c>
      <c r="CM178" s="335">
        <f t="shared" si="460"/>
        <v>11</v>
      </c>
      <c r="CN178" s="336">
        <f t="shared" si="461"/>
        <v>76780</v>
      </c>
      <c r="CQ178" s="480"/>
    </row>
    <row r="179" spans="1:95" s="33" customFormat="1" ht="22.5" customHeight="1">
      <c r="A179" s="1051" t="s">
        <v>150</v>
      </c>
      <c r="B179" s="1048" t="s">
        <v>1518</v>
      </c>
      <c r="C179" s="1048" t="s">
        <v>1523</v>
      </c>
      <c r="D179" s="895"/>
      <c r="E179" s="125" t="s">
        <v>106</v>
      </c>
      <c r="F179" s="898"/>
      <c r="G179" s="899" t="s">
        <v>1625</v>
      </c>
      <c r="H179" s="899" t="s">
        <v>58</v>
      </c>
      <c r="I179" s="902" t="s">
        <v>2054</v>
      </c>
      <c r="J179" s="674" t="s">
        <v>1990</v>
      </c>
      <c r="K179" s="374">
        <f>IFERROR(VLOOKUP(H179,справочник!$A$3:$B$12,2,0),"нет данных")</f>
        <v>6980</v>
      </c>
      <c r="L179" s="326"/>
      <c r="M179" s="399"/>
      <c r="N179" s="346">
        <f t="shared" si="450"/>
        <v>0</v>
      </c>
      <c r="O179" s="394"/>
      <c r="P179" s="352"/>
      <c r="Q179" s="352"/>
      <c r="R179" s="352"/>
      <c r="S179" s="352"/>
      <c r="T179" s="352"/>
      <c r="U179" s="324"/>
      <c r="V179" s="324"/>
      <c r="W179" s="324"/>
      <c r="X179" s="324"/>
      <c r="Y179" s="324"/>
      <c r="Z179" s="325"/>
      <c r="AA179" s="326"/>
      <c r="AB179" s="327">
        <f t="shared" si="462"/>
        <v>0</v>
      </c>
      <c r="AC179" s="328">
        <f t="shared" si="451"/>
        <v>0</v>
      </c>
      <c r="AD179" s="918"/>
      <c r="AE179" s="919"/>
      <c r="AF179" s="919"/>
      <c r="AG179" s="919"/>
      <c r="AH179" s="919"/>
      <c r="AI179" s="919"/>
      <c r="AJ179" s="919"/>
      <c r="AK179" s="919"/>
      <c r="AL179" s="919"/>
      <c r="AM179" s="919"/>
      <c r="AN179" s="919"/>
      <c r="AO179" s="920"/>
      <c r="AP179" s="917"/>
      <c r="AQ179" s="332">
        <f t="shared" si="463"/>
        <v>0</v>
      </c>
      <c r="AR179" s="333">
        <f t="shared" si="452"/>
        <v>0</v>
      </c>
      <c r="AS179" s="943">
        <v>5</v>
      </c>
      <c r="AT179" s="944">
        <v>5</v>
      </c>
      <c r="AU179" s="940"/>
      <c r="AV179" s="940"/>
      <c r="AW179" s="940"/>
      <c r="AX179" s="940"/>
      <c r="AY179" s="940"/>
      <c r="AZ179" s="940"/>
      <c r="BA179" s="940"/>
      <c r="BB179" s="940"/>
      <c r="BC179" s="940"/>
      <c r="BD179" s="941"/>
      <c r="BE179" s="938"/>
      <c r="BF179" s="332">
        <f t="shared" si="453"/>
        <v>10</v>
      </c>
      <c r="BG179" s="333">
        <f t="shared" si="454"/>
        <v>69800</v>
      </c>
      <c r="BH179" s="329"/>
      <c r="BI179" s="330"/>
      <c r="BJ179" s="330"/>
      <c r="BK179" s="330"/>
      <c r="BL179" s="330"/>
      <c r="BM179" s="330"/>
      <c r="BN179" s="330"/>
      <c r="BO179" s="330"/>
      <c r="BP179" s="330"/>
      <c r="BQ179" s="330"/>
      <c r="BR179" s="330"/>
      <c r="BS179" s="331"/>
      <c r="BT179" s="326"/>
      <c r="BU179" s="332">
        <f t="shared" si="455"/>
        <v>0</v>
      </c>
      <c r="BV179" s="333">
        <f t="shared" si="456"/>
        <v>0</v>
      </c>
      <c r="BW179" s="329"/>
      <c r="BX179" s="330"/>
      <c r="BY179" s="330"/>
      <c r="BZ179" s="330"/>
      <c r="CA179" s="330"/>
      <c r="CB179" s="330"/>
      <c r="CC179" s="330"/>
      <c r="CD179" s="330"/>
      <c r="CE179" s="330"/>
      <c r="CF179" s="330"/>
      <c r="CG179" s="330"/>
      <c r="CH179" s="331"/>
      <c r="CI179" s="326"/>
      <c r="CJ179" s="332">
        <f t="shared" si="457"/>
        <v>0</v>
      </c>
      <c r="CK179" s="333">
        <f t="shared" si="458"/>
        <v>0</v>
      </c>
      <c r="CL179" s="334">
        <f t="shared" si="459"/>
        <v>0</v>
      </c>
      <c r="CM179" s="335">
        <f t="shared" si="460"/>
        <v>10</v>
      </c>
      <c r="CN179" s="336">
        <f t="shared" si="461"/>
        <v>69800</v>
      </c>
      <c r="CQ179" s="480"/>
    </row>
    <row r="180" spans="1:95" s="33" customFormat="1" ht="22.5" customHeight="1">
      <c r="A180" s="1052"/>
      <c r="B180" s="1050"/>
      <c r="C180" s="1050"/>
      <c r="D180" s="895"/>
      <c r="E180" s="125" t="s">
        <v>106</v>
      </c>
      <c r="F180" s="898"/>
      <c r="G180" s="899" t="s">
        <v>1625</v>
      </c>
      <c r="H180" s="899" t="s">
        <v>58</v>
      </c>
      <c r="I180" s="902" t="s">
        <v>2055</v>
      </c>
      <c r="J180" s="674" t="s">
        <v>1990</v>
      </c>
      <c r="K180" s="374">
        <f>IFERROR(VLOOKUP(H180,справочник!$A$3:$B$12,2,0),"нет данных")</f>
        <v>6980</v>
      </c>
      <c r="L180" s="326"/>
      <c r="M180" s="399"/>
      <c r="N180" s="346">
        <f t="shared" si="450"/>
        <v>0</v>
      </c>
      <c r="O180" s="394"/>
      <c r="P180" s="352"/>
      <c r="Q180" s="352"/>
      <c r="R180" s="352"/>
      <c r="S180" s="352"/>
      <c r="T180" s="352"/>
      <c r="U180" s="324"/>
      <c r="V180" s="324"/>
      <c r="W180" s="324"/>
      <c r="X180" s="324"/>
      <c r="Y180" s="324"/>
      <c r="Z180" s="325"/>
      <c r="AA180" s="326"/>
      <c r="AB180" s="327">
        <f t="shared" si="462"/>
        <v>0</v>
      </c>
      <c r="AC180" s="328">
        <f t="shared" si="451"/>
        <v>0</v>
      </c>
      <c r="AD180" s="918"/>
      <c r="AE180" s="919"/>
      <c r="AF180" s="919"/>
      <c r="AG180" s="919"/>
      <c r="AH180" s="919"/>
      <c r="AI180" s="919"/>
      <c r="AJ180" s="919"/>
      <c r="AK180" s="919"/>
      <c r="AL180" s="919"/>
      <c r="AM180" s="919"/>
      <c r="AN180" s="919"/>
      <c r="AO180" s="920"/>
      <c r="AP180" s="917"/>
      <c r="AQ180" s="332">
        <f t="shared" si="463"/>
        <v>0</v>
      </c>
      <c r="AR180" s="333">
        <f t="shared" si="452"/>
        <v>0</v>
      </c>
      <c r="AS180" s="943">
        <v>5</v>
      </c>
      <c r="AT180" s="944">
        <v>5</v>
      </c>
      <c r="AU180" s="940"/>
      <c r="AV180" s="940"/>
      <c r="AW180" s="940"/>
      <c r="AX180" s="940"/>
      <c r="AY180" s="940"/>
      <c r="AZ180" s="940"/>
      <c r="BA180" s="940"/>
      <c r="BB180" s="940"/>
      <c r="BC180" s="940"/>
      <c r="BD180" s="941"/>
      <c r="BE180" s="938"/>
      <c r="BF180" s="332">
        <f t="shared" si="453"/>
        <v>10</v>
      </c>
      <c r="BG180" s="333">
        <f t="shared" si="454"/>
        <v>69800</v>
      </c>
      <c r="BH180" s="329"/>
      <c r="BI180" s="330"/>
      <c r="BJ180" s="330"/>
      <c r="BK180" s="330"/>
      <c r="BL180" s="330"/>
      <c r="BM180" s="330"/>
      <c r="BN180" s="330"/>
      <c r="BO180" s="330"/>
      <c r="BP180" s="330"/>
      <c r="BQ180" s="330"/>
      <c r="BR180" s="330"/>
      <c r="BS180" s="331"/>
      <c r="BT180" s="326"/>
      <c r="BU180" s="332">
        <f t="shared" si="455"/>
        <v>0</v>
      </c>
      <c r="BV180" s="333">
        <f t="shared" si="456"/>
        <v>0</v>
      </c>
      <c r="BW180" s="329"/>
      <c r="BX180" s="330"/>
      <c r="BY180" s="330"/>
      <c r="BZ180" s="330"/>
      <c r="CA180" s="330"/>
      <c r="CB180" s="330"/>
      <c r="CC180" s="330"/>
      <c r="CD180" s="330"/>
      <c r="CE180" s="330"/>
      <c r="CF180" s="330"/>
      <c r="CG180" s="330"/>
      <c r="CH180" s="331"/>
      <c r="CI180" s="326"/>
      <c r="CJ180" s="332">
        <f t="shared" si="457"/>
        <v>0</v>
      </c>
      <c r="CK180" s="333">
        <f t="shared" si="458"/>
        <v>0</v>
      </c>
      <c r="CL180" s="334">
        <f t="shared" si="459"/>
        <v>0</v>
      </c>
      <c r="CM180" s="335">
        <f t="shared" si="460"/>
        <v>10</v>
      </c>
      <c r="CN180" s="336">
        <f t="shared" si="461"/>
        <v>69800</v>
      </c>
      <c r="CQ180" s="480"/>
    </row>
    <row r="181" spans="1:95" s="33" customFormat="1" ht="22.5" customHeight="1">
      <c r="A181" s="1051" t="s">
        <v>151</v>
      </c>
      <c r="B181" s="1048" t="s">
        <v>1519</v>
      </c>
      <c r="C181" s="1048" t="s">
        <v>116</v>
      </c>
      <c r="D181" s="895"/>
      <c r="E181" s="125" t="s">
        <v>106</v>
      </c>
      <c r="F181" s="898"/>
      <c r="G181" s="899" t="s">
        <v>40</v>
      </c>
      <c r="H181" s="904" t="s">
        <v>1453</v>
      </c>
      <c r="I181" s="902" t="s">
        <v>2049</v>
      </c>
      <c r="J181" s="674" t="s">
        <v>1990</v>
      </c>
      <c r="K181" s="374">
        <f>IFERROR(VLOOKUP(H181,справочник!$A$3:$B$12,2,0),"нет данных")</f>
        <v>21520</v>
      </c>
      <c r="L181" s="326"/>
      <c r="M181" s="399"/>
      <c r="N181" s="346">
        <f t="shared" si="450"/>
        <v>0</v>
      </c>
      <c r="O181" s="394"/>
      <c r="P181" s="352"/>
      <c r="Q181" s="352"/>
      <c r="R181" s="352"/>
      <c r="S181" s="352"/>
      <c r="T181" s="352"/>
      <c r="U181" s="324"/>
      <c r="V181" s="324"/>
      <c r="W181" s="324"/>
      <c r="X181" s="324"/>
      <c r="Y181" s="324"/>
      <c r="Z181" s="325"/>
      <c r="AA181" s="326"/>
      <c r="AB181" s="327">
        <f t="shared" si="462"/>
        <v>0</v>
      </c>
      <c r="AC181" s="328">
        <f t="shared" si="451"/>
        <v>0</v>
      </c>
      <c r="AD181" s="918"/>
      <c r="AE181" s="919"/>
      <c r="AF181" s="919"/>
      <c r="AG181" s="919"/>
      <c r="AH181" s="919"/>
      <c r="AI181" s="919"/>
      <c r="AJ181" s="919"/>
      <c r="AK181" s="919"/>
      <c r="AL181" s="919"/>
      <c r="AM181" s="919"/>
      <c r="AN181" s="919"/>
      <c r="AO181" s="920"/>
      <c r="AP181" s="917"/>
      <c r="AQ181" s="332">
        <f t="shared" si="463"/>
        <v>0</v>
      </c>
      <c r="AR181" s="333">
        <f t="shared" si="452"/>
        <v>0</v>
      </c>
      <c r="AS181" s="939"/>
      <c r="AT181" s="940"/>
      <c r="AU181" s="945">
        <v>20</v>
      </c>
      <c r="AV181" s="945">
        <v>22</v>
      </c>
      <c r="AW181" s="945">
        <v>21</v>
      </c>
      <c r="AX181" s="945">
        <v>10</v>
      </c>
      <c r="AY181" s="946">
        <v>23</v>
      </c>
      <c r="AZ181" s="946">
        <v>22</v>
      </c>
      <c r="BA181" s="946">
        <v>21</v>
      </c>
      <c r="BB181" s="946">
        <v>10</v>
      </c>
      <c r="BC181" s="940"/>
      <c r="BD181" s="941"/>
      <c r="BE181" s="938"/>
      <c r="BF181" s="332">
        <f t="shared" si="453"/>
        <v>149</v>
      </c>
      <c r="BG181" s="333">
        <f t="shared" si="454"/>
        <v>3206480</v>
      </c>
      <c r="BH181" s="329"/>
      <c r="BI181" s="330"/>
      <c r="BJ181" s="330"/>
      <c r="BK181" s="330"/>
      <c r="BL181" s="330"/>
      <c r="BM181" s="330"/>
      <c r="BN181" s="330"/>
      <c r="BO181" s="330"/>
      <c r="BP181" s="330"/>
      <c r="BQ181" s="330"/>
      <c r="BR181" s="330"/>
      <c r="BS181" s="331"/>
      <c r="BT181" s="326"/>
      <c r="BU181" s="332">
        <f t="shared" si="455"/>
        <v>0</v>
      </c>
      <c r="BV181" s="333">
        <f t="shared" si="456"/>
        <v>0</v>
      </c>
      <c r="BW181" s="329"/>
      <c r="BX181" s="330"/>
      <c r="BY181" s="330"/>
      <c r="BZ181" s="330"/>
      <c r="CA181" s="330"/>
      <c r="CB181" s="330"/>
      <c r="CC181" s="330"/>
      <c r="CD181" s="330"/>
      <c r="CE181" s="330"/>
      <c r="CF181" s="330"/>
      <c r="CG181" s="330"/>
      <c r="CH181" s="331"/>
      <c r="CI181" s="326"/>
      <c r="CJ181" s="332">
        <f t="shared" si="457"/>
        <v>0</v>
      </c>
      <c r="CK181" s="333">
        <f t="shared" si="458"/>
        <v>0</v>
      </c>
      <c r="CL181" s="334">
        <f t="shared" si="459"/>
        <v>0</v>
      </c>
      <c r="CM181" s="335">
        <f t="shared" si="460"/>
        <v>149</v>
      </c>
      <c r="CN181" s="336">
        <f t="shared" si="461"/>
        <v>3206480</v>
      </c>
      <c r="CQ181" s="480"/>
    </row>
    <row r="182" spans="1:95" s="866" customFormat="1" ht="22.5" customHeight="1">
      <c r="A182" s="1068"/>
      <c r="B182" s="1049"/>
      <c r="C182" s="1049"/>
      <c r="D182" s="895"/>
      <c r="E182" s="867" t="s">
        <v>106</v>
      </c>
      <c r="F182" s="898"/>
      <c r="G182" s="899" t="s">
        <v>1625</v>
      </c>
      <c r="H182" s="899" t="s">
        <v>58</v>
      </c>
      <c r="I182" s="902" t="s">
        <v>2054</v>
      </c>
      <c r="J182" s="674" t="s">
        <v>1990</v>
      </c>
      <c r="K182" s="883">
        <f>IFERROR(VLOOKUP(H182,справочник!$A$3:$B$12,2,0),"нет данных")</f>
        <v>6980</v>
      </c>
      <c r="L182" s="870"/>
      <c r="M182" s="885"/>
      <c r="N182" s="881">
        <f t="shared" ref="N182" si="464">IFERROR(ROUND((K182*M182+K182*L182),2),0)</f>
        <v>0</v>
      </c>
      <c r="O182" s="884"/>
      <c r="P182" s="882"/>
      <c r="Q182" s="882"/>
      <c r="R182" s="882"/>
      <c r="S182" s="882"/>
      <c r="T182" s="882"/>
      <c r="U182" s="868"/>
      <c r="V182" s="868"/>
      <c r="W182" s="868"/>
      <c r="X182" s="868"/>
      <c r="Y182" s="868"/>
      <c r="Z182" s="869"/>
      <c r="AA182" s="870"/>
      <c r="AB182" s="871">
        <f t="shared" ref="AB182" si="465">SUM(O182:Z182)</f>
        <v>0</v>
      </c>
      <c r="AC182" s="872">
        <f t="shared" ref="AC182" si="466">IFERROR(ROUND(($K182*AB182+$K182*AA182),2),0)</f>
        <v>0</v>
      </c>
      <c r="AD182" s="918"/>
      <c r="AE182" s="919"/>
      <c r="AF182" s="919"/>
      <c r="AG182" s="919"/>
      <c r="AH182" s="919"/>
      <c r="AI182" s="919"/>
      <c r="AJ182" s="919"/>
      <c r="AK182" s="919"/>
      <c r="AL182" s="919"/>
      <c r="AM182" s="919"/>
      <c r="AN182" s="919"/>
      <c r="AO182" s="920"/>
      <c r="AP182" s="917"/>
      <c r="AQ182" s="876">
        <f t="shared" ref="AQ182" si="467">SUM(AD182:AO182)</f>
        <v>0</v>
      </c>
      <c r="AR182" s="877">
        <f t="shared" ref="AR182" si="468">IFERROR(ROUND(($K182*AQ182+$K182*AP182),2),0)</f>
        <v>0</v>
      </c>
      <c r="AS182" s="939"/>
      <c r="AT182" s="940"/>
      <c r="AU182" s="945">
        <v>15</v>
      </c>
      <c r="AV182" s="945">
        <v>17</v>
      </c>
      <c r="AW182" s="945">
        <v>16</v>
      </c>
      <c r="AX182" s="945">
        <v>14</v>
      </c>
      <c r="AY182" s="946">
        <v>23</v>
      </c>
      <c r="AZ182" s="946">
        <v>22</v>
      </c>
      <c r="BA182" s="946">
        <v>21</v>
      </c>
      <c r="BB182" s="946">
        <v>23</v>
      </c>
      <c r="BC182" s="948">
        <v>20</v>
      </c>
      <c r="BD182" s="941"/>
      <c r="BE182" s="938"/>
      <c r="BF182" s="876">
        <f t="shared" ref="BF182" si="469">SUM(AS182:BD182)</f>
        <v>171</v>
      </c>
      <c r="BG182" s="877">
        <f t="shared" ref="BG182" si="470">IFERROR(ROUND(($K182*BF182+$K182*BE182),2),0)</f>
        <v>1193580</v>
      </c>
      <c r="BH182" s="873"/>
      <c r="BI182" s="874"/>
      <c r="BJ182" s="874"/>
      <c r="BK182" s="874"/>
      <c r="BL182" s="874"/>
      <c r="BM182" s="874"/>
      <c r="BN182" s="874"/>
      <c r="BO182" s="874"/>
      <c r="BP182" s="874"/>
      <c r="BQ182" s="874"/>
      <c r="BR182" s="874"/>
      <c r="BS182" s="875"/>
      <c r="BT182" s="870"/>
      <c r="BU182" s="876">
        <f t="shared" ref="BU182" si="471">SUM(BH182:BS182)</f>
        <v>0</v>
      </c>
      <c r="BV182" s="877">
        <f t="shared" ref="BV182" si="472">IFERROR(ROUND(($K182*BU182+$K182*BT182),2),0)</f>
        <v>0</v>
      </c>
      <c r="BW182" s="873"/>
      <c r="BX182" s="874"/>
      <c r="BY182" s="874"/>
      <c r="BZ182" s="874"/>
      <c r="CA182" s="874"/>
      <c r="CB182" s="874"/>
      <c r="CC182" s="874"/>
      <c r="CD182" s="874"/>
      <c r="CE182" s="874"/>
      <c r="CF182" s="874"/>
      <c r="CG182" s="874"/>
      <c r="CH182" s="875"/>
      <c r="CI182" s="870"/>
      <c r="CJ182" s="876">
        <f t="shared" ref="CJ182" si="473">SUM(BW182:CH182)</f>
        <v>0</v>
      </c>
      <c r="CK182" s="877">
        <f t="shared" ref="CK182" si="474">IFERROR(ROUND(($K182*CJ182+$K182*CI182),2),0)</f>
        <v>0</v>
      </c>
      <c r="CL182" s="878">
        <f t="shared" ref="CL182" si="475">AA182+AP182+L182+BE182+BT182+CI182</f>
        <v>0</v>
      </c>
      <c r="CM182" s="879">
        <f t="shared" ref="CM182" si="476">AB182+AQ182+M182+BF182+BU182+CJ182</f>
        <v>171</v>
      </c>
      <c r="CN182" s="880">
        <f t="shared" ref="CN182" si="477">AC182+AR182+N182+BG182+BV182+CK182</f>
        <v>1193580</v>
      </c>
      <c r="CQ182" s="886"/>
    </row>
    <row r="183" spans="1:95" s="866" customFormat="1" ht="22.5" customHeight="1">
      <c r="A183" s="1068"/>
      <c r="B183" s="1049"/>
      <c r="C183" s="1049"/>
      <c r="D183" s="895"/>
      <c r="E183" s="867" t="s">
        <v>106</v>
      </c>
      <c r="F183" s="898"/>
      <c r="G183" s="899" t="s">
        <v>43</v>
      </c>
      <c r="H183" s="899" t="s">
        <v>61</v>
      </c>
      <c r="I183" s="902" t="s">
        <v>2052</v>
      </c>
      <c r="J183" s="674" t="s">
        <v>1990</v>
      </c>
      <c r="K183" s="883">
        <f>IFERROR(VLOOKUP(H183,справочник!$A$3:$B$12,2,0),"нет данных")</f>
        <v>15930</v>
      </c>
      <c r="L183" s="870"/>
      <c r="M183" s="885"/>
      <c r="N183" s="881">
        <f t="shared" ref="N183" si="478">IFERROR(ROUND((K183*M183+K183*L183),2),0)</f>
        <v>0</v>
      </c>
      <c r="O183" s="884"/>
      <c r="P183" s="882"/>
      <c r="Q183" s="882"/>
      <c r="R183" s="882"/>
      <c r="S183" s="882"/>
      <c r="T183" s="882"/>
      <c r="U183" s="868"/>
      <c r="V183" s="868"/>
      <c r="W183" s="868"/>
      <c r="X183" s="868"/>
      <c r="Y183" s="868"/>
      <c r="Z183" s="869"/>
      <c r="AA183" s="870"/>
      <c r="AB183" s="871">
        <f t="shared" ref="AB183" si="479">SUM(O183:Z183)</f>
        <v>0</v>
      </c>
      <c r="AC183" s="872">
        <f t="shared" ref="AC183" si="480">IFERROR(ROUND(($K183*AB183+$K183*AA183),2),0)</f>
        <v>0</v>
      </c>
      <c r="AD183" s="918"/>
      <c r="AE183" s="919"/>
      <c r="AF183" s="919"/>
      <c r="AG183" s="919"/>
      <c r="AH183" s="919"/>
      <c r="AI183" s="919"/>
      <c r="AJ183" s="919"/>
      <c r="AK183" s="919"/>
      <c r="AL183" s="919"/>
      <c r="AM183" s="919"/>
      <c r="AN183" s="919"/>
      <c r="AO183" s="920"/>
      <c r="AP183" s="917"/>
      <c r="AQ183" s="876">
        <f t="shared" ref="AQ183" si="481">SUM(AD183:AO183)</f>
        <v>0</v>
      </c>
      <c r="AR183" s="877">
        <f t="shared" ref="AR183" si="482">IFERROR(ROUND(($K183*AQ183+$K183*AP183),2),0)</f>
        <v>0</v>
      </c>
      <c r="AS183" s="939"/>
      <c r="AT183" s="940"/>
      <c r="AU183" s="945">
        <v>3</v>
      </c>
      <c r="AV183" s="945">
        <v>3</v>
      </c>
      <c r="AW183" s="945">
        <v>3</v>
      </c>
      <c r="AX183" s="945">
        <v>3</v>
      </c>
      <c r="AY183" s="940"/>
      <c r="AZ183" s="940"/>
      <c r="BA183" s="940"/>
      <c r="BB183" s="940"/>
      <c r="BC183" s="940"/>
      <c r="BD183" s="941"/>
      <c r="BE183" s="938"/>
      <c r="BF183" s="876">
        <f t="shared" ref="BF183" si="483">SUM(AS183:BD183)</f>
        <v>12</v>
      </c>
      <c r="BG183" s="877">
        <f t="shared" ref="BG183" si="484">IFERROR(ROUND(($K183*BF183+$K183*BE183),2),0)</f>
        <v>191160</v>
      </c>
      <c r="BH183" s="873"/>
      <c r="BI183" s="874"/>
      <c r="BJ183" s="874"/>
      <c r="BK183" s="874"/>
      <c r="BL183" s="874"/>
      <c r="BM183" s="874"/>
      <c r="BN183" s="874"/>
      <c r="BO183" s="874"/>
      <c r="BP183" s="874"/>
      <c r="BQ183" s="874"/>
      <c r="BR183" s="874"/>
      <c r="BS183" s="875"/>
      <c r="BT183" s="870"/>
      <c r="BU183" s="876">
        <f t="shared" ref="BU183" si="485">SUM(BH183:BS183)</f>
        <v>0</v>
      </c>
      <c r="BV183" s="877">
        <f t="shared" ref="BV183" si="486">IFERROR(ROUND(($K183*BU183+$K183*BT183),2),0)</f>
        <v>0</v>
      </c>
      <c r="BW183" s="873"/>
      <c r="BX183" s="874"/>
      <c r="BY183" s="874"/>
      <c r="BZ183" s="874"/>
      <c r="CA183" s="874"/>
      <c r="CB183" s="874"/>
      <c r="CC183" s="874"/>
      <c r="CD183" s="874"/>
      <c r="CE183" s="874"/>
      <c r="CF183" s="874"/>
      <c r="CG183" s="874"/>
      <c r="CH183" s="875"/>
      <c r="CI183" s="870"/>
      <c r="CJ183" s="876">
        <f t="shared" ref="CJ183" si="487">SUM(BW183:CH183)</f>
        <v>0</v>
      </c>
      <c r="CK183" s="877">
        <f t="shared" ref="CK183" si="488">IFERROR(ROUND(($K183*CJ183+$K183*CI183),2),0)</f>
        <v>0</v>
      </c>
      <c r="CL183" s="878">
        <f t="shared" ref="CL183" si="489">AA183+AP183+L183+BE183+BT183+CI183</f>
        <v>0</v>
      </c>
      <c r="CM183" s="879">
        <f t="shared" ref="CM183" si="490">AB183+AQ183+M183+BF183+BU183+CJ183</f>
        <v>12</v>
      </c>
      <c r="CN183" s="880">
        <f t="shared" ref="CN183" si="491">AC183+AR183+N183+BG183+BV183+CK183</f>
        <v>191160</v>
      </c>
      <c r="CQ183" s="886"/>
    </row>
    <row r="184" spans="1:95" s="866" customFormat="1" ht="22.5" customHeight="1">
      <c r="A184" s="1068"/>
      <c r="B184" s="1049"/>
      <c r="C184" s="1049"/>
      <c r="D184" s="895"/>
      <c r="E184" s="867" t="s">
        <v>106</v>
      </c>
      <c r="F184" s="898"/>
      <c r="G184" s="910" t="s">
        <v>43</v>
      </c>
      <c r="H184" s="910" t="s">
        <v>61</v>
      </c>
      <c r="I184" s="909" t="s">
        <v>2053</v>
      </c>
      <c r="J184" s="674" t="s">
        <v>1990</v>
      </c>
      <c r="K184" s="883">
        <f>IFERROR(VLOOKUP(H184,справочник!$A$3:$B$12,2,0),"нет данных")</f>
        <v>15930</v>
      </c>
      <c r="L184" s="870"/>
      <c r="M184" s="885"/>
      <c r="N184" s="881">
        <f t="shared" ref="N184" si="492">IFERROR(ROUND((K184*M184+K184*L184),2),0)</f>
        <v>0</v>
      </c>
      <c r="O184" s="884"/>
      <c r="P184" s="882"/>
      <c r="Q184" s="882"/>
      <c r="R184" s="882"/>
      <c r="S184" s="882"/>
      <c r="T184" s="882"/>
      <c r="U184" s="868"/>
      <c r="V184" s="868"/>
      <c r="W184" s="868"/>
      <c r="X184" s="868"/>
      <c r="Y184" s="868"/>
      <c r="Z184" s="869"/>
      <c r="AA184" s="870"/>
      <c r="AB184" s="871">
        <f t="shared" ref="AB184" si="493">SUM(O184:Z184)</f>
        <v>0</v>
      </c>
      <c r="AC184" s="872">
        <f t="shared" ref="AC184" si="494">IFERROR(ROUND(($K184*AB184+$K184*AA184),2),0)</f>
        <v>0</v>
      </c>
      <c r="AD184" s="918"/>
      <c r="AE184" s="919"/>
      <c r="AF184" s="919"/>
      <c r="AG184" s="919"/>
      <c r="AH184" s="919"/>
      <c r="AI184" s="919"/>
      <c r="AJ184" s="919"/>
      <c r="AK184" s="919"/>
      <c r="AL184" s="919"/>
      <c r="AM184" s="919"/>
      <c r="AN184" s="919"/>
      <c r="AO184" s="920"/>
      <c r="AP184" s="917"/>
      <c r="AQ184" s="876">
        <f t="shared" ref="AQ184" si="495">SUM(AD184:AO184)</f>
        <v>0</v>
      </c>
      <c r="AR184" s="877">
        <f t="shared" ref="AR184" si="496">IFERROR(ROUND(($K184*AQ184+$K184*AP184),2),0)</f>
        <v>0</v>
      </c>
      <c r="AS184" s="939"/>
      <c r="AT184" s="940"/>
      <c r="AU184" s="945">
        <v>3</v>
      </c>
      <c r="AV184" s="945">
        <v>3</v>
      </c>
      <c r="AW184" s="945">
        <v>3</v>
      </c>
      <c r="AX184" s="945">
        <v>3</v>
      </c>
      <c r="AY184" s="942"/>
      <c r="AZ184" s="942"/>
      <c r="BA184" s="942"/>
      <c r="BB184" s="942"/>
      <c r="BC184" s="940"/>
      <c r="BD184" s="941"/>
      <c r="BE184" s="938"/>
      <c r="BF184" s="876">
        <f t="shared" ref="BF184" si="497">SUM(AS184:BD184)</f>
        <v>12</v>
      </c>
      <c r="BG184" s="877">
        <f t="shared" ref="BG184" si="498">IFERROR(ROUND(($K184*BF184+$K184*BE184),2),0)</f>
        <v>191160</v>
      </c>
      <c r="BH184" s="873"/>
      <c r="BI184" s="874"/>
      <c r="BJ184" s="874"/>
      <c r="BK184" s="874"/>
      <c r="BL184" s="874"/>
      <c r="BM184" s="874"/>
      <c r="BN184" s="874"/>
      <c r="BO184" s="874"/>
      <c r="BP184" s="874"/>
      <c r="BQ184" s="874"/>
      <c r="BR184" s="874"/>
      <c r="BS184" s="875"/>
      <c r="BT184" s="870"/>
      <c r="BU184" s="876">
        <f t="shared" ref="BU184" si="499">SUM(BH184:BS184)</f>
        <v>0</v>
      </c>
      <c r="BV184" s="877">
        <f t="shared" ref="BV184" si="500">IFERROR(ROUND(($K184*BU184+$K184*BT184),2),0)</f>
        <v>0</v>
      </c>
      <c r="BW184" s="873"/>
      <c r="BX184" s="874"/>
      <c r="BY184" s="874"/>
      <c r="BZ184" s="874"/>
      <c r="CA184" s="874"/>
      <c r="CB184" s="874"/>
      <c r="CC184" s="874"/>
      <c r="CD184" s="874"/>
      <c r="CE184" s="874"/>
      <c r="CF184" s="874"/>
      <c r="CG184" s="874"/>
      <c r="CH184" s="875"/>
      <c r="CI184" s="870"/>
      <c r="CJ184" s="876">
        <f t="shared" ref="CJ184" si="501">SUM(BW184:CH184)</f>
        <v>0</v>
      </c>
      <c r="CK184" s="877">
        <f t="shared" ref="CK184" si="502">IFERROR(ROUND(($K184*CJ184+$K184*CI184),2),0)</f>
        <v>0</v>
      </c>
      <c r="CL184" s="878">
        <f t="shared" ref="CL184" si="503">AA184+AP184+L184+BE184+BT184+CI184</f>
        <v>0</v>
      </c>
      <c r="CM184" s="879">
        <f t="shared" ref="CM184" si="504">AB184+AQ184+M184+BF184+BU184+CJ184</f>
        <v>12</v>
      </c>
      <c r="CN184" s="880">
        <f t="shared" ref="CN184" si="505">AC184+AR184+N184+BG184+BV184+CK184</f>
        <v>191160</v>
      </c>
      <c r="CQ184" s="886"/>
    </row>
    <row r="185" spans="1:95" s="33" customFormat="1" ht="22.5" customHeight="1">
      <c r="A185" s="1052"/>
      <c r="B185" s="1050"/>
      <c r="C185" s="1050"/>
      <c r="D185" s="895"/>
      <c r="E185" s="125" t="s">
        <v>106</v>
      </c>
      <c r="F185" s="898"/>
      <c r="G185" s="899" t="s">
        <v>1625</v>
      </c>
      <c r="H185" s="899" t="s">
        <v>58</v>
      </c>
      <c r="I185" s="902" t="s">
        <v>2055</v>
      </c>
      <c r="J185" s="674" t="s">
        <v>1990</v>
      </c>
      <c r="K185" s="374">
        <f>IFERROR(VLOOKUP(H185,справочник!$A$3:$B$12,2,0),"нет данных")</f>
        <v>6980</v>
      </c>
      <c r="L185" s="326"/>
      <c r="M185" s="399"/>
      <c r="N185" s="346">
        <f t="shared" si="450"/>
        <v>0</v>
      </c>
      <c r="O185" s="394"/>
      <c r="P185" s="352"/>
      <c r="Q185" s="352"/>
      <c r="R185" s="352"/>
      <c r="S185" s="352"/>
      <c r="T185" s="352"/>
      <c r="U185" s="324"/>
      <c r="V185" s="324"/>
      <c r="W185" s="324"/>
      <c r="X185" s="324"/>
      <c r="Y185" s="324"/>
      <c r="Z185" s="325"/>
      <c r="AA185" s="326"/>
      <c r="AB185" s="327">
        <f t="shared" si="462"/>
        <v>0</v>
      </c>
      <c r="AC185" s="328">
        <f t="shared" si="451"/>
        <v>0</v>
      </c>
      <c r="AD185" s="918"/>
      <c r="AE185" s="919"/>
      <c r="AF185" s="919"/>
      <c r="AG185" s="919"/>
      <c r="AH185" s="919"/>
      <c r="AI185" s="919"/>
      <c r="AJ185" s="919"/>
      <c r="AK185" s="919"/>
      <c r="AL185" s="919"/>
      <c r="AM185" s="919"/>
      <c r="AN185" s="919"/>
      <c r="AO185" s="920"/>
      <c r="AP185" s="917"/>
      <c r="AQ185" s="332">
        <f t="shared" si="463"/>
        <v>0</v>
      </c>
      <c r="AR185" s="333">
        <f t="shared" si="452"/>
        <v>0</v>
      </c>
      <c r="AS185" s="939"/>
      <c r="AT185" s="940"/>
      <c r="AU185" s="945">
        <v>15</v>
      </c>
      <c r="AV185" s="945">
        <v>17</v>
      </c>
      <c r="AW185" s="945">
        <v>16</v>
      </c>
      <c r="AX185" s="945">
        <v>14</v>
      </c>
      <c r="AY185" s="946">
        <v>23</v>
      </c>
      <c r="AZ185" s="946">
        <v>22</v>
      </c>
      <c r="BA185" s="946">
        <v>21</v>
      </c>
      <c r="BB185" s="946">
        <v>23</v>
      </c>
      <c r="BC185" s="948">
        <v>20</v>
      </c>
      <c r="BD185" s="941"/>
      <c r="BE185" s="938"/>
      <c r="BF185" s="332">
        <f t="shared" si="453"/>
        <v>171</v>
      </c>
      <c r="BG185" s="333">
        <f t="shared" si="454"/>
        <v>1193580</v>
      </c>
      <c r="BH185" s="329"/>
      <c r="BI185" s="330"/>
      <c r="BJ185" s="330"/>
      <c r="BK185" s="330"/>
      <c r="BL185" s="330"/>
      <c r="BM185" s="330"/>
      <c r="BN185" s="330"/>
      <c r="BO185" s="330"/>
      <c r="BP185" s="330"/>
      <c r="BQ185" s="330"/>
      <c r="BR185" s="330"/>
      <c r="BS185" s="331"/>
      <c r="BT185" s="326"/>
      <c r="BU185" s="332">
        <f t="shared" si="455"/>
        <v>0</v>
      </c>
      <c r="BV185" s="333">
        <f t="shared" si="456"/>
        <v>0</v>
      </c>
      <c r="BW185" s="329"/>
      <c r="BX185" s="330"/>
      <c r="BY185" s="330"/>
      <c r="BZ185" s="330"/>
      <c r="CA185" s="330"/>
      <c r="CB185" s="330"/>
      <c r="CC185" s="330"/>
      <c r="CD185" s="330"/>
      <c r="CE185" s="330"/>
      <c r="CF185" s="330"/>
      <c r="CG185" s="330"/>
      <c r="CH185" s="331"/>
      <c r="CI185" s="326"/>
      <c r="CJ185" s="332">
        <f t="shared" si="457"/>
        <v>0</v>
      </c>
      <c r="CK185" s="333">
        <f t="shared" si="458"/>
        <v>0</v>
      </c>
      <c r="CL185" s="334">
        <f t="shared" si="459"/>
        <v>0</v>
      </c>
      <c r="CM185" s="335">
        <f t="shared" si="460"/>
        <v>171</v>
      </c>
      <c r="CN185" s="336">
        <f t="shared" si="461"/>
        <v>1193580</v>
      </c>
      <c r="CQ185" s="480"/>
    </row>
    <row r="186" spans="1:95" s="33" customFormat="1" ht="22.5" customHeight="1">
      <c r="A186" s="1051" t="s">
        <v>152</v>
      </c>
      <c r="B186" s="1048" t="s">
        <v>1520</v>
      </c>
      <c r="C186" s="1048" t="s">
        <v>99</v>
      </c>
      <c r="D186" s="895"/>
      <c r="E186" s="125" t="s">
        <v>106</v>
      </c>
      <c r="F186" s="898"/>
      <c r="G186" s="899" t="s">
        <v>43</v>
      </c>
      <c r="H186" s="899" t="s">
        <v>61</v>
      </c>
      <c r="I186" s="902" t="s">
        <v>2052</v>
      </c>
      <c r="J186" s="674" t="s">
        <v>1990</v>
      </c>
      <c r="K186" s="374">
        <f>IFERROR(VLOOKUP(H186,справочник!$A$3:$B$12,2,0),"нет данных")</f>
        <v>15930</v>
      </c>
      <c r="L186" s="326"/>
      <c r="M186" s="399"/>
      <c r="N186" s="346">
        <f t="shared" si="450"/>
        <v>0</v>
      </c>
      <c r="O186" s="394"/>
      <c r="P186" s="352"/>
      <c r="Q186" s="352"/>
      <c r="R186" s="352"/>
      <c r="S186" s="352"/>
      <c r="T186" s="352"/>
      <c r="U186" s="324"/>
      <c r="V186" s="324"/>
      <c r="W186" s="324"/>
      <c r="X186" s="324"/>
      <c r="Y186" s="324"/>
      <c r="Z186" s="325"/>
      <c r="AA186" s="326"/>
      <c r="AB186" s="327">
        <f t="shared" si="462"/>
        <v>0</v>
      </c>
      <c r="AC186" s="328">
        <f t="shared" si="451"/>
        <v>0</v>
      </c>
      <c r="AD186" s="918"/>
      <c r="AE186" s="919"/>
      <c r="AF186" s="919"/>
      <c r="AG186" s="919"/>
      <c r="AH186" s="919"/>
      <c r="AI186" s="919"/>
      <c r="AJ186" s="919"/>
      <c r="AK186" s="919"/>
      <c r="AL186" s="919"/>
      <c r="AM186" s="919"/>
      <c r="AN186" s="919"/>
      <c r="AO186" s="920"/>
      <c r="AP186" s="917"/>
      <c r="AQ186" s="332">
        <f t="shared" si="463"/>
        <v>0</v>
      </c>
      <c r="AR186" s="333">
        <f t="shared" si="452"/>
        <v>0</v>
      </c>
      <c r="AS186" s="939"/>
      <c r="AT186" s="940"/>
      <c r="AU186" s="940"/>
      <c r="AV186" s="940"/>
      <c r="AW186" s="940"/>
      <c r="AX186" s="940"/>
      <c r="AY186" s="946">
        <v>10</v>
      </c>
      <c r="AZ186" s="940"/>
      <c r="BA186" s="940"/>
      <c r="BB186" s="946">
        <v>5</v>
      </c>
      <c r="BC186" s="940"/>
      <c r="BD186" s="941"/>
      <c r="BE186" s="938"/>
      <c r="BF186" s="332">
        <f t="shared" si="453"/>
        <v>15</v>
      </c>
      <c r="BG186" s="333">
        <f t="shared" si="454"/>
        <v>238950</v>
      </c>
      <c r="BH186" s="329"/>
      <c r="BI186" s="330"/>
      <c r="BJ186" s="330"/>
      <c r="BK186" s="330"/>
      <c r="BL186" s="330"/>
      <c r="BM186" s="330"/>
      <c r="BN186" s="330"/>
      <c r="BO186" s="330"/>
      <c r="BP186" s="330"/>
      <c r="BQ186" s="330"/>
      <c r="BR186" s="330"/>
      <c r="BS186" s="331"/>
      <c r="BT186" s="326"/>
      <c r="BU186" s="332">
        <f t="shared" si="455"/>
        <v>0</v>
      </c>
      <c r="BV186" s="333">
        <f t="shared" si="456"/>
        <v>0</v>
      </c>
      <c r="BW186" s="329"/>
      <c r="BX186" s="330"/>
      <c r="BY186" s="330"/>
      <c r="BZ186" s="330"/>
      <c r="CA186" s="330"/>
      <c r="CB186" s="330"/>
      <c r="CC186" s="330"/>
      <c r="CD186" s="330"/>
      <c r="CE186" s="330"/>
      <c r="CF186" s="330"/>
      <c r="CG186" s="330"/>
      <c r="CH186" s="331"/>
      <c r="CI186" s="326"/>
      <c r="CJ186" s="332">
        <f t="shared" si="457"/>
        <v>0</v>
      </c>
      <c r="CK186" s="333">
        <f t="shared" si="458"/>
        <v>0</v>
      </c>
      <c r="CL186" s="334">
        <f t="shared" si="459"/>
        <v>0</v>
      </c>
      <c r="CM186" s="335">
        <f t="shared" si="460"/>
        <v>15</v>
      </c>
      <c r="CN186" s="336">
        <f t="shared" si="461"/>
        <v>238950</v>
      </c>
      <c r="CQ186" s="480"/>
    </row>
    <row r="187" spans="1:95" s="866" customFormat="1" ht="22.5" customHeight="1">
      <c r="A187" s="1068"/>
      <c r="B187" s="1049"/>
      <c r="C187" s="1049"/>
      <c r="D187" s="895"/>
      <c r="E187" s="867" t="s">
        <v>106</v>
      </c>
      <c r="F187" s="898"/>
      <c r="G187" s="910" t="s">
        <v>43</v>
      </c>
      <c r="H187" s="910" t="s">
        <v>61</v>
      </c>
      <c r="I187" s="909" t="s">
        <v>2053</v>
      </c>
      <c r="J187" s="674" t="s">
        <v>1990</v>
      </c>
      <c r="K187" s="883">
        <f>IFERROR(VLOOKUP(H187,справочник!$A$3:$B$12,2,0),"нет данных")</f>
        <v>15930</v>
      </c>
      <c r="L187" s="870"/>
      <c r="M187" s="885"/>
      <c r="N187" s="881">
        <f t="shared" ref="N187" si="506">IFERROR(ROUND((K187*M187+K187*L187),2),0)</f>
        <v>0</v>
      </c>
      <c r="O187" s="884"/>
      <c r="P187" s="882"/>
      <c r="Q187" s="882"/>
      <c r="R187" s="882"/>
      <c r="S187" s="882"/>
      <c r="T187" s="882"/>
      <c r="U187" s="868"/>
      <c r="V187" s="868"/>
      <c r="W187" s="868"/>
      <c r="X187" s="868"/>
      <c r="Y187" s="868"/>
      <c r="Z187" s="869"/>
      <c r="AA187" s="870"/>
      <c r="AB187" s="871">
        <f t="shared" ref="AB187" si="507">SUM(O187:Z187)</f>
        <v>0</v>
      </c>
      <c r="AC187" s="872">
        <f t="shared" ref="AC187" si="508">IFERROR(ROUND(($K187*AB187+$K187*AA187),2),0)</f>
        <v>0</v>
      </c>
      <c r="AD187" s="918"/>
      <c r="AE187" s="919"/>
      <c r="AF187" s="919"/>
      <c r="AG187" s="919"/>
      <c r="AH187" s="919"/>
      <c r="AI187" s="919"/>
      <c r="AJ187" s="919"/>
      <c r="AK187" s="919"/>
      <c r="AL187" s="919"/>
      <c r="AM187" s="919"/>
      <c r="AN187" s="919"/>
      <c r="AO187" s="920"/>
      <c r="AP187" s="917"/>
      <c r="AQ187" s="876">
        <f t="shared" ref="AQ187" si="509">SUM(AD187:AO187)</f>
        <v>0</v>
      </c>
      <c r="AR187" s="877">
        <f t="shared" ref="AR187" si="510">IFERROR(ROUND(($K187*AQ187+$K187*AP187),2),0)</f>
        <v>0</v>
      </c>
      <c r="AS187" s="939"/>
      <c r="AT187" s="940"/>
      <c r="AU187" s="940"/>
      <c r="AV187" s="940"/>
      <c r="AW187" s="940"/>
      <c r="AX187" s="940"/>
      <c r="AY187" s="946">
        <v>10</v>
      </c>
      <c r="AZ187" s="940"/>
      <c r="BA187" s="940"/>
      <c r="BB187" s="946">
        <v>5</v>
      </c>
      <c r="BC187" s="940"/>
      <c r="BD187" s="941"/>
      <c r="BE187" s="938"/>
      <c r="BF187" s="876">
        <f t="shared" ref="BF187" si="511">SUM(AS187:BD187)</f>
        <v>15</v>
      </c>
      <c r="BG187" s="877">
        <f t="shared" ref="BG187" si="512">IFERROR(ROUND(($K187*BF187+$K187*BE187),2),0)</f>
        <v>238950</v>
      </c>
      <c r="BH187" s="873"/>
      <c r="BI187" s="874"/>
      <c r="BJ187" s="874"/>
      <c r="BK187" s="874"/>
      <c r="BL187" s="874"/>
      <c r="BM187" s="874"/>
      <c r="BN187" s="874"/>
      <c r="BO187" s="874"/>
      <c r="BP187" s="874"/>
      <c r="BQ187" s="874"/>
      <c r="BR187" s="874"/>
      <c r="BS187" s="875"/>
      <c r="BT187" s="870"/>
      <c r="BU187" s="876">
        <f t="shared" ref="BU187" si="513">SUM(BH187:BS187)</f>
        <v>0</v>
      </c>
      <c r="BV187" s="877">
        <f t="shared" ref="BV187" si="514">IFERROR(ROUND(($K187*BU187+$K187*BT187),2),0)</f>
        <v>0</v>
      </c>
      <c r="BW187" s="873"/>
      <c r="BX187" s="874"/>
      <c r="BY187" s="874"/>
      <c r="BZ187" s="874"/>
      <c r="CA187" s="874"/>
      <c r="CB187" s="874"/>
      <c r="CC187" s="874"/>
      <c r="CD187" s="874"/>
      <c r="CE187" s="874"/>
      <c r="CF187" s="874"/>
      <c r="CG187" s="874"/>
      <c r="CH187" s="875"/>
      <c r="CI187" s="870"/>
      <c r="CJ187" s="876">
        <f t="shared" ref="CJ187" si="515">SUM(BW187:CH187)</f>
        <v>0</v>
      </c>
      <c r="CK187" s="877">
        <f t="shared" ref="CK187" si="516">IFERROR(ROUND(($K187*CJ187+$K187*CI187),2),0)</f>
        <v>0</v>
      </c>
      <c r="CL187" s="878">
        <f t="shared" ref="CL187" si="517">AA187+AP187+L187+BE187+BT187+CI187</f>
        <v>0</v>
      </c>
      <c r="CM187" s="879">
        <f t="shared" ref="CM187" si="518">AB187+AQ187+M187+BF187+BU187+CJ187</f>
        <v>15</v>
      </c>
      <c r="CN187" s="880">
        <f t="shared" ref="CN187" si="519">AC187+AR187+N187+BG187+BV187+CK187</f>
        <v>238950</v>
      </c>
      <c r="CQ187" s="886"/>
    </row>
    <row r="188" spans="1:95" s="33" customFormat="1" ht="22.5" customHeight="1">
      <c r="A188" s="1052"/>
      <c r="B188" s="1050"/>
      <c r="C188" s="1050"/>
      <c r="D188" s="895"/>
      <c r="E188" s="125" t="s">
        <v>106</v>
      </c>
      <c r="F188" s="898"/>
      <c r="G188" s="899" t="s">
        <v>40</v>
      </c>
      <c r="H188" s="899" t="s">
        <v>1453</v>
      </c>
      <c r="I188" s="902" t="s">
        <v>2049</v>
      </c>
      <c r="J188" s="674" t="s">
        <v>1990</v>
      </c>
      <c r="K188" s="374">
        <f>IFERROR(VLOOKUP(H188,справочник!$A$3:$B$12,2,0),"нет данных")</f>
        <v>21520</v>
      </c>
      <c r="L188" s="326"/>
      <c r="M188" s="399"/>
      <c r="N188" s="346">
        <f t="shared" si="450"/>
        <v>0</v>
      </c>
      <c r="O188" s="394"/>
      <c r="P188" s="352"/>
      <c r="Q188" s="352"/>
      <c r="R188" s="352"/>
      <c r="S188" s="352"/>
      <c r="T188" s="352"/>
      <c r="U188" s="324"/>
      <c r="V188" s="324"/>
      <c r="W188" s="324"/>
      <c r="X188" s="324"/>
      <c r="Y188" s="324"/>
      <c r="Z188" s="325"/>
      <c r="AA188" s="326"/>
      <c r="AB188" s="327">
        <f t="shared" si="462"/>
        <v>0</v>
      </c>
      <c r="AC188" s="328">
        <f t="shared" si="451"/>
        <v>0</v>
      </c>
      <c r="AD188" s="918"/>
      <c r="AE188" s="919"/>
      <c r="AF188" s="919"/>
      <c r="AG188" s="919"/>
      <c r="AH188" s="919"/>
      <c r="AI188" s="919"/>
      <c r="AJ188" s="919"/>
      <c r="AK188" s="919"/>
      <c r="AL188" s="919"/>
      <c r="AM188" s="919"/>
      <c r="AN188" s="919"/>
      <c r="AO188" s="920"/>
      <c r="AP188" s="917"/>
      <c r="AQ188" s="332">
        <f t="shared" si="463"/>
        <v>0</v>
      </c>
      <c r="AR188" s="333">
        <f t="shared" si="452"/>
        <v>0</v>
      </c>
      <c r="AS188" s="939"/>
      <c r="AT188" s="944">
        <v>9</v>
      </c>
      <c r="AU188" s="940"/>
      <c r="AV188" s="940"/>
      <c r="AW188" s="940"/>
      <c r="AX188" s="945">
        <v>9</v>
      </c>
      <c r="AY188" s="940"/>
      <c r="AZ188" s="940"/>
      <c r="BA188" s="940"/>
      <c r="BB188" s="946">
        <v>3</v>
      </c>
      <c r="BC188" s="940"/>
      <c r="BD188" s="941"/>
      <c r="BE188" s="938"/>
      <c r="BF188" s="332">
        <f t="shared" si="453"/>
        <v>21</v>
      </c>
      <c r="BG188" s="333">
        <f t="shared" si="454"/>
        <v>451920</v>
      </c>
      <c r="BH188" s="329"/>
      <c r="BI188" s="330"/>
      <c r="BJ188" s="330"/>
      <c r="BK188" s="330"/>
      <c r="BL188" s="330"/>
      <c r="BM188" s="330"/>
      <c r="BN188" s="330"/>
      <c r="BO188" s="330"/>
      <c r="BP188" s="330"/>
      <c r="BQ188" s="330"/>
      <c r="BR188" s="330"/>
      <c r="BS188" s="331"/>
      <c r="BT188" s="326"/>
      <c r="BU188" s="332">
        <f t="shared" si="455"/>
        <v>0</v>
      </c>
      <c r="BV188" s="333">
        <f t="shared" si="456"/>
        <v>0</v>
      </c>
      <c r="BW188" s="329"/>
      <c r="BX188" s="330"/>
      <c r="BY188" s="330"/>
      <c r="BZ188" s="330"/>
      <c r="CA188" s="330"/>
      <c r="CB188" s="330"/>
      <c r="CC188" s="330"/>
      <c r="CD188" s="330"/>
      <c r="CE188" s="330"/>
      <c r="CF188" s="330"/>
      <c r="CG188" s="330"/>
      <c r="CH188" s="331"/>
      <c r="CI188" s="326"/>
      <c r="CJ188" s="332">
        <f t="shared" si="457"/>
        <v>0</v>
      </c>
      <c r="CK188" s="333">
        <f t="shared" si="458"/>
        <v>0</v>
      </c>
      <c r="CL188" s="334">
        <f t="shared" si="459"/>
        <v>0</v>
      </c>
      <c r="CM188" s="335">
        <f t="shared" si="460"/>
        <v>21</v>
      </c>
      <c r="CN188" s="336">
        <f t="shared" si="461"/>
        <v>451920</v>
      </c>
      <c r="CQ188" s="480"/>
    </row>
    <row r="189" spans="1:95" s="33" customFormat="1" ht="22.5" customHeight="1">
      <c r="A189" s="1051" t="s">
        <v>153</v>
      </c>
      <c r="B189" s="1048" t="s">
        <v>100</v>
      </c>
      <c r="C189" s="1048" t="s">
        <v>100</v>
      </c>
      <c r="D189" s="895"/>
      <c r="E189" s="125" t="s">
        <v>107</v>
      </c>
      <c r="F189" s="898"/>
      <c r="G189" s="899" t="s">
        <v>1616</v>
      </c>
      <c r="H189" s="899" t="s">
        <v>60</v>
      </c>
      <c r="I189" s="900" t="s">
        <v>2046</v>
      </c>
      <c r="J189" s="674" t="s">
        <v>1990</v>
      </c>
      <c r="K189" s="374">
        <f>IFERROR(VLOOKUP(H189,справочник!$A$3:$B$12,2,0),"нет данных")</f>
        <v>11900</v>
      </c>
      <c r="L189" s="326"/>
      <c r="M189" s="399"/>
      <c r="N189" s="346">
        <f t="shared" si="450"/>
        <v>0</v>
      </c>
      <c r="O189" s="394"/>
      <c r="P189" s="352"/>
      <c r="Q189" s="352"/>
      <c r="R189" s="352"/>
      <c r="S189" s="352"/>
      <c r="T189" s="352"/>
      <c r="U189" s="324"/>
      <c r="V189" s="324"/>
      <c r="W189" s="324"/>
      <c r="X189" s="324"/>
      <c r="Y189" s="324"/>
      <c r="Z189" s="325"/>
      <c r="AA189" s="326"/>
      <c r="AB189" s="327">
        <f t="shared" si="462"/>
        <v>0</v>
      </c>
      <c r="AC189" s="328">
        <f t="shared" si="451"/>
        <v>0</v>
      </c>
      <c r="AD189" s="918"/>
      <c r="AE189" s="919"/>
      <c r="AF189" s="919"/>
      <c r="AG189" s="919"/>
      <c r="AH189" s="919"/>
      <c r="AI189" s="919"/>
      <c r="AJ189" s="919"/>
      <c r="AK189" s="919"/>
      <c r="AL189" s="919"/>
      <c r="AM189" s="919"/>
      <c r="AN189" s="919"/>
      <c r="AO189" s="920"/>
      <c r="AP189" s="917"/>
      <c r="AQ189" s="332">
        <f t="shared" si="463"/>
        <v>0</v>
      </c>
      <c r="AR189" s="333">
        <f t="shared" si="452"/>
        <v>0</v>
      </c>
      <c r="AS189" s="939"/>
      <c r="AT189" s="940"/>
      <c r="AU189" s="940"/>
      <c r="AV189" s="940"/>
      <c r="AW189" s="940"/>
      <c r="AX189" s="940"/>
      <c r="AY189" s="940"/>
      <c r="AZ189" s="946">
        <v>5</v>
      </c>
      <c r="BA189" s="946">
        <v>4</v>
      </c>
      <c r="BB189" s="946">
        <v>2</v>
      </c>
      <c r="BC189" s="940"/>
      <c r="BD189" s="941"/>
      <c r="BE189" s="938"/>
      <c r="BF189" s="332">
        <f t="shared" si="453"/>
        <v>11</v>
      </c>
      <c r="BG189" s="333">
        <f t="shared" si="454"/>
        <v>130900</v>
      </c>
      <c r="BH189" s="329"/>
      <c r="BI189" s="330"/>
      <c r="BJ189" s="330"/>
      <c r="BK189" s="330"/>
      <c r="BL189" s="330"/>
      <c r="BM189" s="330"/>
      <c r="BN189" s="330"/>
      <c r="BO189" s="330"/>
      <c r="BP189" s="330"/>
      <c r="BQ189" s="330"/>
      <c r="BR189" s="330"/>
      <c r="BS189" s="331"/>
      <c r="BT189" s="326"/>
      <c r="BU189" s="332">
        <f t="shared" si="455"/>
        <v>0</v>
      </c>
      <c r="BV189" s="333">
        <f t="shared" si="456"/>
        <v>0</v>
      </c>
      <c r="BW189" s="329"/>
      <c r="BX189" s="330"/>
      <c r="BY189" s="330"/>
      <c r="BZ189" s="330"/>
      <c r="CA189" s="330"/>
      <c r="CB189" s="330"/>
      <c r="CC189" s="330"/>
      <c r="CD189" s="330"/>
      <c r="CE189" s="330"/>
      <c r="CF189" s="330"/>
      <c r="CG189" s="330"/>
      <c r="CH189" s="331"/>
      <c r="CI189" s="326"/>
      <c r="CJ189" s="332">
        <f t="shared" si="457"/>
        <v>0</v>
      </c>
      <c r="CK189" s="333">
        <f t="shared" si="458"/>
        <v>0</v>
      </c>
      <c r="CL189" s="334">
        <f t="shared" si="459"/>
        <v>0</v>
      </c>
      <c r="CM189" s="335">
        <f t="shared" si="460"/>
        <v>11</v>
      </c>
      <c r="CN189" s="336">
        <f t="shared" si="461"/>
        <v>130900</v>
      </c>
      <c r="CQ189" s="480"/>
    </row>
    <row r="190" spans="1:95" s="33" customFormat="1" ht="22.5" customHeight="1">
      <c r="A190" s="1052"/>
      <c r="B190" s="1050"/>
      <c r="C190" s="1050"/>
      <c r="D190" s="895"/>
      <c r="E190" s="125" t="s">
        <v>107</v>
      </c>
      <c r="F190" s="898"/>
      <c r="G190" s="899"/>
      <c r="H190" s="899"/>
      <c r="I190" s="902"/>
      <c r="J190" s="674" t="s">
        <v>1990</v>
      </c>
      <c r="K190" s="374" t="str">
        <f>IFERROR(VLOOKUP(H190,справочник!$A$3:$B$12,2,0),"нет данных")</f>
        <v>нет данных</v>
      </c>
      <c r="L190" s="326"/>
      <c r="M190" s="399"/>
      <c r="N190" s="346">
        <f t="shared" si="450"/>
        <v>0</v>
      </c>
      <c r="O190" s="394"/>
      <c r="P190" s="352"/>
      <c r="Q190" s="352"/>
      <c r="R190" s="352"/>
      <c r="S190" s="352"/>
      <c r="T190" s="352"/>
      <c r="U190" s="324"/>
      <c r="V190" s="324"/>
      <c r="W190" s="324"/>
      <c r="X190" s="324"/>
      <c r="Y190" s="324"/>
      <c r="Z190" s="325"/>
      <c r="AA190" s="326"/>
      <c r="AB190" s="327">
        <f t="shared" si="462"/>
        <v>0</v>
      </c>
      <c r="AC190" s="328">
        <f t="shared" si="451"/>
        <v>0</v>
      </c>
      <c r="AD190" s="918"/>
      <c r="AE190" s="919"/>
      <c r="AF190" s="919"/>
      <c r="AG190" s="919"/>
      <c r="AH190" s="919"/>
      <c r="AI190" s="919"/>
      <c r="AJ190" s="919"/>
      <c r="AK190" s="919"/>
      <c r="AL190" s="919"/>
      <c r="AM190" s="919"/>
      <c r="AN190" s="919"/>
      <c r="AO190" s="920"/>
      <c r="AP190" s="917"/>
      <c r="AQ190" s="332">
        <f t="shared" si="463"/>
        <v>0</v>
      </c>
      <c r="AR190" s="333">
        <f t="shared" si="452"/>
        <v>0</v>
      </c>
      <c r="AS190" s="939"/>
      <c r="AT190" s="940"/>
      <c r="AU190" s="940"/>
      <c r="AV190" s="940"/>
      <c r="AW190" s="940"/>
      <c r="AX190" s="940"/>
      <c r="AY190" s="940"/>
      <c r="AZ190" s="940"/>
      <c r="BA190" s="940"/>
      <c r="BB190" s="940"/>
      <c r="BC190" s="940"/>
      <c r="BD190" s="941"/>
      <c r="BE190" s="938"/>
      <c r="BF190" s="332">
        <f t="shared" si="453"/>
        <v>0</v>
      </c>
      <c r="BG190" s="333">
        <f t="shared" si="454"/>
        <v>0</v>
      </c>
      <c r="BH190" s="329"/>
      <c r="BI190" s="330"/>
      <c r="BJ190" s="330"/>
      <c r="BK190" s="330"/>
      <c r="BL190" s="330"/>
      <c r="BM190" s="330"/>
      <c r="BN190" s="330"/>
      <c r="BO190" s="330"/>
      <c r="BP190" s="330"/>
      <c r="BQ190" s="330"/>
      <c r="BR190" s="330"/>
      <c r="BS190" s="331"/>
      <c r="BT190" s="326"/>
      <c r="BU190" s="332">
        <f t="shared" si="455"/>
        <v>0</v>
      </c>
      <c r="BV190" s="333">
        <f t="shared" si="456"/>
        <v>0</v>
      </c>
      <c r="BW190" s="329"/>
      <c r="BX190" s="330"/>
      <c r="BY190" s="330"/>
      <c r="BZ190" s="330"/>
      <c r="CA190" s="330"/>
      <c r="CB190" s="330"/>
      <c r="CC190" s="330"/>
      <c r="CD190" s="330"/>
      <c r="CE190" s="330"/>
      <c r="CF190" s="330"/>
      <c r="CG190" s="330"/>
      <c r="CH190" s="331"/>
      <c r="CI190" s="326"/>
      <c r="CJ190" s="332">
        <f t="shared" si="457"/>
        <v>0</v>
      </c>
      <c r="CK190" s="333">
        <f t="shared" si="458"/>
        <v>0</v>
      </c>
      <c r="CL190" s="334">
        <f t="shared" si="459"/>
        <v>0</v>
      </c>
      <c r="CM190" s="335">
        <f t="shared" si="460"/>
        <v>0</v>
      </c>
      <c r="CN190" s="336">
        <f t="shared" si="461"/>
        <v>0</v>
      </c>
      <c r="CQ190" s="480"/>
    </row>
    <row r="191" spans="1:95" s="33" customFormat="1" ht="22.5" customHeight="1">
      <c r="A191" s="1051" t="s">
        <v>154</v>
      </c>
      <c r="B191" s="1048" t="s">
        <v>1593</v>
      </c>
      <c r="C191" s="1048" t="s">
        <v>1593</v>
      </c>
      <c r="D191" s="895"/>
      <c r="E191" s="125" t="s">
        <v>107</v>
      </c>
      <c r="F191" s="898"/>
      <c r="G191" s="899" t="s">
        <v>1616</v>
      </c>
      <c r="H191" s="899" t="s">
        <v>60</v>
      </c>
      <c r="I191" s="900" t="s">
        <v>2046</v>
      </c>
      <c r="J191" s="674" t="s">
        <v>1990</v>
      </c>
      <c r="K191" s="374">
        <f>IFERROR(VLOOKUP(H191,справочник!$A$3:$B$12,2,0),"нет данных")</f>
        <v>11900</v>
      </c>
      <c r="L191" s="326"/>
      <c r="M191" s="399"/>
      <c r="N191" s="346">
        <f t="shared" si="450"/>
        <v>0</v>
      </c>
      <c r="O191" s="394"/>
      <c r="P191" s="352"/>
      <c r="Q191" s="352"/>
      <c r="R191" s="352"/>
      <c r="S191" s="352"/>
      <c r="T191" s="352"/>
      <c r="U191" s="324"/>
      <c r="V191" s="324"/>
      <c r="W191" s="324"/>
      <c r="X191" s="324"/>
      <c r="Y191" s="324"/>
      <c r="Z191" s="325"/>
      <c r="AA191" s="326"/>
      <c r="AB191" s="327">
        <f t="shared" si="462"/>
        <v>0</v>
      </c>
      <c r="AC191" s="328">
        <f t="shared" si="451"/>
        <v>0</v>
      </c>
      <c r="AD191" s="918"/>
      <c r="AE191" s="919"/>
      <c r="AF191" s="919"/>
      <c r="AG191" s="919"/>
      <c r="AH191" s="919"/>
      <c r="AI191" s="919"/>
      <c r="AJ191" s="919"/>
      <c r="AK191" s="919"/>
      <c r="AL191" s="919"/>
      <c r="AM191" s="919"/>
      <c r="AN191" s="919"/>
      <c r="AO191" s="920"/>
      <c r="AP191" s="917"/>
      <c r="AQ191" s="332">
        <f t="shared" si="463"/>
        <v>0</v>
      </c>
      <c r="AR191" s="333">
        <f t="shared" si="452"/>
        <v>0</v>
      </c>
      <c r="AS191" s="939"/>
      <c r="AT191" s="940"/>
      <c r="AU191" s="940"/>
      <c r="AV191" s="940"/>
      <c r="AW191" s="940"/>
      <c r="AX191" s="940"/>
      <c r="AY191" s="940"/>
      <c r="AZ191" s="946">
        <v>5</v>
      </c>
      <c r="BA191" s="946">
        <v>4</v>
      </c>
      <c r="BB191" s="946">
        <v>2</v>
      </c>
      <c r="BC191" s="940"/>
      <c r="BD191" s="941"/>
      <c r="BE191" s="938"/>
      <c r="BF191" s="332">
        <f t="shared" si="453"/>
        <v>11</v>
      </c>
      <c r="BG191" s="333">
        <f t="shared" si="454"/>
        <v>130900</v>
      </c>
      <c r="BH191" s="329"/>
      <c r="BI191" s="330"/>
      <c r="BJ191" s="330"/>
      <c r="BK191" s="330"/>
      <c r="BL191" s="330"/>
      <c r="BM191" s="330"/>
      <c r="BN191" s="330"/>
      <c r="BO191" s="330"/>
      <c r="BP191" s="330"/>
      <c r="BQ191" s="330"/>
      <c r="BR191" s="330"/>
      <c r="BS191" s="331"/>
      <c r="BT191" s="326"/>
      <c r="BU191" s="332">
        <f t="shared" si="455"/>
        <v>0</v>
      </c>
      <c r="BV191" s="333">
        <f t="shared" si="456"/>
        <v>0</v>
      </c>
      <c r="BW191" s="329"/>
      <c r="BX191" s="330"/>
      <c r="BY191" s="330"/>
      <c r="BZ191" s="330"/>
      <c r="CA191" s="330"/>
      <c r="CB191" s="330"/>
      <c r="CC191" s="330"/>
      <c r="CD191" s="330"/>
      <c r="CE191" s="330"/>
      <c r="CF191" s="330"/>
      <c r="CG191" s="330"/>
      <c r="CH191" s="331"/>
      <c r="CI191" s="326"/>
      <c r="CJ191" s="332">
        <f t="shared" si="457"/>
        <v>0</v>
      </c>
      <c r="CK191" s="333">
        <f t="shared" si="458"/>
        <v>0</v>
      </c>
      <c r="CL191" s="334">
        <f t="shared" si="459"/>
        <v>0</v>
      </c>
      <c r="CM191" s="335">
        <f t="shared" si="460"/>
        <v>11</v>
      </c>
      <c r="CN191" s="336">
        <f t="shared" si="461"/>
        <v>130900</v>
      </c>
      <c r="CQ191" s="480"/>
    </row>
    <row r="192" spans="1:95" s="33" customFormat="1" ht="22.5" customHeight="1">
      <c r="A192" s="1052"/>
      <c r="B192" s="1050"/>
      <c r="C192" s="1050"/>
      <c r="D192" s="895"/>
      <c r="E192" s="125" t="s">
        <v>107</v>
      </c>
      <c r="F192" s="898"/>
      <c r="G192" s="899"/>
      <c r="H192" s="899"/>
      <c r="I192" s="902"/>
      <c r="J192" s="674" t="s">
        <v>1990</v>
      </c>
      <c r="K192" s="374" t="str">
        <f>IFERROR(VLOOKUP(H192,справочник!$A$3:$B$12,2,0),"нет данных")</f>
        <v>нет данных</v>
      </c>
      <c r="L192" s="326"/>
      <c r="M192" s="399"/>
      <c r="N192" s="346">
        <f t="shared" si="450"/>
        <v>0</v>
      </c>
      <c r="O192" s="394"/>
      <c r="P192" s="352"/>
      <c r="Q192" s="352"/>
      <c r="R192" s="352"/>
      <c r="S192" s="352"/>
      <c r="T192" s="352"/>
      <c r="U192" s="324"/>
      <c r="V192" s="324"/>
      <c r="W192" s="324"/>
      <c r="X192" s="324"/>
      <c r="Y192" s="324"/>
      <c r="Z192" s="325"/>
      <c r="AA192" s="326"/>
      <c r="AB192" s="327">
        <f t="shared" si="462"/>
        <v>0</v>
      </c>
      <c r="AC192" s="328">
        <f t="shared" si="451"/>
        <v>0</v>
      </c>
      <c r="AD192" s="918"/>
      <c r="AE192" s="919"/>
      <c r="AF192" s="919"/>
      <c r="AG192" s="919"/>
      <c r="AH192" s="919"/>
      <c r="AI192" s="919"/>
      <c r="AJ192" s="919"/>
      <c r="AK192" s="919"/>
      <c r="AL192" s="919"/>
      <c r="AM192" s="919"/>
      <c r="AN192" s="919"/>
      <c r="AO192" s="920"/>
      <c r="AP192" s="917"/>
      <c r="AQ192" s="332">
        <f t="shared" si="463"/>
        <v>0</v>
      </c>
      <c r="AR192" s="333">
        <f t="shared" si="452"/>
        <v>0</v>
      </c>
      <c r="AS192" s="939"/>
      <c r="AT192" s="940"/>
      <c r="AU192" s="940"/>
      <c r="AV192" s="940"/>
      <c r="AW192" s="940"/>
      <c r="AX192" s="940"/>
      <c r="AY192" s="940"/>
      <c r="AZ192" s="940"/>
      <c r="BA192" s="940"/>
      <c r="BB192" s="940"/>
      <c r="BC192" s="940"/>
      <c r="BD192" s="941"/>
      <c r="BE192" s="938"/>
      <c r="BF192" s="332">
        <f t="shared" si="453"/>
        <v>0</v>
      </c>
      <c r="BG192" s="333">
        <f t="shared" si="454"/>
        <v>0</v>
      </c>
      <c r="BH192" s="329"/>
      <c r="BI192" s="330"/>
      <c r="BJ192" s="330"/>
      <c r="BK192" s="330"/>
      <c r="BL192" s="330"/>
      <c r="BM192" s="330"/>
      <c r="BN192" s="330"/>
      <c r="BO192" s="330"/>
      <c r="BP192" s="330"/>
      <c r="BQ192" s="330"/>
      <c r="BR192" s="330"/>
      <c r="BS192" s="331"/>
      <c r="BT192" s="326"/>
      <c r="BU192" s="332">
        <f t="shared" si="455"/>
        <v>0</v>
      </c>
      <c r="BV192" s="333">
        <f t="shared" si="456"/>
        <v>0</v>
      </c>
      <c r="BW192" s="329"/>
      <c r="BX192" s="330"/>
      <c r="BY192" s="330"/>
      <c r="BZ192" s="330"/>
      <c r="CA192" s="330"/>
      <c r="CB192" s="330"/>
      <c r="CC192" s="330"/>
      <c r="CD192" s="330"/>
      <c r="CE192" s="330"/>
      <c r="CF192" s="330"/>
      <c r="CG192" s="330"/>
      <c r="CH192" s="331"/>
      <c r="CI192" s="326"/>
      <c r="CJ192" s="332">
        <f t="shared" si="457"/>
        <v>0</v>
      </c>
      <c r="CK192" s="333">
        <f t="shared" si="458"/>
        <v>0</v>
      </c>
      <c r="CL192" s="334">
        <f t="shared" si="459"/>
        <v>0</v>
      </c>
      <c r="CM192" s="335">
        <f t="shared" si="460"/>
        <v>0</v>
      </c>
      <c r="CN192" s="336">
        <f t="shared" si="461"/>
        <v>0</v>
      </c>
      <c r="CQ192" s="480"/>
    </row>
    <row r="193" spans="1:95" s="33" customFormat="1" ht="22.5" customHeight="1">
      <c r="A193" s="1051" t="s">
        <v>155</v>
      </c>
      <c r="B193" s="1048" t="s">
        <v>1541</v>
      </c>
      <c r="C193" s="1048" t="s">
        <v>1542</v>
      </c>
      <c r="D193" s="895"/>
      <c r="E193" s="125" t="s">
        <v>107</v>
      </c>
      <c r="F193" s="898"/>
      <c r="G193" s="899" t="s">
        <v>43</v>
      </c>
      <c r="H193" s="899" t="s">
        <v>61</v>
      </c>
      <c r="I193" s="902" t="s">
        <v>2052</v>
      </c>
      <c r="J193" s="674" t="s">
        <v>1990</v>
      </c>
      <c r="K193" s="374">
        <f>IFERROR(VLOOKUP(H193,справочник!$A$3:$B$12,2,0),"нет данных")</f>
        <v>15930</v>
      </c>
      <c r="L193" s="326"/>
      <c r="M193" s="399"/>
      <c r="N193" s="346">
        <f t="shared" si="450"/>
        <v>0</v>
      </c>
      <c r="O193" s="394"/>
      <c r="P193" s="352"/>
      <c r="Q193" s="352"/>
      <c r="R193" s="352"/>
      <c r="S193" s="352"/>
      <c r="T193" s="352"/>
      <c r="U193" s="324"/>
      <c r="V193" s="324"/>
      <c r="W193" s="324"/>
      <c r="X193" s="324"/>
      <c r="Y193" s="324"/>
      <c r="Z193" s="325"/>
      <c r="AA193" s="326"/>
      <c r="AB193" s="327">
        <f t="shared" si="462"/>
        <v>0</v>
      </c>
      <c r="AC193" s="328">
        <f t="shared" si="451"/>
        <v>0</v>
      </c>
      <c r="AD193" s="918"/>
      <c r="AE193" s="919"/>
      <c r="AF193" s="919"/>
      <c r="AG193" s="919"/>
      <c r="AH193" s="919"/>
      <c r="AI193" s="919"/>
      <c r="AJ193" s="919"/>
      <c r="AK193" s="919"/>
      <c r="AL193" s="919"/>
      <c r="AM193" s="919"/>
      <c r="AN193" s="919"/>
      <c r="AO193" s="920"/>
      <c r="AP193" s="917"/>
      <c r="AQ193" s="332">
        <f t="shared" si="463"/>
        <v>0</v>
      </c>
      <c r="AR193" s="333">
        <f t="shared" si="452"/>
        <v>0</v>
      </c>
      <c r="AS193" s="939"/>
      <c r="AT193" s="940"/>
      <c r="AU193" s="945">
        <v>2</v>
      </c>
      <c r="AV193" s="945">
        <v>2</v>
      </c>
      <c r="AW193" s="945">
        <v>2</v>
      </c>
      <c r="AX193" s="945">
        <v>2</v>
      </c>
      <c r="AY193" s="940"/>
      <c r="AZ193" s="940"/>
      <c r="BA193" s="940"/>
      <c r="BB193" s="940"/>
      <c r="BC193" s="940"/>
      <c r="BD193" s="941"/>
      <c r="BE193" s="938"/>
      <c r="BF193" s="332">
        <f t="shared" si="453"/>
        <v>8</v>
      </c>
      <c r="BG193" s="333">
        <f t="shared" si="454"/>
        <v>127440</v>
      </c>
      <c r="BH193" s="329"/>
      <c r="BI193" s="330"/>
      <c r="BJ193" s="330"/>
      <c r="BK193" s="330"/>
      <c r="BL193" s="330"/>
      <c r="BM193" s="330"/>
      <c r="BN193" s="330"/>
      <c r="BO193" s="330"/>
      <c r="BP193" s="330"/>
      <c r="BQ193" s="330"/>
      <c r="BR193" s="330"/>
      <c r="BS193" s="331"/>
      <c r="BT193" s="326"/>
      <c r="BU193" s="332">
        <f t="shared" si="455"/>
        <v>0</v>
      </c>
      <c r="BV193" s="333">
        <f t="shared" si="456"/>
        <v>0</v>
      </c>
      <c r="BW193" s="329"/>
      <c r="BX193" s="330"/>
      <c r="BY193" s="330"/>
      <c r="BZ193" s="330"/>
      <c r="CA193" s="330"/>
      <c r="CB193" s="330"/>
      <c r="CC193" s="330"/>
      <c r="CD193" s="330"/>
      <c r="CE193" s="330"/>
      <c r="CF193" s="330"/>
      <c r="CG193" s="330"/>
      <c r="CH193" s="331"/>
      <c r="CI193" s="326"/>
      <c r="CJ193" s="332">
        <f t="shared" si="457"/>
        <v>0</v>
      </c>
      <c r="CK193" s="333">
        <f t="shared" si="458"/>
        <v>0</v>
      </c>
      <c r="CL193" s="334">
        <f t="shared" si="459"/>
        <v>0</v>
      </c>
      <c r="CM193" s="335">
        <f t="shared" si="460"/>
        <v>8</v>
      </c>
      <c r="CN193" s="336">
        <f t="shared" si="461"/>
        <v>127440</v>
      </c>
      <c r="CQ193" s="480"/>
    </row>
    <row r="194" spans="1:95" s="866" customFormat="1" ht="22.5" customHeight="1">
      <c r="A194" s="1068"/>
      <c r="B194" s="1049"/>
      <c r="C194" s="1049"/>
      <c r="D194" s="895"/>
      <c r="E194" s="867" t="s">
        <v>107</v>
      </c>
      <c r="F194" s="898"/>
      <c r="G194" s="910" t="s">
        <v>43</v>
      </c>
      <c r="H194" s="910" t="s">
        <v>61</v>
      </c>
      <c r="I194" s="909" t="s">
        <v>2053</v>
      </c>
      <c r="J194" s="674" t="s">
        <v>1990</v>
      </c>
      <c r="K194" s="883">
        <f>IFERROR(VLOOKUP(H194,справочник!$A$3:$B$12,2,0),"нет данных")</f>
        <v>15930</v>
      </c>
      <c r="L194" s="870"/>
      <c r="M194" s="885"/>
      <c r="N194" s="881">
        <f t="shared" ref="N194" si="520">IFERROR(ROUND((K194*M194+K194*L194),2),0)</f>
        <v>0</v>
      </c>
      <c r="O194" s="884"/>
      <c r="P194" s="882"/>
      <c r="Q194" s="882"/>
      <c r="R194" s="882"/>
      <c r="S194" s="882"/>
      <c r="T194" s="882"/>
      <c r="U194" s="868"/>
      <c r="V194" s="868"/>
      <c r="W194" s="868"/>
      <c r="X194" s="868"/>
      <c r="Y194" s="868"/>
      <c r="Z194" s="869"/>
      <c r="AA194" s="870"/>
      <c r="AB194" s="871">
        <f t="shared" ref="AB194" si="521">SUM(O194:Z194)</f>
        <v>0</v>
      </c>
      <c r="AC194" s="872">
        <f t="shared" ref="AC194" si="522">IFERROR(ROUND(($K194*AB194+$K194*AA194),2),0)</f>
        <v>0</v>
      </c>
      <c r="AD194" s="918"/>
      <c r="AE194" s="919"/>
      <c r="AF194" s="919"/>
      <c r="AG194" s="919"/>
      <c r="AH194" s="919"/>
      <c r="AI194" s="919"/>
      <c r="AJ194" s="919"/>
      <c r="AK194" s="919"/>
      <c r="AL194" s="919"/>
      <c r="AM194" s="919"/>
      <c r="AN194" s="919"/>
      <c r="AO194" s="920"/>
      <c r="AP194" s="917"/>
      <c r="AQ194" s="876">
        <f t="shared" ref="AQ194" si="523">SUM(AD194:AO194)</f>
        <v>0</v>
      </c>
      <c r="AR194" s="877">
        <f t="shared" ref="AR194" si="524">IFERROR(ROUND(($K194*AQ194+$K194*AP194),2),0)</f>
        <v>0</v>
      </c>
      <c r="AS194" s="939"/>
      <c r="AT194" s="940"/>
      <c r="AU194" s="945">
        <v>2</v>
      </c>
      <c r="AV194" s="945">
        <v>2</v>
      </c>
      <c r="AW194" s="945">
        <v>2</v>
      </c>
      <c r="AX194" s="945">
        <v>2</v>
      </c>
      <c r="AY194" s="940"/>
      <c r="AZ194" s="940"/>
      <c r="BA194" s="940"/>
      <c r="BB194" s="940"/>
      <c r="BC194" s="940"/>
      <c r="BD194" s="941"/>
      <c r="BE194" s="938"/>
      <c r="BF194" s="876">
        <f t="shared" ref="BF194" si="525">SUM(AS194:BD194)</f>
        <v>8</v>
      </c>
      <c r="BG194" s="877">
        <f t="shared" ref="BG194" si="526">IFERROR(ROUND(($K194*BF194+$K194*BE194),2),0)</f>
        <v>127440</v>
      </c>
      <c r="BH194" s="873"/>
      <c r="BI194" s="874"/>
      <c r="BJ194" s="874"/>
      <c r="BK194" s="874"/>
      <c r="BL194" s="874"/>
      <c r="BM194" s="874"/>
      <c r="BN194" s="874"/>
      <c r="BO194" s="874"/>
      <c r="BP194" s="874"/>
      <c r="BQ194" s="874"/>
      <c r="BR194" s="874"/>
      <c r="BS194" s="875"/>
      <c r="BT194" s="870"/>
      <c r="BU194" s="876">
        <f t="shared" ref="BU194" si="527">SUM(BH194:BS194)</f>
        <v>0</v>
      </c>
      <c r="BV194" s="877">
        <f t="shared" ref="BV194" si="528">IFERROR(ROUND(($K194*BU194+$K194*BT194),2),0)</f>
        <v>0</v>
      </c>
      <c r="BW194" s="873"/>
      <c r="BX194" s="874"/>
      <c r="BY194" s="874"/>
      <c r="BZ194" s="874"/>
      <c r="CA194" s="874"/>
      <c r="CB194" s="874"/>
      <c r="CC194" s="874"/>
      <c r="CD194" s="874"/>
      <c r="CE194" s="874"/>
      <c r="CF194" s="874"/>
      <c r="CG194" s="874"/>
      <c r="CH194" s="875"/>
      <c r="CI194" s="870"/>
      <c r="CJ194" s="876">
        <f t="shared" ref="CJ194" si="529">SUM(BW194:CH194)</f>
        <v>0</v>
      </c>
      <c r="CK194" s="877">
        <f t="shared" ref="CK194" si="530">IFERROR(ROUND(($K194*CJ194+$K194*CI194),2),0)</f>
        <v>0</v>
      </c>
      <c r="CL194" s="878">
        <f t="shared" ref="CL194" si="531">AA194+AP194+L194+BE194+BT194+CI194</f>
        <v>0</v>
      </c>
      <c r="CM194" s="879">
        <f t="shared" ref="CM194" si="532">AB194+AQ194+M194+BF194+BU194+CJ194</f>
        <v>8</v>
      </c>
      <c r="CN194" s="880">
        <f t="shared" ref="CN194" si="533">AC194+AR194+N194+BG194+BV194+CK194</f>
        <v>127440</v>
      </c>
      <c r="CQ194" s="886"/>
    </row>
    <row r="195" spans="1:95" s="866" customFormat="1" ht="22.5" customHeight="1">
      <c r="A195" s="1068"/>
      <c r="B195" s="1049"/>
      <c r="C195" s="1049"/>
      <c r="D195" s="895"/>
      <c r="E195" s="867" t="s">
        <v>107</v>
      </c>
      <c r="F195" s="898"/>
      <c r="G195" s="899" t="s">
        <v>43</v>
      </c>
      <c r="H195" s="899" t="s">
        <v>1453</v>
      </c>
      <c r="I195" s="907" t="s">
        <v>2048</v>
      </c>
      <c r="J195" s="674" t="s">
        <v>1990</v>
      </c>
      <c r="K195" s="883">
        <f>IFERROR(VLOOKUP(H195,справочник!$A$3:$B$12,2,0),"нет данных")</f>
        <v>21520</v>
      </c>
      <c r="L195" s="870"/>
      <c r="M195" s="885"/>
      <c r="N195" s="881">
        <f t="shared" ref="N195" si="534">IFERROR(ROUND((K195*M195+K195*L195),2),0)</f>
        <v>0</v>
      </c>
      <c r="O195" s="884"/>
      <c r="P195" s="882"/>
      <c r="Q195" s="882"/>
      <c r="R195" s="882"/>
      <c r="S195" s="882"/>
      <c r="T195" s="882"/>
      <c r="U195" s="868"/>
      <c r="V195" s="868"/>
      <c r="W195" s="868"/>
      <c r="X195" s="868"/>
      <c r="Y195" s="868"/>
      <c r="Z195" s="869"/>
      <c r="AA195" s="870"/>
      <c r="AB195" s="871">
        <f t="shared" ref="AB195" si="535">SUM(O195:Z195)</f>
        <v>0</v>
      </c>
      <c r="AC195" s="872">
        <f t="shared" ref="AC195" si="536">IFERROR(ROUND(($K195*AB195+$K195*AA195),2),0)</f>
        <v>0</v>
      </c>
      <c r="AD195" s="918"/>
      <c r="AE195" s="919"/>
      <c r="AF195" s="919"/>
      <c r="AG195" s="919"/>
      <c r="AH195" s="919"/>
      <c r="AI195" s="919"/>
      <c r="AJ195" s="919"/>
      <c r="AK195" s="919"/>
      <c r="AL195" s="919"/>
      <c r="AM195" s="919"/>
      <c r="AN195" s="919"/>
      <c r="AO195" s="920"/>
      <c r="AP195" s="917"/>
      <c r="AQ195" s="876">
        <f t="shared" ref="AQ195" si="537">SUM(AD195:AO195)</f>
        <v>0</v>
      </c>
      <c r="AR195" s="877">
        <f t="shared" ref="AR195" si="538">IFERROR(ROUND(($K195*AQ195+$K195*AP195),2),0)</f>
        <v>0</v>
      </c>
      <c r="AS195" s="939"/>
      <c r="AT195" s="940"/>
      <c r="AU195" s="945">
        <v>5</v>
      </c>
      <c r="AV195" s="945">
        <v>5</v>
      </c>
      <c r="AW195" s="940"/>
      <c r="AX195" s="940"/>
      <c r="AY195" s="946">
        <v>5</v>
      </c>
      <c r="AZ195" s="946">
        <v>5</v>
      </c>
      <c r="BA195" s="940"/>
      <c r="BB195" s="940"/>
      <c r="BC195" s="940"/>
      <c r="BD195" s="941"/>
      <c r="BE195" s="938"/>
      <c r="BF195" s="876">
        <f t="shared" ref="BF195" si="539">SUM(AS195:BD195)</f>
        <v>20</v>
      </c>
      <c r="BG195" s="877">
        <f t="shared" ref="BG195" si="540">IFERROR(ROUND(($K195*BF195+$K195*BE195),2),0)</f>
        <v>430400</v>
      </c>
      <c r="BH195" s="873"/>
      <c r="BI195" s="874"/>
      <c r="BJ195" s="874"/>
      <c r="BK195" s="874"/>
      <c r="BL195" s="874"/>
      <c r="BM195" s="874"/>
      <c r="BN195" s="874"/>
      <c r="BO195" s="874"/>
      <c r="BP195" s="874"/>
      <c r="BQ195" s="874"/>
      <c r="BR195" s="874"/>
      <c r="BS195" s="875"/>
      <c r="BT195" s="870"/>
      <c r="BU195" s="876">
        <f t="shared" ref="BU195" si="541">SUM(BH195:BS195)</f>
        <v>0</v>
      </c>
      <c r="BV195" s="877">
        <f t="shared" ref="BV195" si="542">IFERROR(ROUND(($K195*BU195+$K195*BT195),2),0)</f>
        <v>0</v>
      </c>
      <c r="BW195" s="873"/>
      <c r="BX195" s="874"/>
      <c r="BY195" s="874"/>
      <c r="BZ195" s="874"/>
      <c r="CA195" s="874"/>
      <c r="CB195" s="874"/>
      <c r="CC195" s="874"/>
      <c r="CD195" s="874"/>
      <c r="CE195" s="874"/>
      <c r="CF195" s="874"/>
      <c r="CG195" s="874"/>
      <c r="CH195" s="875"/>
      <c r="CI195" s="870"/>
      <c r="CJ195" s="876">
        <f t="shared" ref="CJ195" si="543">SUM(BW195:CH195)</f>
        <v>0</v>
      </c>
      <c r="CK195" s="877">
        <f t="shared" ref="CK195" si="544">IFERROR(ROUND(($K195*CJ195+$K195*CI195),2),0)</f>
        <v>0</v>
      </c>
      <c r="CL195" s="878">
        <f t="shared" ref="CL195" si="545">AA195+AP195+L195+BE195+BT195+CI195</f>
        <v>0</v>
      </c>
      <c r="CM195" s="879">
        <f t="shared" ref="CM195" si="546">AB195+AQ195+M195+BF195+BU195+CJ195</f>
        <v>20</v>
      </c>
      <c r="CN195" s="880">
        <f t="shared" ref="CN195" si="547">AC195+AR195+N195+BG195+BV195+CK195</f>
        <v>430400</v>
      </c>
      <c r="CQ195" s="886"/>
    </row>
    <row r="196" spans="1:95" s="866" customFormat="1" ht="22.5" customHeight="1">
      <c r="A196" s="1068"/>
      <c r="B196" s="1049"/>
      <c r="C196" s="1049"/>
      <c r="D196" s="895"/>
      <c r="E196" s="867" t="s">
        <v>107</v>
      </c>
      <c r="F196" s="898"/>
      <c r="G196" s="899" t="s">
        <v>1625</v>
      </c>
      <c r="H196" s="899" t="s">
        <v>58</v>
      </c>
      <c r="I196" s="902" t="s">
        <v>2054</v>
      </c>
      <c r="J196" s="674" t="s">
        <v>1990</v>
      </c>
      <c r="K196" s="883">
        <f>IFERROR(VLOOKUP(H196,справочник!$A$3:$B$12,2,0),"нет данных")</f>
        <v>6980</v>
      </c>
      <c r="L196" s="870"/>
      <c r="M196" s="885"/>
      <c r="N196" s="881">
        <f t="shared" ref="N196" si="548">IFERROR(ROUND((K196*M196+K196*L196),2),0)</f>
        <v>0</v>
      </c>
      <c r="O196" s="884"/>
      <c r="P196" s="882"/>
      <c r="Q196" s="882"/>
      <c r="R196" s="882"/>
      <c r="S196" s="882"/>
      <c r="T196" s="882"/>
      <c r="U196" s="868"/>
      <c r="V196" s="868"/>
      <c r="W196" s="868"/>
      <c r="X196" s="868"/>
      <c r="Y196" s="868"/>
      <c r="Z196" s="869"/>
      <c r="AA196" s="870"/>
      <c r="AB196" s="871">
        <f t="shared" ref="AB196" si="549">SUM(O196:Z196)</f>
        <v>0</v>
      </c>
      <c r="AC196" s="872">
        <f t="shared" ref="AC196" si="550">IFERROR(ROUND(($K196*AB196+$K196*AA196),2),0)</f>
        <v>0</v>
      </c>
      <c r="AD196" s="918"/>
      <c r="AE196" s="919"/>
      <c r="AF196" s="919"/>
      <c r="AG196" s="919"/>
      <c r="AH196" s="919"/>
      <c r="AI196" s="919"/>
      <c r="AJ196" s="919"/>
      <c r="AK196" s="919"/>
      <c r="AL196" s="919"/>
      <c r="AM196" s="919"/>
      <c r="AN196" s="919"/>
      <c r="AO196" s="920"/>
      <c r="AP196" s="917"/>
      <c r="AQ196" s="876">
        <f t="shared" ref="AQ196" si="551">SUM(AD196:AO196)</f>
        <v>0</v>
      </c>
      <c r="AR196" s="877">
        <f t="shared" ref="AR196" si="552">IFERROR(ROUND(($K196*AQ196+$K196*AP196),2),0)</f>
        <v>0</v>
      </c>
      <c r="AS196" s="939"/>
      <c r="AT196" s="940"/>
      <c r="AU196" s="945">
        <v>5</v>
      </c>
      <c r="AV196" s="945">
        <v>5</v>
      </c>
      <c r="AW196" s="945">
        <v>5</v>
      </c>
      <c r="AX196" s="945">
        <v>5</v>
      </c>
      <c r="AY196" s="940"/>
      <c r="AZ196" s="940"/>
      <c r="BA196" s="940"/>
      <c r="BB196" s="940"/>
      <c r="BC196" s="940"/>
      <c r="BD196" s="941"/>
      <c r="BE196" s="938"/>
      <c r="BF196" s="876">
        <f t="shared" ref="BF196" si="553">SUM(AS196:BD196)</f>
        <v>20</v>
      </c>
      <c r="BG196" s="877">
        <f t="shared" ref="BG196" si="554">IFERROR(ROUND(($K196*BF196+$K196*BE196),2),0)</f>
        <v>139600</v>
      </c>
      <c r="BH196" s="873"/>
      <c r="BI196" s="874"/>
      <c r="BJ196" s="874"/>
      <c r="BK196" s="874"/>
      <c r="BL196" s="874"/>
      <c r="BM196" s="874"/>
      <c r="BN196" s="874"/>
      <c r="BO196" s="874"/>
      <c r="BP196" s="874"/>
      <c r="BQ196" s="874"/>
      <c r="BR196" s="874"/>
      <c r="BS196" s="875"/>
      <c r="BT196" s="870"/>
      <c r="BU196" s="876">
        <f t="shared" ref="BU196" si="555">SUM(BH196:BS196)</f>
        <v>0</v>
      </c>
      <c r="BV196" s="877">
        <f t="shared" ref="BV196" si="556">IFERROR(ROUND(($K196*BU196+$K196*BT196),2),0)</f>
        <v>0</v>
      </c>
      <c r="BW196" s="873"/>
      <c r="BX196" s="874"/>
      <c r="BY196" s="874"/>
      <c r="BZ196" s="874"/>
      <c r="CA196" s="874"/>
      <c r="CB196" s="874"/>
      <c r="CC196" s="874"/>
      <c r="CD196" s="874"/>
      <c r="CE196" s="874"/>
      <c r="CF196" s="874"/>
      <c r="CG196" s="874"/>
      <c r="CH196" s="875"/>
      <c r="CI196" s="870"/>
      <c r="CJ196" s="876">
        <f t="shared" ref="CJ196" si="557">SUM(BW196:CH196)</f>
        <v>0</v>
      </c>
      <c r="CK196" s="877">
        <f t="shared" ref="CK196" si="558">IFERROR(ROUND(($K196*CJ196+$K196*CI196),2),0)</f>
        <v>0</v>
      </c>
      <c r="CL196" s="878">
        <f t="shared" ref="CL196" si="559">AA196+AP196+L196+BE196+BT196+CI196</f>
        <v>0</v>
      </c>
      <c r="CM196" s="879">
        <f t="shared" ref="CM196" si="560">AB196+AQ196+M196+BF196+BU196+CJ196</f>
        <v>20</v>
      </c>
      <c r="CN196" s="880">
        <f t="shared" ref="CN196" si="561">AC196+AR196+N196+BG196+BV196+CK196</f>
        <v>139600</v>
      </c>
      <c r="CQ196" s="886"/>
    </row>
    <row r="197" spans="1:95" s="866" customFormat="1" ht="22.5" customHeight="1">
      <c r="A197" s="1068"/>
      <c r="B197" s="1049"/>
      <c r="C197" s="1049"/>
      <c r="D197" s="895"/>
      <c r="E197" s="867" t="s">
        <v>107</v>
      </c>
      <c r="F197" s="898"/>
      <c r="G197" s="899" t="s">
        <v>1625</v>
      </c>
      <c r="H197" s="899" t="s">
        <v>58</v>
      </c>
      <c r="I197" s="902" t="s">
        <v>2055</v>
      </c>
      <c r="J197" s="674" t="s">
        <v>1990</v>
      </c>
      <c r="K197" s="883">
        <f>IFERROR(VLOOKUP(H197,справочник!$A$3:$B$12,2,0),"нет данных")</f>
        <v>6980</v>
      </c>
      <c r="L197" s="870"/>
      <c r="M197" s="885"/>
      <c r="N197" s="881">
        <f t="shared" ref="N197" si="562">IFERROR(ROUND((K197*M197+K197*L197),2),0)</f>
        <v>0</v>
      </c>
      <c r="O197" s="884"/>
      <c r="P197" s="882"/>
      <c r="Q197" s="882"/>
      <c r="R197" s="882"/>
      <c r="S197" s="882"/>
      <c r="T197" s="882"/>
      <c r="U197" s="868"/>
      <c r="V197" s="868"/>
      <c r="W197" s="868"/>
      <c r="X197" s="868"/>
      <c r="Y197" s="868"/>
      <c r="Z197" s="869"/>
      <c r="AA197" s="870"/>
      <c r="AB197" s="871">
        <f t="shared" ref="AB197" si="563">SUM(O197:Z197)</f>
        <v>0</v>
      </c>
      <c r="AC197" s="872">
        <f t="shared" ref="AC197" si="564">IFERROR(ROUND(($K197*AB197+$K197*AA197),2),0)</f>
        <v>0</v>
      </c>
      <c r="AD197" s="918"/>
      <c r="AE197" s="919"/>
      <c r="AF197" s="919"/>
      <c r="AG197" s="919"/>
      <c r="AH197" s="919"/>
      <c r="AI197" s="919"/>
      <c r="AJ197" s="919"/>
      <c r="AK197" s="919"/>
      <c r="AL197" s="919"/>
      <c r="AM197" s="919"/>
      <c r="AN197" s="919"/>
      <c r="AO197" s="920"/>
      <c r="AP197" s="917"/>
      <c r="AQ197" s="876">
        <f t="shared" ref="AQ197" si="565">SUM(AD197:AO197)</f>
        <v>0</v>
      </c>
      <c r="AR197" s="877">
        <f t="shared" ref="AR197" si="566">IFERROR(ROUND(($K197*AQ197+$K197*AP197),2),0)</f>
        <v>0</v>
      </c>
      <c r="AS197" s="939"/>
      <c r="AT197" s="940"/>
      <c r="AU197" s="945">
        <v>5</v>
      </c>
      <c r="AV197" s="945">
        <v>5</v>
      </c>
      <c r="AW197" s="945">
        <v>5</v>
      </c>
      <c r="AX197" s="945">
        <v>5</v>
      </c>
      <c r="AY197" s="940"/>
      <c r="AZ197" s="940"/>
      <c r="BA197" s="940"/>
      <c r="BB197" s="940"/>
      <c r="BC197" s="940"/>
      <c r="BD197" s="941"/>
      <c r="BE197" s="938"/>
      <c r="BF197" s="876">
        <f t="shared" ref="BF197" si="567">SUM(AS197:BD197)</f>
        <v>20</v>
      </c>
      <c r="BG197" s="877">
        <f t="shared" ref="BG197" si="568">IFERROR(ROUND(($K197*BF197+$K197*BE197),2),0)</f>
        <v>139600</v>
      </c>
      <c r="BH197" s="873"/>
      <c r="BI197" s="874"/>
      <c r="BJ197" s="874"/>
      <c r="BK197" s="874"/>
      <c r="BL197" s="874"/>
      <c r="BM197" s="874"/>
      <c r="BN197" s="874"/>
      <c r="BO197" s="874"/>
      <c r="BP197" s="874"/>
      <c r="BQ197" s="874"/>
      <c r="BR197" s="874"/>
      <c r="BS197" s="875"/>
      <c r="BT197" s="870"/>
      <c r="BU197" s="876">
        <f t="shared" ref="BU197" si="569">SUM(BH197:BS197)</f>
        <v>0</v>
      </c>
      <c r="BV197" s="877">
        <f t="shared" ref="BV197" si="570">IFERROR(ROUND(($K197*BU197+$K197*BT197),2),0)</f>
        <v>0</v>
      </c>
      <c r="BW197" s="873"/>
      <c r="BX197" s="874"/>
      <c r="BY197" s="874"/>
      <c r="BZ197" s="874"/>
      <c r="CA197" s="874"/>
      <c r="CB197" s="874"/>
      <c r="CC197" s="874"/>
      <c r="CD197" s="874"/>
      <c r="CE197" s="874"/>
      <c r="CF197" s="874"/>
      <c r="CG197" s="874"/>
      <c r="CH197" s="875"/>
      <c r="CI197" s="870"/>
      <c r="CJ197" s="876">
        <f t="shared" ref="CJ197" si="571">SUM(BW197:CH197)</f>
        <v>0</v>
      </c>
      <c r="CK197" s="877">
        <f t="shared" ref="CK197" si="572">IFERROR(ROUND(($K197*CJ197+$K197*CI197),2),0)</f>
        <v>0</v>
      </c>
      <c r="CL197" s="878">
        <f t="shared" ref="CL197" si="573">AA197+AP197+L197+BE197+BT197+CI197</f>
        <v>0</v>
      </c>
      <c r="CM197" s="879">
        <f t="shared" ref="CM197" si="574">AB197+AQ197+M197+BF197+BU197+CJ197</f>
        <v>20</v>
      </c>
      <c r="CN197" s="880">
        <f t="shared" ref="CN197" si="575">AC197+AR197+N197+BG197+BV197+CK197</f>
        <v>139600</v>
      </c>
      <c r="CQ197" s="886"/>
    </row>
    <row r="198" spans="1:95" s="33" customFormat="1" ht="22.5" customHeight="1">
      <c r="A198" s="1052"/>
      <c r="B198" s="1050"/>
      <c r="C198" s="1050"/>
      <c r="D198" s="895"/>
      <c r="E198" s="125" t="s">
        <v>107</v>
      </c>
      <c r="F198" s="898"/>
      <c r="G198" s="899" t="s">
        <v>42</v>
      </c>
      <c r="H198" s="899" t="s">
        <v>1453</v>
      </c>
      <c r="I198" s="907" t="s">
        <v>2048</v>
      </c>
      <c r="J198" s="674" t="s">
        <v>1990</v>
      </c>
      <c r="K198" s="374">
        <f>IFERROR(VLOOKUP(H198,справочник!$A$3:$B$12,2,0),"нет данных")</f>
        <v>21520</v>
      </c>
      <c r="L198" s="326"/>
      <c r="M198" s="399"/>
      <c r="N198" s="346">
        <f t="shared" si="450"/>
        <v>0</v>
      </c>
      <c r="O198" s="394"/>
      <c r="P198" s="352"/>
      <c r="Q198" s="352"/>
      <c r="R198" s="352"/>
      <c r="S198" s="352"/>
      <c r="T198" s="352"/>
      <c r="U198" s="324"/>
      <c r="V198" s="324"/>
      <c r="W198" s="324"/>
      <c r="X198" s="324"/>
      <c r="Y198" s="324"/>
      <c r="Z198" s="325"/>
      <c r="AA198" s="326"/>
      <c r="AB198" s="327">
        <f t="shared" si="462"/>
        <v>0</v>
      </c>
      <c r="AC198" s="328">
        <f t="shared" si="451"/>
        <v>0</v>
      </c>
      <c r="AD198" s="918"/>
      <c r="AE198" s="919"/>
      <c r="AF198" s="919"/>
      <c r="AG198" s="919"/>
      <c r="AH198" s="919"/>
      <c r="AI198" s="919"/>
      <c r="AJ198" s="919"/>
      <c r="AK198" s="919"/>
      <c r="AL198" s="919"/>
      <c r="AM198" s="919"/>
      <c r="AN198" s="919"/>
      <c r="AO198" s="920"/>
      <c r="AP198" s="917"/>
      <c r="AQ198" s="332">
        <f t="shared" si="463"/>
        <v>0</v>
      </c>
      <c r="AR198" s="333">
        <f t="shared" si="452"/>
        <v>0</v>
      </c>
      <c r="AS198" s="939"/>
      <c r="AT198" s="940"/>
      <c r="AU198" s="945">
        <v>5</v>
      </c>
      <c r="AV198" s="945">
        <v>5</v>
      </c>
      <c r="AW198" s="940"/>
      <c r="AX198" s="940"/>
      <c r="AY198" s="946">
        <v>5</v>
      </c>
      <c r="AZ198" s="940"/>
      <c r="BA198" s="940"/>
      <c r="BB198" s="946">
        <v>5</v>
      </c>
      <c r="BC198" s="940"/>
      <c r="BD198" s="941"/>
      <c r="BE198" s="938"/>
      <c r="BF198" s="332">
        <f t="shared" si="453"/>
        <v>20</v>
      </c>
      <c r="BG198" s="333">
        <f t="shared" si="454"/>
        <v>430400</v>
      </c>
      <c r="BH198" s="329"/>
      <c r="BI198" s="330"/>
      <c r="BJ198" s="330"/>
      <c r="BK198" s="330"/>
      <c r="BL198" s="330"/>
      <c r="BM198" s="330"/>
      <c r="BN198" s="330"/>
      <c r="BO198" s="330"/>
      <c r="BP198" s="330"/>
      <c r="BQ198" s="330"/>
      <c r="BR198" s="330"/>
      <c r="BS198" s="331"/>
      <c r="BT198" s="326"/>
      <c r="BU198" s="332">
        <f t="shared" si="455"/>
        <v>0</v>
      </c>
      <c r="BV198" s="333">
        <f t="shared" si="456"/>
        <v>0</v>
      </c>
      <c r="BW198" s="329"/>
      <c r="BX198" s="330"/>
      <c r="BY198" s="330"/>
      <c r="BZ198" s="330"/>
      <c r="CA198" s="330"/>
      <c r="CB198" s="330"/>
      <c r="CC198" s="330"/>
      <c r="CD198" s="330"/>
      <c r="CE198" s="330"/>
      <c r="CF198" s="330"/>
      <c r="CG198" s="330"/>
      <c r="CH198" s="331"/>
      <c r="CI198" s="326"/>
      <c r="CJ198" s="332">
        <f t="shared" si="457"/>
        <v>0</v>
      </c>
      <c r="CK198" s="333">
        <f t="shared" si="458"/>
        <v>0</v>
      </c>
      <c r="CL198" s="334">
        <f t="shared" si="459"/>
        <v>0</v>
      </c>
      <c r="CM198" s="335">
        <f t="shared" si="460"/>
        <v>20</v>
      </c>
      <c r="CN198" s="336">
        <f t="shared" si="461"/>
        <v>430400</v>
      </c>
      <c r="CQ198" s="480"/>
    </row>
    <row r="199" spans="1:95" s="33" customFormat="1" ht="22.5" customHeight="1">
      <c r="A199" s="1051" t="s">
        <v>156</v>
      </c>
      <c r="B199" s="1048" t="s">
        <v>1592</v>
      </c>
      <c r="C199" s="1048" t="s">
        <v>1606</v>
      </c>
      <c r="D199" s="895"/>
      <c r="E199" s="125" t="s">
        <v>107</v>
      </c>
      <c r="F199" s="898"/>
      <c r="G199" s="899" t="s">
        <v>43</v>
      </c>
      <c r="H199" s="899" t="s">
        <v>61</v>
      </c>
      <c r="I199" s="902" t="s">
        <v>2052</v>
      </c>
      <c r="J199" s="674" t="s">
        <v>1990</v>
      </c>
      <c r="K199" s="374">
        <f>IFERROR(VLOOKUP(H199,справочник!$A$3:$B$12,2,0),"нет данных")</f>
        <v>15930</v>
      </c>
      <c r="L199" s="326"/>
      <c r="M199" s="399"/>
      <c r="N199" s="346">
        <f t="shared" si="450"/>
        <v>0</v>
      </c>
      <c r="O199" s="394"/>
      <c r="P199" s="352"/>
      <c r="Q199" s="352"/>
      <c r="R199" s="352"/>
      <c r="S199" s="352"/>
      <c r="T199" s="352"/>
      <c r="U199" s="324"/>
      <c r="V199" s="324"/>
      <c r="W199" s="324"/>
      <c r="X199" s="324"/>
      <c r="Y199" s="324"/>
      <c r="Z199" s="325"/>
      <c r="AA199" s="326"/>
      <c r="AB199" s="327">
        <f t="shared" si="462"/>
        <v>0</v>
      </c>
      <c r="AC199" s="328">
        <f t="shared" si="451"/>
        <v>0</v>
      </c>
      <c r="AD199" s="918"/>
      <c r="AE199" s="919"/>
      <c r="AF199" s="919"/>
      <c r="AG199" s="919"/>
      <c r="AH199" s="919"/>
      <c r="AI199" s="919"/>
      <c r="AJ199" s="919"/>
      <c r="AK199" s="919"/>
      <c r="AL199" s="919"/>
      <c r="AM199" s="919"/>
      <c r="AN199" s="919"/>
      <c r="AO199" s="920"/>
      <c r="AP199" s="917"/>
      <c r="AQ199" s="332">
        <f t="shared" si="463"/>
        <v>0</v>
      </c>
      <c r="AR199" s="333">
        <f t="shared" si="452"/>
        <v>0</v>
      </c>
      <c r="AS199" s="939"/>
      <c r="AT199" s="940"/>
      <c r="AU199" s="940"/>
      <c r="AV199" s="940"/>
      <c r="AW199" s="940"/>
      <c r="AX199" s="940"/>
      <c r="AY199" s="940"/>
      <c r="AZ199" s="940"/>
      <c r="BA199" s="946">
        <v>10</v>
      </c>
      <c r="BB199" s="946">
        <v>5</v>
      </c>
      <c r="BC199" s="940"/>
      <c r="BD199" s="941"/>
      <c r="BE199" s="938"/>
      <c r="BF199" s="332">
        <f t="shared" si="453"/>
        <v>15</v>
      </c>
      <c r="BG199" s="333">
        <f t="shared" si="454"/>
        <v>238950</v>
      </c>
      <c r="BH199" s="329"/>
      <c r="BI199" s="330"/>
      <c r="BJ199" s="330"/>
      <c r="BK199" s="330"/>
      <c r="BL199" s="330"/>
      <c r="BM199" s="330"/>
      <c r="BN199" s="330"/>
      <c r="BO199" s="330"/>
      <c r="BP199" s="330"/>
      <c r="BQ199" s="330"/>
      <c r="BR199" s="330"/>
      <c r="BS199" s="331"/>
      <c r="BT199" s="326"/>
      <c r="BU199" s="332">
        <f t="shared" si="455"/>
        <v>0</v>
      </c>
      <c r="BV199" s="333">
        <f t="shared" si="456"/>
        <v>0</v>
      </c>
      <c r="BW199" s="329"/>
      <c r="BX199" s="330"/>
      <c r="BY199" s="330"/>
      <c r="BZ199" s="330"/>
      <c r="CA199" s="330"/>
      <c r="CB199" s="330"/>
      <c r="CC199" s="330"/>
      <c r="CD199" s="330"/>
      <c r="CE199" s="330"/>
      <c r="CF199" s="330"/>
      <c r="CG199" s="330"/>
      <c r="CH199" s="331"/>
      <c r="CI199" s="326"/>
      <c r="CJ199" s="332">
        <f t="shared" si="457"/>
        <v>0</v>
      </c>
      <c r="CK199" s="333">
        <f t="shared" si="458"/>
        <v>0</v>
      </c>
      <c r="CL199" s="334">
        <f t="shared" si="459"/>
        <v>0</v>
      </c>
      <c r="CM199" s="335">
        <f t="shared" si="460"/>
        <v>15</v>
      </c>
      <c r="CN199" s="336">
        <f t="shared" si="461"/>
        <v>238950</v>
      </c>
      <c r="CQ199" s="480"/>
    </row>
    <row r="200" spans="1:95" s="866" customFormat="1" ht="22.5" customHeight="1">
      <c r="A200" s="1068"/>
      <c r="B200" s="1049"/>
      <c r="C200" s="1049"/>
      <c r="D200" s="895"/>
      <c r="E200" s="867" t="s">
        <v>107</v>
      </c>
      <c r="F200" s="898"/>
      <c r="G200" s="910" t="s">
        <v>43</v>
      </c>
      <c r="H200" s="910" t="s">
        <v>61</v>
      </c>
      <c r="I200" s="909" t="s">
        <v>2053</v>
      </c>
      <c r="J200" s="674" t="s">
        <v>1990</v>
      </c>
      <c r="K200" s="883">
        <f>IFERROR(VLOOKUP(H200,справочник!$A$3:$B$12,2,0),"нет данных")</f>
        <v>15930</v>
      </c>
      <c r="L200" s="870"/>
      <c r="M200" s="885"/>
      <c r="N200" s="881">
        <f t="shared" ref="N200" si="576">IFERROR(ROUND((K200*M200+K200*L200),2),0)</f>
        <v>0</v>
      </c>
      <c r="O200" s="884"/>
      <c r="P200" s="882"/>
      <c r="Q200" s="882"/>
      <c r="R200" s="882"/>
      <c r="S200" s="882"/>
      <c r="T200" s="882"/>
      <c r="U200" s="868"/>
      <c r="V200" s="868"/>
      <c r="W200" s="868"/>
      <c r="X200" s="868"/>
      <c r="Y200" s="868"/>
      <c r="Z200" s="869"/>
      <c r="AA200" s="870"/>
      <c r="AB200" s="871">
        <f t="shared" ref="AB200" si="577">SUM(O200:Z200)</f>
        <v>0</v>
      </c>
      <c r="AC200" s="872">
        <f t="shared" ref="AC200" si="578">IFERROR(ROUND(($K200*AB200+$K200*AA200),2),0)</f>
        <v>0</v>
      </c>
      <c r="AD200" s="918"/>
      <c r="AE200" s="919"/>
      <c r="AF200" s="919"/>
      <c r="AG200" s="919"/>
      <c r="AH200" s="919"/>
      <c r="AI200" s="919"/>
      <c r="AJ200" s="919"/>
      <c r="AK200" s="919"/>
      <c r="AL200" s="919"/>
      <c r="AM200" s="919"/>
      <c r="AN200" s="919"/>
      <c r="AO200" s="920"/>
      <c r="AP200" s="917"/>
      <c r="AQ200" s="876">
        <f t="shared" ref="AQ200" si="579">SUM(AD200:AO200)</f>
        <v>0</v>
      </c>
      <c r="AR200" s="877">
        <f t="shared" ref="AR200" si="580">IFERROR(ROUND(($K200*AQ200+$K200*AP200),2),0)</f>
        <v>0</v>
      </c>
      <c r="AS200" s="939"/>
      <c r="AT200" s="940"/>
      <c r="AU200" s="940"/>
      <c r="AV200" s="940"/>
      <c r="AW200" s="940"/>
      <c r="AX200" s="940"/>
      <c r="AY200" s="940"/>
      <c r="AZ200" s="940"/>
      <c r="BA200" s="946">
        <v>10</v>
      </c>
      <c r="BB200" s="946">
        <v>5</v>
      </c>
      <c r="BC200" s="940"/>
      <c r="BD200" s="941"/>
      <c r="BE200" s="938"/>
      <c r="BF200" s="876">
        <f t="shared" ref="BF200" si="581">SUM(AS200:BD200)</f>
        <v>15</v>
      </c>
      <c r="BG200" s="877">
        <f t="shared" ref="BG200" si="582">IFERROR(ROUND(($K200*BF200+$K200*BE200),2),0)</f>
        <v>238950</v>
      </c>
      <c r="BH200" s="873"/>
      <c r="BI200" s="874"/>
      <c r="BJ200" s="874"/>
      <c r="BK200" s="874"/>
      <c r="BL200" s="874"/>
      <c r="BM200" s="874"/>
      <c r="BN200" s="874"/>
      <c r="BO200" s="874"/>
      <c r="BP200" s="874"/>
      <c r="BQ200" s="874"/>
      <c r="BR200" s="874"/>
      <c r="BS200" s="875"/>
      <c r="BT200" s="870"/>
      <c r="BU200" s="876">
        <f t="shared" ref="BU200" si="583">SUM(BH200:BS200)</f>
        <v>0</v>
      </c>
      <c r="BV200" s="877">
        <f t="shared" ref="BV200" si="584">IFERROR(ROUND(($K200*BU200+$K200*BT200),2),0)</f>
        <v>0</v>
      </c>
      <c r="BW200" s="873"/>
      <c r="BX200" s="874"/>
      <c r="BY200" s="874"/>
      <c r="BZ200" s="874"/>
      <c r="CA200" s="874"/>
      <c r="CB200" s="874"/>
      <c r="CC200" s="874"/>
      <c r="CD200" s="874"/>
      <c r="CE200" s="874"/>
      <c r="CF200" s="874"/>
      <c r="CG200" s="874"/>
      <c r="CH200" s="875"/>
      <c r="CI200" s="870"/>
      <c r="CJ200" s="876">
        <f t="shared" ref="CJ200" si="585">SUM(BW200:CH200)</f>
        <v>0</v>
      </c>
      <c r="CK200" s="877">
        <f t="shared" ref="CK200" si="586">IFERROR(ROUND(($K200*CJ200+$K200*CI200),2),0)</f>
        <v>0</v>
      </c>
      <c r="CL200" s="878">
        <f t="shared" ref="CL200" si="587">AA200+AP200+L200+BE200+BT200+CI200</f>
        <v>0</v>
      </c>
      <c r="CM200" s="879">
        <f t="shared" ref="CM200" si="588">AB200+AQ200+M200+BF200+BU200+CJ200</f>
        <v>15</v>
      </c>
      <c r="CN200" s="880">
        <f t="shared" ref="CN200" si="589">AC200+AR200+N200+BG200+BV200+CK200</f>
        <v>238950</v>
      </c>
      <c r="CQ200" s="886"/>
    </row>
    <row r="201" spans="1:95" s="866" customFormat="1" ht="22.5" customHeight="1">
      <c r="A201" s="1068"/>
      <c r="B201" s="1049"/>
      <c r="C201" s="1049"/>
      <c r="D201" s="895"/>
      <c r="E201" s="867" t="s">
        <v>107</v>
      </c>
      <c r="F201" s="898"/>
      <c r="G201" s="899" t="s">
        <v>42</v>
      </c>
      <c r="H201" s="899" t="s">
        <v>1453</v>
      </c>
      <c r="I201" s="907" t="s">
        <v>2048</v>
      </c>
      <c r="J201" s="674" t="s">
        <v>1990</v>
      </c>
      <c r="K201" s="883">
        <f>IFERROR(VLOOKUP(H201,справочник!$A$3:$B$12,2,0),"нет данных")</f>
        <v>21520</v>
      </c>
      <c r="L201" s="870"/>
      <c r="M201" s="885"/>
      <c r="N201" s="881">
        <f t="shared" ref="N201" si="590">IFERROR(ROUND((K201*M201+K201*L201),2),0)</f>
        <v>0</v>
      </c>
      <c r="O201" s="884"/>
      <c r="P201" s="882"/>
      <c r="Q201" s="882"/>
      <c r="R201" s="882"/>
      <c r="S201" s="882"/>
      <c r="T201" s="882"/>
      <c r="U201" s="868"/>
      <c r="V201" s="868"/>
      <c r="W201" s="868"/>
      <c r="X201" s="868"/>
      <c r="Y201" s="868"/>
      <c r="Z201" s="869"/>
      <c r="AA201" s="870"/>
      <c r="AB201" s="871">
        <f t="shared" ref="AB201" si="591">SUM(O201:Z201)</f>
        <v>0</v>
      </c>
      <c r="AC201" s="872">
        <f t="shared" ref="AC201" si="592">IFERROR(ROUND(($K201*AB201+$K201*AA201),2),0)</f>
        <v>0</v>
      </c>
      <c r="AD201" s="918"/>
      <c r="AE201" s="919"/>
      <c r="AF201" s="919"/>
      <c r="AG201" s="919"/>
      <c r="AH201" s="919"/>
      <c r="AI201" s="919"/>
      <c r="AJ201" s="919"/>
      <c r="AK201" s="919"/>
      <c r="AL201" s="919"/>
      <c r="AM201" s="919"/>
      <c r="AN201" s="919"/>
      <c r="AO201" s="920"/>
      <c r="AP201" s="917"/>
      <c r="AQ201" s="876">
        <f t="shared" ref="AQ201" si="593">SUM(AD201:AO201)</f>
        <v>0</v>
      </c>
      <c r="AR201" s="877">
        <f t="shared" ref="AR201" si="594">IFERROR(ROUND(($K201*AQ201+$K201*AP201),2),0)</f>
        <v>0</v>
      </c>
      <c r="AS201" s="939"/>
      <c r="AT201" s="944">
        <v>10</v>
      </c>
      <c r="AU201" s="940"/>
      <c r="AV201" s="940"/>
      <c r="AW201" s="940"/>
      <c r="AX201" s="940"/>
      <c r="AY201" s="940"/>
      <c r="AZ201" s="940"/>
      <c r="BA201" s="940"/>
      <c r="BB201" s="946">
        <v>10</v>
      </c>
      <c r="BC201" s="940"/>
      <c r="BD201" s="941"/>
      <c r="BE201" s="938"/>
      <c r="BF201" s="876">
        <f t="shared" ref="BF201" si="595">SUM(AS201:BD201)</f>
        <v>20</v>
      </c>
      <c r="BG201" s="877">
        <f t="shared" ref="BG201" si="596">IFERROR(ROUND(($K201*BF201+$K201*BE201),2),0)</f>
        <v>430400</v>
      </c>
      <c r="BH201" s="873"/>
      <c r="BI201" s="874"/>
      <c r="BJ201" s="874"/>
      <c r="BK201" s="874"/>
      <c r="BL201" s="874"/>
      <c r="BM201" s="874"/>
      <c r="BN201" s="874"/>
      <c r="BO201" s="874"/>
      <c r="BP201" s="874"/>
      <c r="BQ201" s="874"/>
      <c r="BR201" s="874"/>
      <c r="BS201" s="875"/>
      <c r="BT201" s="870"/>
      <c r="BU201" s="876">
        <f t="shared" ref="BU201" si="597">SUM(BH201:BS201)</f>
        <v>0</v>
      </c>
      <c r="BV201" s="877">
        <f t="shared" ref="BV201" si="598">IFERROR(ROUND(($K201*BU201+$K201*BT201),2),0)</f>
        <v>0</v>
      </c>
      <c r="BW201" s="873"/>
      <c r="BX201" s="874"/>
      <c r="BY201" s="874"/>
      <c r="BZ201" s="874"/>
      <c r="CA201" s="874"/>
      <c r="CB201" s="874"/>
      <c r="CC201" s="874"/>
      <c r="CD201" s="874"/>
      <c r="CE201" s="874"/>
      <c r="CF201" s="874"/>
      <c r="CG201" s="874"/>
      <c r="CH201" s="875"/>
      <c r="CI201" s="870"/>
      <c r="CJ201" s="876">
        <f t="shared" ref="CJ201" si="599">SUM(BW201:CH201)</f>
        <v>0</v>
      </c>
      <c r="CK201" s="877">
        <f t="shared" ref="CK201" si="600">IFERROR(ROUND(($K201*CJ201+$K201*CI201),2),0)</f>
        <v>0</v>
      </c>
      <c r="CL201" s="878">
        <f t="shared" ref="CL201" si="601">AA201+AP201+L201+BE201+BT201+CI201</f>
        <v>0</v>
      </c>
      <c r="CM201" s="879">
        <f t="shared" ref="CM201" si="602">AB201+AQ201+M201+BF201+BU201+CJ201</f>
        <v>20</v>
      </c>
      <c r="CN201" s="880">
        <f t="shared" ref="CN201" si="603">AC201+AR201+N201+BG201+BV201+CK201</f>
        <v>430400</v>
      </c>
      <c r="CQ201" s="886"/>
    </row>
    <row r="202" spans="1:95" s="33" customFormat="1" ht="22.5" customHeight="1">
      <c r="A202" s="1052"/>
      <c r="B202" s="1050"/>
      <c r="C202" s="1050"/>
      <c r="D202" s="895"/>
      <c r="E202" s="125" t="s">
        <v>107</v>
      </c>
      <c r="F202" s="898"/>
      <c r="G202" s="899" t="s">
        <v>40</v>
      </c>
      <c r="H202" s="899" t="s">
        <v>1453</v>
      </c>
      <c r="I202" s="902" t="s">
        <v>2049</v>
      </c>
      <c r="J202" s="674" t="s">
        <v>1990</v>
      </c>
      <c r="K202" s="374">
        <f>IFERROR(VLOOKUP(H202,справочник!$A$3:$B$12,2,0),"нет данных")</f>
        <v>21520</v>
      </c>
      <c r="L202" s="326"/>
      <c r="M202" s="399"/>
      <c r="N202" s="346">
        <f t="shared" si="450"/>
        <v>0</v>
      </c>
      <c r="O202" s="394"/>
      <c r="P202" s="352"/>
      <c r="Q202" s="352"/>
      <c r="R202" s="352"/>
      <c r="S202" s="352"/>
      <c r="T202" s="352"/>
      <c r="U202" s="324"/>
      <c r="V202" s="324"/>
      <c r="W202" s="324"/>
      <c r="X202" s="324"/>
      <c r="Y202" s="324"/>
      <c r="Z202" s="325"/>
      <c r="AA202" s="326"/>
      <c r="AB202" s="327">
        <f t="shared" si="462"/>
        <v>0</v>
      </c>
      <c r="AC202" s="328">
        <f t="shared" si="451"/>
        <v>0</v>
      </c>
      <c r="AD202" s="918"/>
      <c r="AE202" s="919"/>
      <c r="AF202" s="919"/>
      <c r="AG202" s="919"/>
      <c r="AH202" s="919"/>
      <c r="AI202" s="919"/>
      <c r="AJ202" s="919"/>
      <c r="AK202" s="919"/>
      <c r="AL202" s="919"/>
      <c r="AM202" s="919"/>
      <c r="AN202" s="919"/>
      <c r="AO202" s="920"/>
      <c r="AP202" s="917"/>
      <c r="AQ202" s="332">
        <f t="shared" si="463"/>
        <v>0</v>
      </c>
      <c r="AR202" s="333">
        <f t="shared" si="452"/>
        <v>0</v>
      </c>
      <c r="AS202" s="939"/>
      <c r="AT202" s="944">
        <v>5</v>
      </c>
      <c r="AU202" s="940"/>
      <c r="AV202" s="940"/>
      <c r="AW202" s="940"/>
      <c r="AX202" s="940"/>
      <c r="AY202" s="940"/>
      <c r="AZ202" s="940"/>
      <c r="BA202" s="940"/>
      <c r="BB202" s="946">
        <v>10</v>
      </c>
      <c r="BC202" s="940"/>
      <c r="BD202" s="941"/>
      <c r="BE202" s="938"/>
      <c r="BF202" s="332">
        <f t="shared" si="453"/>
        <v>15</v>
      </c>
      <c r="BG202" s="333">
        <f t="shared" si="454"/>
        <v>322800</v>
      </c>
      <c r="BH202" s="329"/>
      <c r="BI202" s="330"/>
      <c r="BJ202" s="330"/>
      <c r="BK202" s="330"/>
      <c r="BL202" s="330"/>
      <c r="BM202" s="330"/>
      <c r="BN202" s="330"/>
      <c r="BO202" s="330"/>
      <c r="BP202" s="330"/>
      <c r="BQ202" s="330"/>
      <c r="BR202" s="330"/>
      <c r="BS202" s="331"/>
      <c r="BT202" s="326"/>
      <c r="BU202" s="332">
        <f t="shared" si="455"/>
        <v>0</v>
      </c>
      <c r="BV202" s="333">
        <f t="shared" si="456"/>
        <v>0</v>
      </c>
      <c r="BW202" s="329"/>
      <c r="BX202" s="330"/>
      <c r="BY202" s="330"/>
      <c r="BZ202" s="330"/>
      <c r="CA202" s="330"/>
      <c r="CB202" s="330"/>
      <c r="CC202" s="330"/>
      <c r="CD202" s="330"/>
      <c r="CE202" s="330"/>
      <c r="CF202" s="330"/>
      <c r="CG202" s="330"/>
      <c r="CH202" s="331"/>
      <c r="CI202" s="326"/>
      <c r="CJ202" s="332">
        <f t="shared" si="457"/>
        <v>0</v>
      </c>
      <c r="CK202" s="333">
        <f t="shared" si="458"/>
        <v>0</v>
      </c>
      <c r="CL202" s="334">
        <f t="shared" si="459"/>
        <v>0</v>
      </c>
      <c r="CM202" s="335">
        <f t="shared" si="460"/>
        <v>15</v>
      </c>
      <c r="CN202" s="336">
        <f t="shared" si="461"/>
        <v>322800</v>
      </c>
      <c r="CQ202" s="480"/>
    </row>
    <row r="203" spans="1:95" s="33" customFormat="1" ht="22.5" customHeight="1">
      <c r="A203" s="1051" t="s">
        <v>157</v>
      </c>
      <c r="B203" s="1048" t="s">
        <v>101</v>
      </c>
      <c r="C203" s="1048" t="s">
        <v>101</v>
      </c>
      <c r="D203" s="895"/>
      <c r="E203" s="125" t="s">
        <v>106</v>
      </c>
      <c r="F203" s="898"/>
      <c r="G203" s="899" t="s">
        <v>1616</v>
      </c>
      <c r="H203" s="899" t="s">
        <v>60</v>
      </c>
      <c r="I203" s="900" t="s">
        <v>2046</v>
      </c>
      <c r="J203" s="674" t="s">
        <v>1990</v>
      </c>
      <c r="K203" s="374">
        <f>IFERROR(VLOOKUP(H203,справочник!$A$3:$B$12,2,0),"нет данных")</f>
        <v>11900</v>
      </c>
      <c r="L203" s="326"/>
      <c r="M203" s="399"/>
      <c r="N203" s="346">
        <f t="shared" si="450"/>
        <v>0</v>
      </c>
      <c r="O203" s="394"/>
      <c r="P203" s="352"/>
      <c r="Q203" s="352"/>
      <c r="R203" s="352"/>
      <c r="S203" s="352"/>
      <c r="T203" s="352"/>
      <c r="U203" s="324"/>
      <c r="V203" s="324"/>
      <c r="W203" s="324"/>
      <c r="X203" s="324"/>
      <c r="Y203" s="324"/>
      <c r="Z203" s="325"/>
      <c r="AA203" s="326"/>
      <c r="AB203" s="327">
        <f t="shared" si="462"/>
        <v>0</v>
      </c>
      <c r="AC203" s="328">
        <f t="shared" si="451"/>
        <v>0</v>
      </c>
      <c r="AD203" s="918"/>
      <c r="AE203" s="919"/>
      <c r="AF203" s="919"/>
      <c r="AG203" s="919"/>
      <c r="AH203" s="919"/>
      <c r="AI203" s="919"/>
      <c r="AJ203" s="919"/>
      <c r="AK203" s="919"/>
      <c r="AL203" s="919"/>
      <c r="AM203" s="919"/>
      <c r="AN203" s="919"/>
      <c r="AO203" s="920"/>
      <c r="AP203" s="917"/>
      <c r="AQ203" s="332">
        <f t="shared" si="463"/>
        <v>0</v>
      </c>
      <c r="AR203" s="333">
        <f t="shared" si="452"/>
        <v>0</v>
      </c>
      <c r="AS203" s="939"/>
      <c r="AT203" s="940"/>
      <c r="AU203" s="940"/>
      <c r="AV203" s="940"/>
      <c r="AW203" s="940"/>
      <c r="AX203" s="940"/>
      <c r="AY203" s="940"/>
      <c r="AZ203" s="940"/>
      <c r="BA203" s="946">
        <v>10</v>
      </c>
      <c r="BB203" s="946">
        <v>3</v>
      </c>
      <c r="BC203" s="940"/>
      <c r="BD203" s="941"/>
      <c r="BE203" s="938"/>
      <c r="BF203" s="332">
        <f t="shared" si="453"/>
        <v>13</v>
      </c>
      <c r="BG203" s="333">
        <f t="shared" si="454"/>
        <v>154700</v>
      </c>
      <c r="BH203" s="329"/>
      <c r="BI203" s="330"/>
      <c r="BJ203" s="330"/>
      <c r="BK203" s="330"/>
      <c r="BL203" s="330"/>
      <c r="BM203" s="330"/>
      <c r="BN203" s="330"/>
      <c r="BO203" s="330"/>
      <c r="BP203" s="330"/>
      <c r="BQ203" s="330"/>
      <c r="BR203" s="330"/>
      <c r="BS203" s="331"/>
      <c r="BT203" s="326"/>
      <c r="BU203" s="332">
        <f t="shared" si="455"/>
        <v>0</v>
      </c>
      <c r="BV203" s="333">
        <f t="shared" si="456"/>
        <v>0</v>
      </c>
      <c r="BW203" s="329"/>
      <c r="BX203" s="330"/>
      <c r="BY203" s="330"/>
      <c r="BZ203" s="330"/>
      <c r="CA203" s="330"/>
      <c r="CB203" s="330"/>
      <c r="CC203" s="330"/>
      <c r="CD203" s="330"/>
      <c r="CE203" s="330"/>
      <c r="CF203" s="330"/>
      <c r="CG203" s="330"/>
      <c r="CH203" s="331"/>
      <c r="CI203" s="326"/>
      <c r="CJ203" s="332">
        <f t="shared" si="457"/>
        <v>0</v>
      </c>
      <c r="CK203" s="333">
        <f t="shared" si="458"/>
        <v>0</v>
      </c>
      <c r="CL203" s="334">
        <f t="shared" si="459"/>
        <v>0</v>
      </c>
      <c r="CM203" s="335">
        <f t="shared" si="460"/>
        <v>13</v>
      </c>
      <c r="CN203" s="336">
        <f t="shared" si="461"/>
        <v>154700</v>
      </c>
      <c r="CQ203" s="480"/>
    </row>
    <row r="204" spans="1:95" s="33" customFormat="1" ht="22.5" customHeight="1">
      <c r="A204" s="1052"/>
      <c r="B204" s="1050"/>
      <c r="C204" s="1050"/>
      <c r="D204" s="895"/>
      <c r="E204" s="125" t="s">
        <v>106</v>
      </c>
      <c r="F204" s="898"/>
      <c r="G204" s="899"/>
      <c r="H204" s="899"/>
      <c r="I204" s="902"/>
      <c r="J204" s="674" t="s">
        <v>1990</v>
      </c>
      <c r="K204" s="374" t="str">
        <f>IFERROR(VLOOKUP(H204,справочник!$A$3:$B$12,2,0),"нет данных")</f>
        <v>нет данных</v>
      </c>
      <c r="L204" s="326"/>
      <c r="M204" s="399"/>
      <c r="N204" s="346">
        <f t="shared" si="450"/>
        <v>0</v>
      </c>
      <c r="O204" s="394"/>
      <c r="P204" s="352"/>
      <c r="Q204" s="352"/>
      <c r="R204" s="352"/>
      <c r="S204" s="352"/>
      <c r="T204" s="352"/>
      <c r="U204" s="324"/>
      <c r="V204" s="324"/>
      <c r="W204" s="324"/>
      <c r="X204" s="324"/>
      <c r="Y204" s="324"/>
      <c r="Z204" s="325"/>
      <c r="AA204" s="326"/>
      <c r="AB204" s="327">
        <f t="shared" si="462"/>
        <v>0</v>
      </c>
      <c r="AC204" s="328">
        <f t="shared" si="451"/>
        <v>0</v>
      </c>
      <c r="AD204" s="918"/>
      <c r="AE204" s="919"/>
      <c r="AF204" s="919"/>
      <c r="AG204" s="919"/>
      <c r="AH204" s="919"/>
      <c r="AI204" s="919"/>
      <c r="AJ204" s="919"/>
      <c r="AK204" s="919"/>
      <c r="AL204" s="919"/>
      <c r="AM204" s="919"/>
      <c r="AN204" s="919"/>
      <c r="AO204" s="920"/>
      <c r="AP204" s="917"/>
      <c r="AQ204" s="332">
        <f t="shared" si="463"/>
        <v>0</v>
      </c>
      <c r="AR204" s="333">
        <f t="shared" si="452"/>
        <v>0</v>
      </c>
      <c r="AS204" s="939"/>
      <c r="AT204" s="940"/>
      <c r="AU204" s="940"/>
      <c r="AV204" s="940"/>
      <c r="AW204" s="940"/>
      <c r="AX204" s="940"/>
      <c r="AY204" s="940"/>
      <c r="AZ204" s="940"/>
      <c r="BA204" s="940"/>
      <c r="BB204" s="940"/>
      <c r="BC204" s="940"/>
      <c r="BD204" s="941"/>
      <c r="BE204" s="938"/>
      <c r="BF204" s="332">
        <f t="shared" si="453"/>
        <v>0</v>
      </c>
      <c r="BG204" s="333">
        <f t="shared" si="454"/>
        <v>0</v>
      </c>
      <c r="BH204" s="329"/>
      <c r="BI204" s="330"/>
      <c r="BJ204" s="330"/>
      <c r="BK204" s="330"/>
      <c r="BL204" s="330"/>
      <c r="BM204" s="330"/>
      <c r="BN204" s="330"/>
      <c r="BO204" s="330"/>
      <c r="BP204" s="330"/>
      <c r="BQ204" s="330"/>
      <c r="BR204" s="330"/>
      <c r="BS204" s="331"/>
      <c r="BT204" s="326"/>
      <c r="BU204" s="332">
        <f t="shared" si="455"/>
        <v>0</v>
      </c>
      <c r="BV204" s="333">
        <f t="shared" si="456"/>
        <v>0</v>
      </c>
      <c r="BW204" s="329"/>
      <c r="BX204" s="330"/>
      <c r="BY204" s="330"/>
      <c r="BZ204" s="330"/>
      <c r="CA204" s="330"/>
      <c r="CB204" s="330"/>
      <c r="CC204" s="330"/>
      <c r="CD204" s="330"/>
      <c r="CE204" s="330"/>
      <c r="CF204" s="330"/>
      <c r="CG204" s="330"/>
      <c r="CH204" s="331"/>
      <c r="CI204" s="326"/>
      <c r="CJ204" s="332">
        <f t="shared" si="457"/>
        <v>0</v>
      </c>
      <c r="CK204" s="333">
        <f t="shared" si="458"/>
        <v>0</v>
      </c>
      <c r="CL204" s="334">
        <f t="shared" si="459"/>
        <v>0</v>
      </c>
      <c r="CM204" s="335">
        <f t="shared" si="460"/>
        <v>0</v>
      </c>
      <c r="CN204" s="336">
        <f t="shared" si="461"/>
        <v>0</v>
      </c>
      <c r="CQ204" s="480"/>
    </row>
    <row r="205" spans="1:95" s="33" customFormat="1" ht="22.5" customHeight="1">
      <c r="A205" s="1051" t="s">
        <v>162</v>
      </c>
      <c r="B205" s="1048" t="s">
        <v>1601</v>
      </c>
      <c r="C205" s="1048" t="s">
        <v>1597</v>
      </c>
      <c r="D205" s="895"/>
      <c r="E205" s="125" t="s">
        <v>106</v>
      </c>
      <c r="F205" s="898"/>
      <c r="G205" s="899" t="s">
        <v>1616</v>
      </c>
      <c r="H205" s="899" t="s">
        <v>60</v>
      </c>
      <c r="I205" s="900" t="s">
        <v>2046</v>
      </c>
      <c r="J205" s="674" t="s">
        <v>1990</v>
      </c>
      <c r="K205" s="374">
        <f>IFERROR(VLOOKUP(H205,справочник!$A$3:$B$12,2,0),"нет данных")</f>
        <v>11900</v>
      </c>
      <c r="L205" s="326"/>
      <c r="M205" s="399"/>
      <c r="N205" s="346">
        <f t="shared" si="450"/>
        <v>0</v>
      </c>
      <c r="O205" s="394"/>
      <c r="P205" s="352"/>
      <c r="Q205" s="352"/>
      <c r="R205" s="352"/>
      <c r="S205" s="352"/>
      <c r="T205" s="352"/>
      <c r="U205" s="324"/>
      <c r="V205" s="324"/>
      <c r="W205" s="324"/>
      <c r="X205" s="324"/>
      <c r="Y205" s="324"/>
      <c r="Z205" s="325"/>
      <c r="AA205" s="326"/>
      <c r="AB205" s="327">
        <f t="shared" si="462"/>
        <v>0</v>
      </c>
      <c r="AC205" s="328">
        <f t="shared" si="451"/>
        <v>0</v>
      </c>
      <c r="AD205" s="918"/>
      <c r="AE205" s="919"/>
      <c r="AF205" s="919"/>
      <c r="AG205" s="919"/>
      <c r="AH205" s="919"/>
      <c r="AI205" s="919"/>
      <c r="AJ205" s="919"/>
      <c r="AK205" s="919"/>
      <c r="AL205" s="919"/>
      <c r="AM205" s="919"/>
      <c r="AN205" s="919"/>
      <c r="AO205" s="920"/>
      <c r="AP205" s="917"/>
      <c r="AQ205" s="332">
        <f t="shared" si="463"/>
        <v>0</v>
      </c>
      <c r="AR205" s="333">
        <f t="shared" si="452"/>
        <v>0</v>
      </c>
      <c r="AS205" s="939"/>
      <c r="AT205" s="940"/>
      <c r="AU205" s="940"/>
      <c r="AV205" s="940"/>
      <c r="AW205" s="940"/>
      <c r="AX205" s="940"/>
      <c r="AY205" s="940"/>
      <c r="AZ205" s="940"/>
      <c r="BA205" s="940"/>
      <c r="BB205" s="946">
        <v>16</v>
      </c>
      <c r="BC205" s="948">
        <v>10</v>
      </c>
      <c r="BD205" s="941"/>
      <c r="BE205" s="938"/>
      <c r="BF205" s="332">
        <f t="shared" si="453"/>
        <v>26</v>
      </c>
      <c r="BG205" s="333">
        <f t="shared" si="454"/>
        <v>309400</v>
      </c>
      <c r="BH205" s="329"/>
      <c r="BI205" s="330"/>
      <c r="BJ205" s="330"/>
      <c r="BK205" s="330"/>
      <c r="BL205" s="330"/>
      <c r="BM205" s="330"/>
      <c r="BN205" s="330"/>
      <c r="BO205" s="330"/>
      <c r="BP205" s="330"/>
      <c r="BQ205" s="330"/>
      <c r="BR205" s="330"/>
      <c r="BS205" s="331"/>
      <c r="BT205" s="326"/>
      <c r="BU205" s="332">
        <f t="shared" si="455"/>
        <v>0</v>
      </c>
      <c r="BV205" s="333">
        <f t="shared" si="456"/>
        <v>0</v>
      </c>
      <c r="BW205" s="329"/>
      <c r="BX205" s="330"/>
      <c r="BY205" s="330"/>
      <c r="BZ205" s="330"/>
      <c r="CA205" s="330"/>
      <c r="CB205" s="330"/>
      <c r="CC205" s="330"/>
      <c r="CD205" s="330"/>
      <c r="CE205" s="330"/>
      <c r="CF205" s="330"/>
      <c r="CG205" s="330"/>
      <c r="CH205" s="331"/>
      <c r="CI205" s="326"/>
      <c r="CJ205" s="332">
        <f t="shared" si="457"/>
        <v>0</v>
      </c>
      <c r="CK205" s="333">
        <f t="shared" si="458"/>
        <v>0</v>
      </c>
      <c r="CL205" s="334">
        <f t="shared" si="459"/>
        <v>0</v>
      </c>
      <c r="CM205" s="335">
        <f t="shared" si="460"/>
        <v>26</v>
      </c>
      <c r="CN205" s="336">
        <f t="shared" si="461"/>
        <v>309400</v>
      </c>
      <c r="CQ205" s="480"/>
    </row>
    <row r="206" spans="1:95" s="866" customFormat="1" ht="22.5" customHeight="1">
      <c r="A206" s="1068"/>
      <c r="B206" s="1049"/>
      <c r="C206" s="1049"/>
      <c r="D206" s="895"/>
      <c r="E206" s="867" t="s">
        <v>106</v>
      </c>
      <c r="F206" s="898"/>
      <c r="G206" s="910" t="s">
        <v>43</v>
      </c>
      <c r="H206" s="910" t="s">
        <v>61</v>
      </c>
      <c r="I206" s="909" t="s">
        <v>2053</v>
      </c>
      <c r="J206" s="674" t="s">
        <v>1990</v>
      </c>
      <c r="K206" s="883">
        <f>IFERROR(VLOOKUP(H206,справочник!$A$3:$B$12,2,0),"нет данных")</f>
        <v>15930</v>
      </c>
      <c r="L206" s="870"/>
      <c r="M206" s="885"/>
      <c r="N206" s="881">
        <f t="shared" ref="N206" si="604">IFERROR(ROUND((K206*M206+K206*L206),2),0)</f>
        <v>0</v>
      </c>
      <c r="O206" s="884"/>
      <c r="P206" s="882"/>
      <c r="Q206" s="882"/>
      <c r="R206" s="882"/>
      <c r="S206" s="882"/>
      <c r="T206" s="882"/>
      <c r="U206" s="868"/>
      <c r="V206" s="868"/>
      <c r="W206" s="868"/>
      <c r="X206" s="868"/>
      <c r="Y206" s="868"/>
      <c r="Z206" s="869"/>
      <c r="AA206" s="870"/>
      <c r="AB206" s="871">
        <f t="shared" ref="AB206" si="605">SUM(O206:Z206)</f>
        <v>0</v>
      </c>
      <c r="AC206" s="872">
        <f t="shared" ref="AC206" si="606">IFERROR(ROUND(($K206*AB206+$K206*AA206),2),0)</f>
        <v>0</v>
      </c>
      <c r="AD206" s="918"/>
      <c r="AE206" s="919"/>
      <c r="AF206" s="919"/>
      <c r="AG206" s="919"/>
      <c r="AH206" s="919"/>
      <c r="AI206" s="919"/>
      <c r="AJ206" s="919"/>
      <c r="AK206" s="919"/>
      <c r="AL206" s="919"/>
      <c r="AM206" s="919"/>
      <c r="AN206" s="919"/>
      <c r="AO206" s="920"/>
      <c r="AP206" s="917"/>
      <c r="AQ206" s="876">
        <f t="shared" ref="AQ206" si="607">SUM(AD206:AO206)</f>
        <v>0</v>
      </c>
      <c r="AR206" s="877">
        <f t="shared" ref="AR206" si="608">IFERROR(ROUND(($K206*AQ206+$K206*AP206),2),0)</f>
        <v>0</v>
      </c>
      <c r="AS206" s="939"/>
      <c r="AT206" s="940"/>
      <c r="AU206" s="940"/>
      <c r="AV206" s="940"/>
      <c r="AW206" s="940"/>
      <c r="AX206" s="940"/>
      <c r="AY206" s="940"/>
      <c r="AZ206" s="940"/>
      <c r="BA206" s="940"/>
      <c r="BB206" s="940"/>
      <c r="BC206" s="948">
        <v>20</v>
      </c>
      <c r="BD206" s="941"/>
      <c r="BE206" s="938"/>
      <c r="BF206" s="876">
        <f t="shared" ref="BF206" si="609">SUM(AS206:BD206)</f>
        <v>20</v>
      </c>
      <c r="BG206" s="877">
        <f t="shared" ref="BG206" si="610">IFERROR(ROUND(($K206*BF206+$K206*BE206),2),0)</f>
        <v>318600</v>
      </c>
      <c r="BH206" s="873"/>
      <c r="BI206" s="874"/>
      <c r="BJ206" s="874"/>
      <c r="BK206" s="874"/>
      <c r="BL206" s="874"/>
      <c r="BM206" s="874"/>
      <c r="BN206" s="874"/>
      <c r="BO206" s="874"/>
      <c r="BP206" s="874"/>
      <c r="BQ206" s="874"/>
      <c r="BR206" s="874"/>
      <c r="BS206" s="875"/>
      <c r="BT206" s="870"/>
      <c r="BU206" s="876">
        <f t="shared" ref="BU206" si="611">SUM(BH206:BS206)</f>
        <v>0</v>
      </c>
      <c r="BV206" s="877">
        <f t="shared" ref="BV206" si="612">IFERROR(ROUND(($K206*BU206+$K206*BT206),2),0)</f>
        <v>0</v>
      </c>
      <c r="BW206" s="873"/>
      <c r="BX206" s="874"/>
      <c r="BY206" s="874"/>
      <c r="BZ206" s="874"/>
      <c r="CA206" s="874"/>
      <c r="CB206" s="874"/>
      <c r="CC206" s="874"/>
      <c r="CD206" s="874"/>
      <c r="CE206" s="874"/>
      <c r="CF206" s="874"/>
      <c r="CG206" s="874"/>
      <c r="CH206" s="875"/>
      <c r="CI206" s="870"/>
      <c r="CJ206" s="876">
        <f t="shared" ref="CJ206" si="613">SUM(BW206:CH206)</f>
        <v>0</v>
      </c>
      <c r="CK206" s="877">
        <f t="shared" ref="CK206" si="614">IFERROR(ROUND(($K206*CJ206+$K206*CI206),2),0)</f>
        <v>0</v>
      </c>
      <c r="CL206" s="878">
        <f t="shared" ref="CL206" si="615">AA206+AP206+L206+BE206+BT206+CI206</f>
        <v>0</v>
      </c>
      <c r="CM206" s="879">
        <f t="shared" ref="CM206" si="616">AB206+AQ206+M206+BF206+BU206+CJ206</f>
        <v>20</v>
      </c>
      <c r="CN206" s="880">
        <f t="shared" ref="CN206" si="617">AC206+AR206+N206+BG206+BV206+CK206</f>
        <v>318600</v>
      </c>
      <c r="CQ206" s="886"/>
    </row>
    <row r="207" spans="1:95" s="866" customFormat="1" ht="22.5" customHeight="1">
      <c r="A207" s="1068"/>
      <c r="B207" s="1049"/>
      <c r="C207" s="1049"/>
      <c r="D207" s="895"/>
      <c r="E207" s="867" t="s">
        <v>106</v>
      </c>
      <c r="F207" s="898"/>
      <c r="G207" s="905" t="s">
        <v>33</v>
      </c>
      <c r="H207" s="905" t="s">
        <v>61</v>
      </c>
      <c r="I207" s="906" t="s">
        <v>2045</v>
      </c>
      <c r="J207" s="674" t="s">
        <v>1990</v>
      </c>
      <c r="K207" s="883">
        <f>IFERROR(VLOOKUP(H207,справочник!$A$3:$B$12,2,0),"нет данных")</f>
        <v>15930</v>
      </c>
      <c r="L207" s="870"/>
      <c r="M207" s="885"/>
      <c r="N207" s="881">
        <f t="shared" ref="N207" si="618">IFERROR(ROUND((K207*M207+K207*L207),2),0)</f>
        <v>0</v>
      </c>
      <c r="O207" s="884"/>
      <c r="P207" s="882"/>
      <c r="Q207" s="882"/>
      <c r="R207" s="882"/>
      <c r="S207" s="882"/>
      <c r="T207" s="882"/>
      <c r="U207" s="868"/>
      <c r="V207" s="868"/>
      <c r="W207" s="868"/>
      <c r="X207" s="868"/>
      <c r="Y207" s="868"/>
      <c r="Z207" s="869"/>
      <c r="AA207" s="870"/>
      <c r="AB207" s="871">
        <f t="shared" ref="AB207" si="619">SUM(O207:Z207)</f>
        <v>0</v>
      </c>
      <c r="AC207" s="872">
        <f t="shared" ref="AC207" si="620">IFERROR(ROUND(($K207*AB207+$K207*AA207),2),0)</f>
        <v>0</v>
      </c>
      <c r="AD207" s="919"/>
      <c r="AE207" s="919"/>
      <c r="AF207" s="919"/>
      <c r="AG207" s="919"/>
      <c r="AH207" s="919"/>
      <c r="AI207" s="919"/>
      <c r="AJ207" s="919"/>
      <c r="AK207" s="919"/>
      <c r="AL207" s="919"/>
      <c r="AM207" s="919"/>
      <c r="AN207" s="919"/>
      <c r="AO207" s="920"/>
      <c r="AP207" s="917"/>
      <c r="AQ207" s="876">
        <f t="shared" ref="AQ207" si="621">SUM(AD207:AO207)</f>
        <v>0</v>
      </c>
      <c r="AR207" s="877">
        <f t="shared" ref="AR207" si="622">IFERROR(ROUND(($K207*AQ207+$K207*AP207),2),0)</f>
        <v>0</v>
      </c>
      <c r="AS207" s="939"/>
      <c r="AT207" s="940"/>
      <c r="AU207" s="940"/>
      <c r="AV207" s="940"/>
      <c r="AW207" s="940"/>
      <c r="AX207" s="940"/>
      <c r="AY207" s="940"/>
      <c r="AZ207" s="940"/>
      <c r="BA207" s="940"/>
      <c r="BB207" s="946">
        <v>3</v>
      </c>
      <c r="BC207" s="940"/>
      <c r="BD207" s="941"/>
      <c r="BE207" s="938"/>
      <c r="BF207" s="876">
        <f t="shared" ref="BF207" si="623">SUM(AS207:BD207)</f>
        <v>3</v>
      </c>
      <c r="BG207" s="877">
        <f t="shared" ref="BG207" si="624">IFERROR(ROUND(($K207*BF207+$K207*BE207),2),0)</f>
        <v>47790</v>
      </c>
      <c r="BH207" s="873"/>
      <c r="BI207" s="874"/>
      <c r="BJ207" s="874"/>
      <c r="BK207" s="874"/>
      <c r="BL207" s="874"/>
      <c r="BM207" s="874"/>
      <c r="BN207" s="874"/>
      <c r="BO207" s="874"/>
      <c r="BP207" s="874"/>
      <c r="BQ207" s="874"/>
      <c r="BR207" s="874"/>
      <c r="BS207" s="875"/>
      <c r="BT207" s="870"/>
      <c r="BU207" s="876">
        <f t="shared" ref="BU207" si="625">SUM(BH207:BS207)</f>
        <v>0</v>
      </c>
      <c r="BV207" s="877">
        <f t="shared" ref="BV207" si="626">IFERROR(ROUND(($K207*BU207+$K207*BT207),2),0)</f>
        <v>0</v>
      </c>
      <c r="BW207" s="873"/>
      <c r="BX207" s="874"/>
      <c r="BY207" s="874"/>
      <c r="BZ207" s="874"/>
      <c r="CA207" s="874"/>
      <c r="CB207" s="874"/>
      <c r="CC207" s="874"/>
      <c r="CD207" s="874"/>
      <c r="CE207" s="874"/>
      <c r="CF207" s="874"/>
      <c r="CG207" s="874"/>
      <c r="CH207" s="875"/>
      <c r="CI207" s="870"/>
      <c r="CJ207" s="876">
        <f t="shared" ref="CJ207" si="627">SUM(BW207:CH207)</f>
        <v>0</v>
      </c>
      <c r="CK207" s="877">
        <f t="shared" ref="CK207" si="628">IFERROR(ROUND(($K207*CJ207+$K207*CI207),2),0)</f>
        <v>0</v>
      </c>
      <c r="CL207" s="878">
        <f t="shared" ref="CL207" si="629">AA207+AP207+L207+BE207+BT207+CI207</f>
        <v>0</v>
      </c>
      <c r="CM207" s="879">
        <f t="shared" ref="CM207" si="630">AB207+AQ207+M207+BF207+BU207+CJ207</f>
        <v>3</v>
      </c>
      <c r="CN207" s="880">
        <f t="shared" ref="CN207" si="631">AC207+AR207+N207+BG207+BV207+CK207</f>
        <v>47790</v>
      </c>
      <c r="CQ207" s="886"/>
    </row>
    <row r="208" spans="1:95" s="33" customFormat="1" ht="22.5" customHeight="1">
      <c r="A208" s="1052"/>
      <c r="B208" s="1050"/>
      <c r="C208" s="1050"/>
      <c r="D208" s="895"/>
      <c r="E208" s="125" t="s">
        <v>106</v>
      </c>
      <c r="F208" s="898"/>
      <c r="G208" s="899" t="s">
        <v>43</v>
      </c>
      <c r="H208" s="899" t="s">
        <v>61</v>
      </c>
      <c r="I208" s="902" t="s">
        <v>2052</v>
      </c>
      <c r="J208" s="674" t="s">
        <v>1990</v>
      </c>
      <c r="K208" s="374">
        <f>IFERROR(VLOOKUP(H208,справочник!$A$3:$B$12,2,0),"нет данных")</f>
        <v>15930</v>
      </c>
      <c r="L208" s="326"/>
      <c r="M208" s="399"/>
      <c r="N208" s="346">
        <f t="shared" si="450"/>
        <v>0</v>
      </c>
      <c r="O208" s="394"/>
      <c r="P208" s="352"/>
      <c r="Q208" s="352"/>
      <c r="R208" s="352"/>
      <c r="S208" s="352"/>
      <c r="T208" s="352"/>
      <c r="U208" s="324"/>
      <c r="V208" s="324"/>
      <c r="W208" s="324"/>
      <c r="X208" s="324"/>
      <c r="Y208" s="324"/>
      <c r="Z208" s="325"/>
      <c r="AA208" s="326"/>
      <c r="AB208" s="327">
        <f t="shared" si="462"/>
        <v>0</v>
      </c>
      <c r="AC208" s="328">
        <f t="shared" si="451"/>
        <v>0</v>
      </c>
      <c r="AD208" s="918"/>
      <c r="AE208" s="919"/>
      <c r="AF208" s="919"/>
      <c r="AG208" s="919"/>
      <c r="AH208" s="919"/>
      <c r="AI208" s="919"/>
      <c r="AJ208" s="919"/>
      <c r="AK208" s="919"/>
      <c r="AL208" s="919"/>
      <c r="AM208" s="919"/>
      <c r="AN208" s="919"/>
      <c r="AO208" s="920"/>
      <c r="AP208" s="917"/>
      <c r="AQ208" s="332">
        <f t="shared" si="463"/>
        <v>0</v>
      </c>
      <c r="AR208" s="333">
        <f t="shared" si="452"/>
        <v>0</v>
      </c>
      <c r="AS208" s="939"/>
      <c r="AT208" s="940"/>
      <c r="AU208" s="940"/>
      <c r="AV208" s="940"/>
      <c r="AW208" s="940"/>
      <c r="AX208" s="940"/>
      <c r="AY208" s="940"/>
      <c r="AZ208" s="940"/>
      <c r="BA208" s="940"/>
      <c r="BB208" s="940"/>
      <c r="BC208" s="948">
        <v>20</v>
      </c>
      <c r="BD208" s="941"/>
      <c r="BE208" s="938"/>
      <c r="BF208" s="332">
        <f t="shared" si="453"/>
        <v>20</v>
      </c>
      <c r="BG208" s="333">
        <f t="shared" si="454"/>
        <v>318600</v>
      </c>
      <c r="BH208" s="329"/>
      <c r="BI208" s="330"/>
      <c r="BJ208" s="330"/>
      <c r="BK208" s="330"/>
      <c r="BL208" s="330"/>
      <c r="BM208" s="330"/>
      <c r="BN208" s="330"/>
      <c r="BO208" s="330"/>
      <c r="BP208" s="330"/>
      <c r="BQ208" s="330"/>
      <c r="BR208" s="330"/>
      <c r="BS208" s="331"/>
      <c r="BT208" s="326"/>
      <c r="BU208" s="332">
        <f t="shared" si="455"/>
        <v>0</v>
      </c>
      <c r="BV208" s="333">
        <f t="shared" si="456"/>
        <v>0</v>
      </c>
      <c r="BW208" s="329"/>
      <c r="BX208" s="330"/>
      <c r="BY208" s="330"/>
      <c r="BZ208" s="330"/>
      <c r="CA208" s="330"/>
      <c r="CB208" s="330"/>
      <c r="CC208" s="330"/>
      <c r="CD208" s="330"/>
      <c r="CE208" s="330"/>
      <c r="CF208" s="330"/>
      <c r="CG208" s="330"/>
      <c r="CH208" s="331"/>
      <c r="CI208" s="326"/>
      <c r="CJ208" s="332">
        <f t="shared" si="457"/>
        <v>0</v>
      </c>
      <c r="CK208" s="333">
        <f t="shared" si="458"/>
        <v>0</v>
      </c>
      <c r="CL208" s="334">
        <f t="shared" si="459"/>
        <v>0</v>
      </c>
      <c r="CM208" s="335">
        <f t="shared" si="460"/>
        <v>20</v>
      </c>
      <c r="CN208" s="336">
        <f t="shared" si="461"/>
        <v>318600</v>
      </c>
      <c r="CQ208" s="480"/>
    </row>
    <row r="209" spans="1:95" s="33" customFormat="1" ht="22.5" customHeight="1">
      <c r="A209" s="1051" t="s">
        <v>163</v>
      </c>
      <c r="B209" s="1048" t="s">
        <v>1521</v>
      </c>
      <c r="C209" s="1048" t="s">
        <v>1602</v>
      </c>
      <c r="D209" s="897"/>
      <c r="E209" s="125" t="s">
        <v>106</v>
      </c>
      <c r="F209" s="898"/>
      <c r="G209" s="899" t="s">
        <v>1616</v>
      </c>
      <c r="H209" s="899" t="s">
        <v>60</v>
      </c>
      <c r="I209" s="900" t="s">
        <v>2046</v>
      </c>
      <c r="J209" s="674" t="s">
        <v>1990</v>
      </c>
      <c r="K209" s="374">
        <f>IFERROR(VLOOKUP(H209,справочник!$A$3:$B$12,2,0),"нет данных")</f>
        <v>11900</v>
      </c>
      <c r="L209" s="326"/>
      <c r="M209" s="399"/>
      <c r="N209" s="346">
        <f t="shared" si="450"/>
        <v>0</v>
      </c>
      <c r="O209" s="394"/>
      <c r="P209" s="352"/>
      <c r="Q209" s="352"/>
      <c r="R209" s="352"/>
      <c r="S209" s="352"/>
      <c r="T209" s="352"/>
      <c r="U209" s="324"/>
      <c r="V209" s="324"/>
      <c r="W209" s="324"/>
      <c r="X209" s="324"/>
      <c r="Y209" s="324"/>
      <c r="Z209" s="325"/>
      <c r="AA209" s="326"/>
      <c r="AB209" s="327">
        <f t="shared" si="462"/>
        <v>0</v>
      </c>
      <c r="AC209" s="328">
        <f t="shared" si="451"/>
        <v>0</v>
      </c>
      <c r="AD209" s="918"/>
      <c r="AE209" s="919"/>
      <c r="AF209" s="919"/>
      <c r="AG209" s="919"/>
      <c r="AH209" s="919"/>
      <c r="AI209" s="919"/>
      <c r="AJ209" s="919"/>
      <c r="AK209" s="919"/>
      <c r="AL209" s="919"/>
      <c r="AM209" s="919"/>
      <c r="AN209" s="919"/>
      <c r="AO209" s="920"/>
      <c r="AP209" s="917"/>
      <c r="AQ209" s="332">
        <f t="shared" si="463"/>
        <v>0</v>
      </c>
      <c r="AR209" s="333">
        <f t="shared" si="452"/>
        <v>0</v>
      </c>
      <c r="AS209" s="939"/>
      <c r="AT209" s="940"/>
      <c r="AU209" s="940"/>
      <c r="AV209" s="940"/>
      <c r="AW209" s="940"/>
      <c r="AX209" s="940"/>
      <c r="AY209" s="940"/>
      <c r="AZ209" s="940"/>
      <c r="BA209" s="940"/>
      <c r="BB209" s="940"/>
      <c r="BC209" s="948">
        <v>2</v>
      </c>
      <c r="BD209" s="941"/>
      <c r="BE209" s="938"/>
      <c r="BF209" s="332">
        <f t="shared" si="453"/>
        <v>2</v>
      </c>
      <c r="BG209" s="333">
        <f t="shared" si="454"/>
        <v>23800</v>
      </c>
      <c r="BH209" s="329"/>
      <c r="BI209" s="330"/>
      <c r="BJ209" s="330"/>
      <c r="BK209" s="330"/>
      <c r="BL209" s="330"/>
      <c r="BM209" s="330"/>
      <c r="BN209" s="330"/>
      <c r="BO209" s="330"/>
      <c r="BP209" s="330"/>
      <c r="BQ209" s="330"/>
      <c r="BR209" s="330"/>
      <c r="BS209" s="331"/>
      <c r="BT209" s="326"/>
      <c r="BU209" s="332">
        <f t="shared" si="455"/>
        <v>0</v>
      </c>
      <c r="BV209" s="333">
        <f t="shared" si="456"/>
        <v>0</v>
      </c>
      <c r="BW209" s="329"/>
      <c r="BX209" s="330"/>
      <c r="BY209" s="330"/>
      <c r="BZ209" s="330"/>
      <c r="CA209" s="330"/>
      <c r="CB209" s="330"/>
      <c r="CC209" s="330"/>
      <c r="CD209" s="330"/>
      <c r="CE209" s="330"/>
      <c r="CF209" s="330"/>
      <c r="CG209" s="330"/>
      <c r="CH209" s="331"/>
      <c r="CI209" s="326"/>
      <c r="CJ209" s="332">
        <f t="shared" si="457"/>
        <v>0</v>
      </c>
      <c r="CK209" s="333">
        <f t="shared" si="458"/>
        <v>0</v>
      </c>
      <c r="CL209" s="334">
        <f t="shared" si="459"/>
        <v>0</v>
      </c>
      <c r="CM209" s="335">
        <f t="shared" si="460"/>
        <v>2</v>
      </c>
      <c r="CN209" s="336">
        <f t="shared" si="461"/>
        <v>23800</v>
      </c>
      <c r="CQ209" s="480"/>
    </row>
    <row r="210" spans="1:95" s="33" customFormat="1" ht="22.5" customHeight="1">
      <c r="A210" s="1052"/>
      <c r="B210" s="1050"/>
      <c r="C210" s="1050"/>
      <c r="D210" s="895"/>
      <c r="E210" s="125" t="s">
        <v>106</v>
      </c>
      <c r="F210" s="898"/>
      <c r="G210" s="899"/>
      <c r="H210" s="899"/>
      <c r="I210" s="902"/>
      <c r="J210" s="674" t="s">
        <v>1990</v>
      </c>
      <c r="K210" s="374" t="str">
        <f>IFERROR(VLOOKUP(H210,справочник!$A$3:$B$12,2,0),"нет данных")</f>
        <v>нет данных</v>
      </c>
      <c r="L210" s="326"/>
      <c r="M210" s="399"/>
      <c r="N210" s="346">
        <f t="shared" si="450"/>
        <v>0</v>
      </c>
      <c r="O210" s="394"/>
      <c r="P210" s="352"/>
      <c r="Q210" s="352"/>
      <c r="R210" s="352"/>
      <c r="S210" s="352"/>
      <c r="T210" s="352"/>
      <c r="U210" s="324"/>
      <c r="V210" s="324"/>
      <c r="W210" s="324"/>
      <c r="X210" s="324"/>
      <c r="Y210" s="324"/>
      <c r="Z210" s="325"/>
      <c r="AA210" s="326"/>
      <c r="AB210" s="327">
        <f t="shared" si="462"/>
        <v>0</v>
      </c>
      <c r="AC210" s="328">
        <f t="shared" si="451"/>
        <v>0</v>
      </c>
      <c r="AD210" s="918"/>
      <c r="AE210" s="919"/>
      <c r="AF210" s="919"/>
      <c r="AG210" s="919"/>
      <c r="AH210" s="919"/>
      <c r="AI210" s="919"/>
      <c r="AJ210" s="919"/>
      <c r="AK210" s="919"/>
      <c r="AL210" s="919"/>
      <c r="AM210" s="919"/>
      <c r="AN210" s="919"/>
      <c r="AO210" s="920"/>
      <c r="AP210" s="917"/>
      <c r="AQ210" s="332">
        <f t="shared" si="463"/>
        <v>0</v>
      </c>
      <c r="AR210" s="333">
        <f t="shared" si="452"/>
        <v>0</v>
      </c>
      <c r="AS210" s="939"/>
      <c r="AT210" s="940"/>
      <c r="AU210" s="940"/>
      <c r="AV210" s="940"/>
      <c r="AW210" s="940"/>
      <c r="AX210" s="940"/>
      <c r="AY210" s="940"/>
      <c r="AZ210" s="940"/>
      <c r="BA210" s="940"/>
      <c r="BB210" s="940"/>
      <c r="BC210" s="940"/>
      <c r="BD210" s="941"/>
      <c r="BE210" s="938"/>
      <c r="BF210" s="332">
        <f t="shared" si="453"/>
        <v>0</v>
      </c>
      <c r="BG210" s="333">
        <f t="shared" si="454"/>
        <v>0</v>
      </c>
      <c r="BH210" s="329"/>
      <c r="BI210" s="330"/>
      <c r="BJ210" s="330"/>
      <c r="BK210" s="330"/>
      <c r="BL210" s="330"/>
      <c r="BM210" s="330"/>
      <c r="BN210" s="330"/>
      <c r="BO210" s="330"/>
      <c r="BP210" s="330"/>
      <c r="BQ210" s="330"/>
      <c r="BR210" s="330"/>
      <c r="BS210" s="331"/>
      <c r="BT210" s="326"/>
      <c r="BU210" s="332">
        <f t="shared" si="455"/>
        <v>0</v>
      </c>
      <c r="BV210" s="333">
        <f t="shared" si="456"/>
        <v>0</v>
      </c>
      <c r="BW210" s="329"/>
      <c r="BX210" s="330"/>
      <c r="BY210" s="330"/>
      <c r="BZ210" s="330"/>
      <c r="CA210" s="330"/>
      <c r="CB210" s="330"/>
      <c r="CC210" s="330"/>
      <c r="CD210" s="330"/>
      <c r="CE210" s="330"/>
      <c r="CF210" s="330"/>
      <c r="CG210" s="330"/>
      <c r="CH210" s="331"/>
      <c r="CI210" s="326"/>
      <c r="CJ210" s="332">
        <f t="shared" si="457"/>
        <v>0</v>
      </c>
      <c r="CK210" s="333">
        <f t="shared" si="458"/>
        <v>0</v>
      </c>
      <c r="CL210" s="334">
        <f t="shared" si="459"/>
        <v>0</v>
      </c>
      <c r="CM210" s="335">
        <f t="shared" si="460"/>
        <v>0</v>
      </c>
      <c r="CN210" s="336">
        <f t="shared" si="461"/>
        <v>0</v>
      </c>
      <c r="CQ210" s="480"/>
    </row>
    <row r="211" spans="1:95" s="33" customFormat="1" ht="22.5" customHeight="1">
      <c r="A211" s="1051" t="s">
        <v>158</v>
      </c>
      <c r="B211" s="1048" t="s">
        <v>1603</v>
      </c>
      <c r="C211" s="1048" t="s">
        <v>1604</v>
      </c>
      <c r="D211" s="895"/>
      <c r="E211" s="125" t="s">
        <v>106</v>
      </c>
      <c r="F211" s="898"/>
      <c r="G211" s="899" t="s">
        <v>1616</v>
      </c>
      <c r="H211" s="899" t="s">
        <v>60</v>
      </c>
      <c r="I211" s="900" t="s">
        <v>2046</v>
      </c>
      <c r="J211" s="674" t="s">
        <v>1990</v>
      </c>
      <c r="K211" s="374">
        <f>IFERROR(VLOOKUP(H211,справочник!$A$3:$B$12,2,0),"нет данных")</f>
        <v>11900</v>
      </c>
      <c r="L211" s="326"/>
      <c r="M211" s="399"/>
      <c r="N211" s="346">
        <f t="shared" si="450"/>
        <v>0</v>
      </c>
      <c r="O211" s="394"/>
      <c r="P211" s="352"/>
      <c r="Q211" s="352"/>
      <c r="R211" s="352"/>
      <c r="S211" s="352"/>
      <c r="T211" s="352"/>
      <c r="U211" s="324"/>
      <c r="V211" s="324"/>
      <c r="W211" s="324"/>
      <c r="X211" s="324"/>
      <c r="Y211" s="324"/>
      <c r="Z211" s="325"/>
      <c r="AA211" s="326"/>
      <c r="AB211" s="327">
        <f t="shared" si="462"/>
        <v>0</v>
      </c>
      <c r="AC211" s="328">
        <f t="shared" si="451"/>
        <v>0</v>
      </c>
      <c r="AD211" s="918"/>
      <c r="AE211" s="919"/>
      <c r="AF211" s="919"/>
      <c r="AG211" s="919"/>
      <c r="AH211" s="919"/>
      <c r="AI211" s="919"/>
      <c r="AJ211" s="919"/>
      <c r="AK211" s="919"/>
      <c r="AL211" s="919"/>
      <c r="AM211" s="919"/>
      <c r="AN211" s="919"/>
      <c r="AO211" s="920"/>
      <c r="AP211" s="917"/>
      <c r="AQ211" s="332">
        <f t="shared" si="463"/>
        <v>0</v>
      </c>
      <c r="AR211" s="333">
        <f t="shared" si="452"/>
        <v>0</v>
      </c>
      <c r="AS211" s="939"/>
      <c r="AT211" s="940"/>
      <c r="AU211" s="940"/>
      <c r="AV211" s="940"/>
      <c r="AW211" s="940"/>
      <c r="AX211" s="940"/>
      <c r="AY211" s="940"/>
      <c r="AZ211" s="940"/>
      <c r="BA211" s="940"/>
      <c r="BB211" s="940"/>
      <c r="BC211" s="948">
        <v>8</v>
      </c>
      <c r="BD211" s="949">
        <v>8</v>
      </c>
      <c r="BE211" s="938"/>
      <c r="BF211" s="332">
        <f t="shared" si="453"/>
        <v>16</v>
      </c>
      <c r="BG211" s="333">
        <f t="shared" si="454"/>
        <v>190400</v>
      </c>
      <c r="BH211" s="329"/>
      <c r="BI211" s="330"/>
      <c r="BJ211" s="330"/>
      <c r="BK211" s="330"/>
      <c r="BL211" s="330"/>
      <c r="BM211" s="330"/>
      <c r="BN211" s="330"/>
      <c r="BO211" s="330"/>
      <c r="BP211" s="330"/>
      <c r="BQ211" s="330"/>
      <c r="BR211" s="330"/>
      <c r="BS211" s="331"/>
      <c r="BT211" s="326"/>
      <c r="BU211" s="332">
        <f t="shared" si="455"/>
        <v>0</v>
      </c>
      <c r="BV211" s="333">
        <f t="shared" si="456"/>
        <v>0</v>
      </c>
      <c r="BW211" s="329"/>
      <c r="BX211" s="330"/>
      <c r="BY211" s="330"/>
      <c r="BZ211" s="330"/>
      <c r="CA211" s="330"/>
      <c r="CB211" s="330"/>
      <c r="CC211" s="330"/>
      <c r="CD211" s="330"/>
      <c r="CE211" s="330"/>
      <c r="CF211" s="330"/>
      <c r="CG211" s="330"/>
      <c r="CH211" s="331"/>
      <c r="CI211" s="326"/>
      <c r="CJ211" s="332">
        <f t="shared" si="457"/>
        <v>0</v>
      </c>
      <c r="CK211" s="333">
        <f t="shared" si="458"/>
        <v>0</v>
      </c>
      <c r="CL211" s="334">
        <f t="shared" si="459"/>
        <v>0</v>
      </c>
      <c r="CM211" s="335">
        <f t="shared" si="460"/>
        <v>16</v>
      </c>
      <c r="CN211" s="336">
        <f t="shared" si="461"/>
        <v>190400</v>
      </c>
      <c r="CQ211" s="480"/>
    </row>
    <row r="212" spans="1:95" s="33" customFormat="1" ht="22.5" customHeight="1">
      <c r="A212" s="1052"/>
      <c r="B212" s="1050"/>
      <c r="C212" s="1050"/>
      <c r="D212" s="895"/>
      <c r="E212" s="125" t="s">
        <v>106</v>
      </c>
      <c r="F212" s="898"/>
      <c r="G212" s="899"/>
      <c r="H212" s="899"/>
      <c r="I212" s="902"/>
      <c r="J212" s="674" t="s">
        <v>1990</v>
      </c>
      <c r="K212" s="374" t="str">
        <f>IFERROR(VLOOKUP(H212,справочник!$A$3:$B$12,2,0),"нет данных")</f>
        <v>нет данных</v>
      </c>
      <c r="L212" s="326"/>
      <c r="M212" s="399"/>
      <c r="N212" s="346">
        <f t="shared" si="450"/>
        <v>0</v>
      </c>
      <c r="O212" s="394"/>
      <c r="P212" s="352"/>
      <c r="Q212" s="352"/>
      <c r="R212" s="352"/>
      <c r="S212" s="352"/>
      <c r="T212" s="352"/>
      <c r="U212" s="324"/>
      <c r="V212" s="324"/>
      <c r="W212" s="324"/>
      <c r="X212" s="324"/>
      <c r="Y212" s="324"/>
      <c r="Z212" s="325"/>
      <c r="AA212" s="326"/>
      <c r="AB212" s="327">
        <f t="shared" si="462"/>
        <v>0</v>
      </c>
      <c r="AC212" s="328">
        <f t="shared" si="451"/>
        <v>0</v>
      </c>
      <c r="AD212" s="918"/>
      <c r="AE212" s="919"/>
      <c r="AF212" s="919"/>
      <c r="AG212" s="919"/>
      <c r="AH212" s="919"/>
      <c r="AI212" s="919"/>
      <c r="AJ212" s="919"/>
      <c r="AK212" s="919"/>
      <c r="AL212" s="919"/>
      <c r="AM212" s="919"/>
      <c r="AN212" s="919"/>
      <c r="AO212" s="920"/>
      <c r="AP212" s="917"/>
      <c r="AQ212" s="332">
        <f t="shared" si="463"/>
        <v>0</v>
      </c>
      <c r="AR212" s="333">
        <f t="shared" si="452"/>
        <v>0</v>
      </c>
      <c r="AS212" s="939"/>
      <c r="AT212" s="940"/>
      <c r="AU212" s="940"/>
      <c r="AV212" s="940"/>
      <c r="AW212" s="940"/>
      <c r="AX212" s="940"/>
      <c r="AY212" s="940"/>
      <c r="AZ212" s="940"/>
      <c r="BA212" s="940"/>
      <c r="BB212" s="940"/>
      <c r="BC212" s="940"/>
      <c r="BD212" s="941"/>
      <c r="BE212" s="938"/>
      <c r="BF212" s="332">
        <f t="shared" si="453"/>
        <v>0</v>
      </c>
      <c r="BG212" s="333">
        <f t="shared" si="454"/>
        <v>0</v>
      </c>
      <c r="BH212" s="329"/>
      <c r="BI212" s="330"/>
      <c r="BJ212" s="330"/>
      <c r="BK212" s="330"/>
      <c r="BL212" s="330"/>
      <c r="BM212" s="330"/>
      <c r="BN212" s="330"/>
      <c r="BO212" s="330"/>
      <c r="BP212" s="330"/>
      <c r="BQ212" s="330"/>
      <c r="BR212" s="330"/>
      <c r="BS212" s="331"/>
      <c r="BT212" s="326"/>
      <c r="BU212" s="332">
        <f t="shared" si="455"/>
        <v>0</v>
      </c>
      <c r="BV212" s="333">
        <f t="shared" si="456"/>
        <v>0</v>
      </c>
      <c r="BW212" s="329"/>
      <c r="BX212" s="330"/>
      <c r="BY212" s="330"/>
      <c r="BZ212" s="330"/>
      <c r="CA212" s="330"/>
      <c r="CB212" s="330"/>
      <c r="CC212" s="330"/>
      <c r="CD212" s="330"/>
      <c r="CE212" s="330"/>
      <c r="CF212" s="330"/>
      <c r="CG212" s="330"/>
      <c r="CH212" s="331"/>
      <c r="CI212" s="326"/>
      <c r="CJ212" s="332">
        <f t="shared" si="457"/>
        <v>0</v>
      </c>
      <c r="CK212" s="333">
        <f t="shared" si="458"/>
        <v>0</v>
      </c>
      <c r="CL212" s="334">
        <f t="shared" si="459"/>
        <v>0</v>
      </c>
      <c r="CM212" s="335">
        <f t="shared" si="460"/>
        <v>0</v>
      </c>
      <c r="CN212" s="336">
        <f t="shared" si="461"/>
        <v>0</v>
      </c>
      <c r="CQ212" s="480"/>
    </row>
    <row r="213" spans="1:95" s="33" customFormat="1" ht="22.5" customHeight="1">
      <c r="A213" s="1051" t="s">
        <v>159</v>
      </c>
      <c r="B213" s="1048" t="s">
        <v>1605</v>
      </c>
      <c r="C213" s="1048" t="s">
        <v>117</v>
      </c>
      <c r="D213" s="895"/>
      <c r="E213" s="128" t="s">
        <v>106</v>
      </c>
      <c r="F213" s="898"/>
      <c r="G213" s="899" t="s">
        <v>1616</v>
      </c>
      <c r="H213" s="899" t="s">
        <v>60</v>
      </c>
      <c r="I213" s="900" t="s">
        <v>2046</v>
      </c>
      <c r="J213" s="674" t="s">
        <v>1990</v>
      </c>
      <c r="K213" s="374">
        <f>IFERROR(VLOOKUP(H213,справочник!$A$3:$B$12,2,0),"нет данных")</f>
        <v>11900</v>
      </c>
      <c r="L213" s="326"/>
      <c r="M213" s="399"/>
      <c r="N213" s="346">
        <f t="shared" si="450"/>
        <v>0</v>
      </c>
      <c r="O213" s="394"/>
      <c r="P213" s="352"/>
      <c r="Q213" s="352"/>
      <c r="R213" s="352"/>
      <c r="S213" s="352"/>
      <c r="T213" s="352"/>
      <c r="U213" s="324"/>
      <c r="V213" s="324"/>
      <c r="W213" s="324"/>
      <c r="X213" s="324"/>
      <c r="Y213" s="324"/>
      <c r="Z213" s="325"/>
      <c r="AA213" s="326"/>
      <c r="AB213" s="327">
        <f t="shared" si="462"/>
        <v>0</v>
      </c>
      <c r="AC213" s="328">
        <f t="shared" si="451"/>
        <v>0</v>
      </c>
      <c r="AD213" s="918"/>
      <c r="AE213" s="919"/>
      <c r="AF213" s="919"/>
      <c r="AG213" s="919"/>
      <c r="AH213" s="919"/>
      <c r="AI213" s="919"/>
      <c r="AJ213" s="919"/>
      <c r="AK213" s="919"/>
      <c r="AL213" s="919"/>
      <c r="AM213" s="919"/>
      <c r="AN213" s="919"/>
      <c r="AO213" s="920"/>
      <c r="AP213" s="917"/>
      <c r="AQ213" s="332">
        <f t="shared" si="463"/>
        <v>0</v>
      </c>
      <c r="AR213" s="344">
        <f t="shared" si="452"/>
        <v>0</v>
      </c>
      <c r="AS213" s="939"/>
      <c r="AT213" s="940"/>
      <c r="AU213" s="940"/>
      <c r="AV213" s="940"/>
      <c r="AW213" s="940"/>
      <c r="AX213" s="940"/>
      <c r="AY213" s="940"/>
      <c r="AZ213" s="940"/>
      <c r="BA213" s="940"/>
      <c r="BB213" s="940"/>
      <c r="BC213" s="940"/>
      <c r="BD213" s="949">
        <v>2</v>
      </c>
      <c r="BE213" s="938"/>
      <c r="BF213" s="332">
        <f t="shared" si="453"/>
        <v>2</v>
      </c>
      <c r="BG213" s="344">
        <f t="shared" si="454"/>
        <v>23800</v>
      </c>
      <c r="BH213" s="329"/>
      <c r="BI213" s="330"/>
      <c r="BJ213" s="330"/>
      <c r="BK213" s="330"/>
      <c r="BL213" s="330"/>
      <c r="BM213" s="330"/>
      <c r="BN213" s="330"/>
      <c r="BO213" s="330"/>
      <c r="BP213" s="330"/>
      <c r="BQ213" s="330"/>
      <c r="BR213" s="330"/>
      <c r="BS213" s="331"/>
      <c r="BT213" s="326"/>
      <c r="BU213" s="332">
        <f t="shared" si="455"/>
        <v>0</v>
      </c>
      <c r="BV213" s="333">
        <f t="shared" si="456"/>
        <v>0</v>
      </c>
      <c r="BW213" s="329"/>
      <c r="BX213" s="330"/>
      <c r="BY213" s="330"/>
      <c r="BZ213" s="330"/>
      <c r="CA213" s="330"/>
      <c r="CB213" s="330"/>
      <c r="CC213" s="330"/>
      <c r="CD213" s="330"/>
      <c r="CE213" s="330"/>
      <c r="CF213" s="330"/>
      <c r="CG213" s="330"/>
      <c r="CH213" s="331"/>
      <c r="CI213" s="326"/>
      <c r="CJ213" s="332">
        <f t="shared" si="457"/>
        <v>0</v>
      </c>
      <c r="CK213" s="333">
        <f t="shared" si="458"/>
        <v>0</v>
      </c>
      <c r="CL213" s="334">
        <f t="shared" si="459"/>
        <v>0</v>
      </c>
      <c r="CM213" s="335">
        <f t="shared" si="460"/>
        <v>2</v>
      </c>
      <c r="CN213" s="336">
        <f t="shared" si="461"/>
        <v>23800</v>
      </c>
      <c r="CQ213" s="480"/>
    </row>
    <row r="214" spans="1:95" s="33" customFormat="1" ht="22.5" customHeight="1">
      <c r="A214" s="1052"/>
      <c r="B214" s="1050"/>
      <c r="C214" s="1050"/>
      <c r="D214" s="895"/>
      <c r="E214" s="128" t="s">
        <v>106</v>
      </c>
      <c r="F214" s="898"/>
      <c r="G214" s="901"/>
      <c r="H214" s="899"/>
      <c r="I214" s="902"/>
      <c r="J214" s="674" t="s">
        <v>1990</v>
      </c>
      <c r="K214" s="374" t="str">
        <f>IFERROR(VLOOKUP(H214,справочник!$A$3:$B$12,2,0),"нет данных")</f>
        <v>нет данных</v>
      </c>
      <c r="L214" s="326"/>
      <c r="M214" s="399"/>
      <c r="N214" s="346">
        <f t="shared" si="450"/>
        <v>0</v>
      </c>
      <c r="O214" s="394"/>
      <c r="P214" s="352"/>
      <c r="Q214" s="352"/>
      <c r="R214" s="352"/>
      <c r="S214" s="352"/>
      <c r="T214" s="352"/>
      <c r="U214" s="324"/>
      <c r="V214" s="324"/>
      <c r="W214" s="324"/>
      <c r="X214" s="324"/>
      <c r="Y214" s="324"/>
      <c r="Z214" s="325"/>
      <c r="AA214" s="326"/>
      <c r="AB214" s="327">
        <f t="shared" si="462"/>
        <v>0</v>
      </c>
      <c r="AC214" s="328">
        <f t="shared" si="451"/>
        <v>0</v>
      </c>
      <c r="AD214" s="918"/>
      <c r="AE214" s="919"/>
      <c r="AF214" s="919"/>
      <c r="AG214" s="919"/>
      <c r="AH214" s="919"/>
      <c r="AI214" s="919"/>
      <c r="AJ214" s="919"/>
      <c r="AK214" s="919"/>
      <c r="AL214" s="919"/>
      <c r="AM214" s="919"/>
      <c r="AN214" s="919"/>
      <c r="AO214" s="920"/>
      <c r="AP214" s="917"/>
      <c r="AQ214" s="332">
        <f t="shared" si="463"/>
        <v>0</v>
      </c>
      <c r="AR214" s="344">
        <f t="shared" si="452"/>
        <v>0</v>
      </c>
      <c r="AS214" s="939"/>
      <c r="AT214" s="940"/>
      <c r="AU214" s="940"/>
      <c r="AV214" s="940"/>
      <c r="AW214" s="940"/>
      <c r="AX214" s="940"/>
      <c r="AY214" s="940"/>
      <c r="AZ214" s="940"/>
      <c r="BA214" s="940"/>
      <c r="BB214" s="940"/>
      <c r="BC214" s="940"/>
      <c r="BD214" s="941"/>
      <c r="BE214" s="938"/>
      <c r="BF214" s="332">
        <f>SUM(AS214:BD214)</f>
        <v>0</v>
      </c>
      <c r="BG214" s="344">
        <f t="shared" si="454"/>
        <v>0</v>
      </c>
      <c r="BH214" s="329"/>
      <c r="BI214" s="330"/>
      <c r="BJ214" s="330"/>
      <c r="BK214" s="330"/>
      <c r="BL214" s="330"/>
      <c r="BM214" s="330"/>
      <c r="BN214" s="330"/>
      <c r="BO214" s="330"/>
      <c r="BP214" s="330"/>
      <c r="BQ214" s="330"/>
      <c r="BR214" s="330"/>
      <c r="BS214" s="331"/>
      <c r="BT214" s="326"/>
      <c r="BU214" s="332">
        <f t="shared" si="455"/>
        <v>0</v>
      </c>
      <c r="BV214" s="333">
        <f t="shared" si="456"/>
        <v>0</v>
      </c>
      <c r="BW214" s="329"/>
      <c r="BX214" s="330"/>
      <c r="BY214" s="330"/>
      <c r="BZ214" s="330"/>
      <c r="CA214" s="330"/>
      <c r="CB214" s="330"/>
      <c r="CC214" s="330"/>
      <c r="CD214" s="330"/>
      <c r="CE214" s="330"/>
      <c r="CF214" s="330"/>
      <c r="CG214" s="330"/>
      <c r="CH214" s="331"/>
      <c r="CI214" s="326"/>
      <c r="CJ214" s="332">
        <f t="shared" si="457"/>
        <v>0</v>
      </c>
      <c r="CK214" s="333">
        <f t="shared" si="458"/>
        <v>0</v>
      </c>
      <c r="CL214" s="334">
        <f t="shared" si="459"/>
        <v>0</v>
      </c>
      <c r="CM214" s="335">
        <f t="shared" si="460"/>
        <v>0</v>
      </c>
      <c r="CN214" s="336">
        <f t="shared" si="461"/>
        <v>0</v>
      </c>
      <c r="CQ214" s="480"/>
    </row>
    <row r="215" spans="1:95" s="33" customFormat="1" ht="17.100000000000001" customHeight="1">
      <c r="A215" s="1055" t="s">
        <v>72</v>
      </c>
      <c r="B215" s="1056"/>
      <c r="C215" s="129"/>
      <c r="D215" s="133"/>
      <c r="E215" s="126"/>
      <c r="F215" s="126"/>
      <c r="G215" s="134"/>
      <c r="H215" s="135"/>
      <c r="I215" s="135"/>
      <c r="J215" s="687"/>
      <c r="K215" s="337" t="str">
        <f>IFERROR(INDEX(#REF!,MATCH(#REF!&amp;F215&amp;H215,#REF!,0)),"")</f>
        <v/>
      </c>
      <c r="L215" s="355">
        <f t="shared" ref="L215:BG215" si="632">SUM(L81:L214)</f>
        <v>0</v>
      </c>
      <c r="M215" s="356">
        <f t="shared" si="632"/>
        <v>0</v>
      </c>
      <c r="N215" s="454">
        <f t="shared" si="632"/>
        <v>0</v>
      </c>
      <c r="O215" s="453">
        <f t="shared" si="632"/>
        <v>0</v>
      </c>
      <c r="P215" s="353">
        <f t="shared" si="632"/>
        <v>0</v>
      </c>
      <c r="Q215" s="353">
        <f t="shared" si="632"/>
        <v>0</v>
      </c>
      <c r="R215" s="353">
        <f t="shared" si="632"/>
        <v>0</v>
      </c>
      <c r="S215" s="353">
        <f t="shared" si="632"/>
        <v>0</v>
      </c>
      <c r="T215" s="353">
        <f t="shared" si="632"/>
        <v>0</v>
      </c>
      <c r="U215" s="353">
        <f t="shared" si="632"/>
        <v>0</v>
      </c>
      <c r="V215" s="353">
        <f t="shared" si="632"/>
        <v>0</v>
      </c>
      <c r="W215" s="353">
        <f t="shared" si="632"/>
        <v>0</v>
      </c>
      <c r="X215" s="353">
        <f t="shared" si="632"/>
        <v>0</v>
      </c>
      <c r="Y215" s="353">
        <f t="shared" si="632"/>
        <v>0</v>
      </c>
      <c r="Z215" s="353">
        <f t="shared" si="632"/>
        <v>0</v>
      </c>
      <c r="AA215" s="355">
        <f t="shared" si="632"/>
        <v>0</v>
      </c>
      <c r="AB215" s="356">
        <f t="shared" si="632"/>
        <v>0</v>
      </c>
      <c r="AC215" s="338">
        <f t="shared" si="632"/>
        <v>0</v>
      </c>
      <c r="AD215" s="358">
        <f t="shared" si="632"/>
        <v>0</v>
      </c>
      <c r="AE215" s="358">
        <f t="shared" si="632"/>
        <v>24</v>
      </c>
      <c r="AF215" s="358">
        <f t="shared" si="632"/>
        <v>135</v>
      </c>
      <c r="AG215" s="358">
        <f t="shared" si="632"/>
        <v>150</v>
      </c>
      <c r="AH215" s="358">
        <f t="shared" si="632"/>
        <v>142</v>
      </c>
      <c r="AI215" s="358">
        <f t="shared" si="632"/>
        <v>135</v>
      </c>
      <c r="AJ215" s="358">
        <f t="shared" si="632"/>
        <v>116</v>
      </c>
      <c r="AK215" s="358">
        <f t="shared" si="632"/>
        <v>121</v>
      </c>
      <c r="AL215" s="358">
        <f t="shared" si="632"/>
        <v>148</v>
      </c>
      <c r="AM215" s="358">
        <f t="shared" si="632"/>
        <v>176</v>
      </c>
      <c r="AN215" s="358">
        <f t="shared" si="632"/>
        <v>149</v>
      </c>
      <c r="AO215" s="358">
        <f t="shared" si="632"/>
        <v>152</v>
      </c>
      <c r="AP215" s="359">
        <f t="shared" si="632"/>
        <v>0</v>
      </c>
      <c r="AQ215" s="360">
        <f t="shared" si="632"/>
        <v>1448</v>
      </c>
      <c r="AR215" s="361">
        <f t="shared" si="632"/>
        <v>22387150</v>
      </c>
      <c r="AS215" s="358">
        <f t="shared" si="632"/>
        <v>121</v>
      </c>
      <c r="AT215" s="358">
        <f t="shared" si="632"/>
        <v>166</v>
      </c>
      <c r="AU215" s="358">
        <f t="shared" si="632"/>
        <v>160</v>
      </c>
      <c r="AV215" s="358">
        <f t="shared" si="632"/>
        <v>164</v>
      </c>
      <c r="AW215" s="358">
        <f t="shared" si="632"/>
        <v>147</v>
      </c>
      <c r="AX215" s="358">
        <f t="shared" si="632"/>
        <v>135</v>
      </c>
      <c r="AY215" s="358">
        <f t="shared" si="632"/>
        <v>178</v>
      </c>
      <c r="AZ215" s="358">
        <f t="shared" si="632"/>
        <v>161</v>
      </c>
      <c r="BA215" s="358">
        <f t="shared" si="632"/>
        <v>149</v>
      </c>
      <c r="BB215" s="358">
        <f t="shared" si="632"/>
        <v>176</v>
      </c>
      <c r="BC215" s="358">
        <f t="shared" si="632"/>
        <v>103</v>
      </c>
      <c r="BD215" s="358">
        <f t="shared" si="632"/>
        <v>10</v>
      </c>
      <c r="BE215" s="359">
        <f t="shared" si="632"/>
        <v>0</v>
      </c>
      <c r="BF215" s="360">
        <f t="shared" si="632"/>
        <v>1670</v>
      </c>
      <c r="BG215" s="361">
        <f t="shared" si="632"/>
        <v>23182570</v>
      </c>
      <c r="BH215" s="400"/>
      <c r="BI215" s="400"/>
      <c r="BJ215" s="400"/>
      <c r="BK215" s="400"/>
      <c r="BL215" s="400"/>
      <c r="BM215" s="400"/>
      <c r="BN215" s="400"/>
      <c r="BO215" s="400"/>
      <c r="BP215" s="400"/>
      <c r="BQ215" s="400"/>
      <c r="BR215" s="400"/>
      <c r="BS215" s="400"/>
      <c r="BT215" s="359">
        <f>SUM(BT81:BT214)</f>
        <v>0</v>
      </c>
      <c r="BU215" s="360">
        <f>SUM(BU81:BU214)</f>
        <v>0</v>
      </c>
      <c r="BV215" s="361">
        <f>SUM(BV81:BV214)</f>
        <v>0</v>
      </c>
      <c r="BW215" s="400"/>
      <c r="BX215" s="400"/>
      <c r="BY215" s="400"/>
      <c r="BZ215" s="400"/>
      <c r="CA215" s="400"/>
      <c r="CB215" s="400"/>
      <c r="CC215" s="400"/>
      <c r="CD215" s="400"/>
      <c r="CE215" s="400"/>
      <c r="CF215" s="400"/>
      <c r="CG215" s="400"/>
      <c r="CH215" s="400"/>
      <c r="CI215" s="359">
        <f t="shared" ref="CI215:CN215" si="633">SUM(CI81:CI214)</f>
        <v>0</v>
      </c>
      <c r="CJ215" s="360">
        <f t="shared" si="633"/>
        <v>0</v>
      </c>
      <c r="CK215" s="361">
        <f t="shared" si="633"/>
        <v>0</v>
      </c>
      <c r="CL215" s="362">
        <f t="shared" si="633"/>
        <v>0</v>
      </c>
      <c r="CM215" s="362">
        <f t="shared" si="633"/>
        <v>3118</v>
      </c>
      <c r="CN215" s="339">
        <f t="shared" si="633"/>
        <v>45569720</v>
      </c>
      <c r="CQ215" s="480"/>
    </row>
    <row r="216" spans="1:95" ht="15" customHeight="1">
      <c r="A216" s="265" t="s">
        <v>38</v>
      </c>
      <c r="B216" s="1063" t="s">
        <v>1918</v>
      </c>
      <c r="C216" s="1064"/>
      <c r="D216" s="133"/>
      <c r="E216" s="127"/>
      <c r="F216" s="136"/>
      <c r="G216" s="137"/>
      <c r="H216" s="136"/>
      <c r="I216" s="137"/>
      <c r="J216" s="137"/>
      <c r="K216" s="375" t="str">
        <f>IFERROR(INDEX(#REF!,MATCH(#REF!&amp;F216&amp;H216,#REF!,0)),"")</f>
        <v/>
      </c>
      <c r="L216" s="364"/>
      <c r="M216" s="364"/>
      <c r="N216" s="364"/>
      <c r="O216" s="363"/>
      <c r="P216" s="364"/>
      <c r="Q216" s="364"/>
      <c r="R216" s="364"/>
      <c r="S216" s="364"/>
      <c r="T216" s="364"/>
      <c r="U216" s="364"/>
      <c r="V216" s="363"/>
      <c r="W216" s="363"/>
      <c r="X216" s="363"/>
      <c r="Y216" s="363"/>
      <c r="Z216" s="365"/>
      <c r="AA216" s="364"/>
      <c r="AB216" s="364"/>
      <c r="AC216" s="364"/>
      <c r="AD216" s="364"/>
      <c r="AE216" s="364"/>
      <c r="AF216" s="366"/>
      <c r="AG216" s="366"/>
      <c r="AH216" s="366"/>
      <c r="AI216" s="367"/>
      <c r="AJ216" s="366"/>
      <c r="AK216" s="366"/>
      <c r="AL216" s="366"/>
      <c r="AM216" s="366"/>
      <c r="AN216" s="366"/>
      <c r="AO216" s="366"/>
      <c r="AP216" s="366"/>
      <c r="AQ216" s="366"/>
      <c r="AR216" s="366"/>
      <c r="AS216" s="364"/>
      <c r="AT216" s="364"/>
      <c r="AU216" s="366"/>
      <c r="AV216" s="366"/>
      <c r="AW216" s="366"/>
      <c r="AX216" s="367"/>
      <c r="AY216" s="366"/>
      <c r="AZ216" s="366"/>
      <c r="BA216" s="366"/>
      <c r="BB216" s="366"/>
      <c r="BC216" s="366"/>
      <c r="BD216" s="366"/>
      <c r="BE216" s="366"/>
      <c r="BF216" s="366"/>
      <c r="BG216" s="366"/>
      <c r="BH216" s="366"/>
      <c r="BI216" s="366"/>
      <c r="BJ216" s="366"/>
      <c r="BK216" s="366"/>
      <c r="BL216" s="366"/>
      <c r="BM216" s="366"/>
      <c r="BN216" s="366"/>
      <c r="BO216" s="366"/>
      <c r="BP216" s="366"/>
      <c r="BQ216" s="366"/>
      <c r="BR216" s="366"/>
      <c r="BS216" s="366"/>
      <c r="BT216" s="366"/>
      <c r="BU216" s="366"/>
      <c r="BV216" s="366"/>
      <c r="BW216" s="366"/>
      <c r="BX216" s="366"/>
      <c r="BY216" s="366"/>
      <c r="BZ216" s="366"/>
      <c r="CA216" s="366"/>
      <c r="CB216" s="366"/>
      <c r="CC216" s="366"/>
      <c r="CD216" s="366"/>
      <c r="CE216" s="366"/>
      <c r="CF216" s="366"/>
      <c r="CG216" s="366"/>
      <c r="CH216" s="366"/>
      <c r="CI216" s="366"/>
      <c r="CJ216" s="366"/>
      <c r="CK216" s="366"/>
      <c r="CL216" s="363"/>
      <c r="CM216" s="363"/>
      <c r="CN216" s="368"/>
    </row>
    <row r="217" spans="1:95" s="33" customFormat="1" ht="26.25" customHeight="1">
      <c r="A217" s="1051" t="s">
        <v>1543</v>
      </c>
      <c r="B217" s="1048" t="s">
        <v>1600</v>
      </c>
      <c r="C217" s="1048" t="s">
        <v>1598</v>
      </c>
      <c r="D217" s="34"/>
      <c r="E217" s="128" t="s">
        <v>106</v>
      </c>
      <c r="F217" s="911"/>
      <c r="G217" s="912" t="s">
        <v>1616</v>
      </c>
      <c r="H217" s="912" t="s">
        <v>60</v>
      </c>
      <c r="I217" s="913" t="s">
        <v>2046</v>
      </c>
      <c r="J217" s="674" t="s">
        <v>1990</v>
      </c>
      <c r="K217" s="374">
        <f>IFERROR(VLOOKUP(H217,справочник!$A$3:$B$12,2,0),"нет данных")</f>
        <v>11900</v>
      </c>
      <c r="L217" s="326"/>
      <c r="M217" s="399"/>
      <c r="N217" s="333">
        <f>IFERROR(ROUND((K217*M217+K217*L217),2),0)</f>
        <v>0</v>
      </c>
      <c r="O217" s="394"/>
      <c r="P217" s="352"/>
      <c r="Q217" s="352"/>
      <c r="R217" s="352"/>
      <c r="S217" s="352"/>
      <c r="T217" s="352"/>
      <c r="U217" s="324"/>
      <c r="V217" s="324"/>
      <c r="W217" s="324"/>
      <c r="X217" s="324"/>
      <c r="Y217" s="324"/>
      <c r="Z217" s="325"/>
      <c r="AA217" s="326"/>
      <c r="AB217" s="327">
        <f>SUM(O217:Z217)</f>
        <v>0</v>
      </c>
      <c r="AC217" s="333">
        <f t="shared" ref="AC217:AC226" si="634">IFERROR(ROUND(($K217*AB217+$K217*AA217),2),0)</f>
        <v>0</v>
      </c>
      <c r="AD217" s="329"/>
      <c r="AE217" s="330"/>
      <c r="AF217" s="330"/>
      <c r="AG217" s="330"/>
      <c r="AH217" s="330"/>
      <c r="AI217" s="330"/>
      <c r="AJ217" s="330"/>
      <c r="AK217" s="330"/>
      <c r="AL217" s="330"/>
      <c r="AM217" s="330"/>
      <c r="AN217" s="330"/>
      <c r="AO217" s="331"/>
      <c r="AP217" s="326"/>
      <c r="AQ217" s="332">
        <f>SUM(AD217:AO217)</f>
        <v>0</v>
      </c>
      <c r="AR217" s="344">
        <f t="shared" ref="AR217:AR226" si="635">IFERROR(ROUND(($K217*AQ217+$K217*AP217),2),0)</f>
        <v>0</v>
      </c>
      <c r="AS217" s="957"/>
      <c r="AT217" s="958"/>
      <c r="AU217" s="958"/>
      <c r="AV217" s="958"/>
      <c r="AW217" s="958"/>
      <c r="AX217" s="958"/>
      <c r="AY217" s="958"/>
      <c r="AZ217" s="958"/>
      <c r="BA217" s="958"/>
      <c r="BB217" s="958"/>
      <c r="BC217" s="958"/>
      <c r="BD217" s="1016">
        <v>10</v>
      </c>
      <c r="BE217" s="956"/>
      <c r="BF217" s="332">
        <f>SUM(AS217:BD217)</f>
        <v>10</v>
      </c>
      <c r="BG217" s="344">
        <f t="shared" ref="BG217:BG226" si="636">IFERROR(ROUND(($K217*BF217+$K217*BE217),2),0)</f>
        <v>119000</v>
      </c>
      <c r="BH217" s="329"/>
      <c r="BI217" s="330"/>
      <c r="BJ217" s="330"/>
      <c r="BK217" s="330"/>
      <c r="BL217" s="330"/>
      <c r="BM217" s="330"/>
      <c r="BN217" s="330"/>
      <c r="BO217" s="330"/>
      <c r="BP217" s="330"/>
      <c r="BQ217" s="330"/>
      <c r="BR217" s="330"/>
      <c r="BS217" s="331"/>
      <c r="BT217" s="326"/>
      <c r="BU217" s="332">
        <f t="shared" ref="BU217:BU226" si="637">SUM(BH217:BS217)</f>
        <v>0</v>
      </c>
      <c r="BV217" s="333">
        <f t="shared" ref="BV217:BV226" si="638">IFERROR(ROUND(($K217*BU217+$K217*BT217),2),0)</f>
        <v>0</v>
      </c>
      <c r="BW217" s="329"/>
      <c r="BX217" s="330"/>
      <c r="BY217" s="330"/>
      <c r="BZ217" s="330"/>
      <c r="CA217" s="330"/>
      <c r="CB217" s="330"/>
      <c r="CC217" s="330"/>
      <c r="CD217" s="330"/>
      <c r="CE217" s="330"/>
      <c r="CF217" s="330"/>
      <c r="CG217" s="330"/>
      <c r="CH217" s="331"/>
      <c r="CI217" s="326"/>
      <c r="CJ217" s="332">
        <f t="shared" ref="CJ217:CJ226" si="639">SUM(BW217:CH217)</f>
        <v>0</v>
      </c>
      <c r="CK217" s="333">
        <f t="shared" ref="CK217:CK226" si="640">IFERROR(ROUND(($K217*CJ217+$K217*CI217),2),0)</f>
        <v>0</v>
      </c>
      <c r="CL217" s="334">
        <f t="shared" ref="CL217:CL226" si="641">AA217+AP217+L217+BE217+BT217+CI217</f>
        <v>0</v>
      </c>
      <c r="CM217" s="335">
        <f t="shared" ref="CM217:CM226" si="642">AB217+AQ217+M217+BF217+BU217+CJ217</f>
        <v>10</v>
      </c>
      <c r="CN217" s="336">
        <f t="shared" ref="CN217:CN226" si="643">AC217+AR217+N217+BG217+BV217+CK217</f>
        <v>119000</v>
      </c>
      <c r="CQ217" s="480"/>
    </row>
    <row r="218" spans="1:95" s="33" customFormat="1" ht="18" customHeight="1">
      <c r="A218" s="1052"/>
      <c r="B218" s="1050"/>
      <c r="C218" s="1050"/>
      <c r="D218" s="34"/>
      <c r="E218" s="128" t="s">
        <v>106</v>
      </c>
      <c r="F218" s="911"/>
      <c r="G218" s="914"/>
      <c r="H218" s="912"/>
      <c r="I218" s="915"/>
      <c r="J218" s="674" t="s">
        <v>1990</v>
      </c>
      <c r="K218" s="374" t="str">
        <f>IFERROR(VLOOKUP(H218,справочник!$A$3:$B$12,2,0),"нет данных")</f>
        <v>нет данных</v>
      </c>
      <c r="L218" s="326"/>
      <c r="M218" s="399"/>
      <c r="N218" s="346">
        <f t="shared" ref="N218:N226" si="644">IFERROR(ROUND((K218*M218+K218*L218),2),0)</f>
        <v>0</v>
      </c>
      <c r="O218" s="394"/>
      <c r="P218" s="352"/>
      <c r="Q218" s="352"/>
      <c r="R218" s="352"/>
      <c r="S218" s="352"/>
      <c r="T218" s="352"/>
      <c r="U218" s="324"/>
      <c r="V218" s="324"/>
      <c r="W218" s="324"/>
      <c r="X218" s="324"/>
      <c r="Y218" s="324"/>
      <c r="Z218" s="325"/>
      <c r="AA218" s="326"/>
      <c r="AB218" s="327">
        <f t="shared" ref="AB218:AB226" si="645">SUM(O218:Z218)</f>
        <v>0</v>
      </c>
      <c r="AC218" s="346">
        <f t="shared" si="634"/>
        <v>0</v>
      </c>
      <c r="AD218" s="345"/>
      <c r="AE218" s="330"/>
      <c r="AF218" s="330"/>
      <c r="AG218" s="330"/>
      <c r="AH218" s="330"/>
      <c r="AI218" s="330"/>
      <c r="AJ218" s="330"/>
      <c r="AK218" s="330"/>
      <c r="AL218" s="330"/>
      <c r="AM218" s="330"/>
      <c r="AN218" s="330"/>
      <c r="AO218" s="331"/>
      <c r="AP218" s="326"/>
      <c r="AQ218" s="332">
        <f t="shared" ref="AQ218:AQ226" si="646">SUM(AD218:AO218)</f>
        <v>0</v>
      </c>
      <c r="AR218" s="344">
        <f t="shared" si="635"/>
        <v>0</v>
      </c>
      <c r="AS218" s="960"/>
      <c r="AT218" s="958"/>
      <c r="AU218" s="958"/>
      <c r="AV218" s="958"/>
      <c r="AW218" s="958"/>
      <c r="AX218" s="958"/>
      <c r="AY218" s="958"/>
      <c r="AZ218" s="958"/>
      <c r="BA218" s="958"/>
      <c r="BB218" s="958"/>
      <c r="BC218" s="958"/>
      <c r="BD218" s="959"/>
      <c r="BE218" s="956"/>
      <c r="BF218" s="332">
        <f t="shared" ref="BF218:BF226" si="647">SUM(AS218:BD218)</f>
        <v>0</v>
      </c>
      <c r="BG218" s="344">
        <f t="shared" si="636"/>
        <v>0</v>
      </c>
      <c r="BH218" s="329"/>
      <c r="BI218" s="330"/>
      <c r="BJ218" s="330"/>
      <c r="BK218" s="330"/>
      <c r="BL218" s="330"/>
      <c r="BM218" s="330"/>
      <c r="BN218" s="330"/>
      <c r="BO218" s="330"/>
      <c r="BP218" s="330"/>
      <c r="BQ218" s="330"/>
      <c r="BR218" s="330"/>
      <c r="BS218" s="331"/>
      <c r="BT218" s="326"/>
      <c r="BU218" s="332">
        <f t="shared" si="637"/>
        <v>0</v>
      </c>
      <c r="BV218" s="333">
        <f t="shared" si="638"/>
        <v>0</v>
      </c>
      <c r="BW218" s="329"/>
      <c r="BX218" s="330"/>
      <c r="BY218" s="330"/>
      <c r="BZ218" s="330"/>
      <c r="CA218" s="330"/>
      <c r="CB218" s="330"/>
      <c r="CC218" s="330"/>
      <c r="CD218" s="330"/>
      <c r="CE218" s="330"/>
      <c r="CF218" s="330"/>
      <c r="CG218" s="330"/>
      <c r="CH218" s="331"/>
      <c r="CI218" s="326"/>
      <c r="CJ218" s="332">
        <f t="shared" si="639"/>
        <v>0</v>
      </c>
      <c r="CK218" s="333">
        <f t="shared" si="640"/>
        <v>0</v>
      </c>
      <c r="CL218" s="334">
        <f t="shared" si="641"/>
        <v>0</v>
      </c>
      <c r="CM218" s="335">
        <f t="shared" si="642"/>
        <v>0</v>
      </c>
      <c r="CN218" s="336">
        <f t="shared" si="643"/>
        <v>0</v>
      </c>
      <c r="CQ218" s="480"/>
    </row>
    <row r="219" spans="1:95" s="33" customFormat="1" ht="15.75" customHeight="1">
      <c r="A219" s="1051" t="s">
        <v>1544</v>
      </c>
      <c r="B219" s="1048" t="s">
        <v>1599</v>
      </c>
      <c r="C219" s="1048" t="s">
        <v>119</v>
      </c>
      <c r="D219" s="34"/>
      <c r="E219" s="128" t="s">
        <v>106</v>
      </c>
      <c r="F219" s="911"/>
      <c r="G219" s="912" t="s">
        <v>33</v>
      </c>
      <c r="H219" s="912" t="s">
        <v>61</v>
      </c>
      <c r="I219" s="913" t="s">
        <v>2045</v>
      </c>
      <c r="J219" s="674" t="s">
        <v>1990</v>
      </c>
      <c r="K219" s="374">
        <f>IFERROR(VLOOKUP(H219,справочник!$A$3:$B$12,2,0),"нет данных")</f>
        <v>15930</v>
      </c>
      <c r="L219" s="326"/>
      <c r="M219" s="399"/>
      <c r="N219" s="346">
        <f t="shared" si="644"/>
        <v>0</v>
      </c>
      <c r="O219" s="394"/>
      <c r="P219" s="352"/>
      <c r="Q219" s="352"/>
      <c r="R219" s="352"/>
      <c r="S219" s="352"/>
      <c r="T219" s="352"/>
      <c r="U219" s="324"/>
      <c r="V219" s="324"/>
      <c r="W219" s="324"/>
      <c r="X219" s="324"/>
      <c r="Y219" s="324"/>
      <c r="Z219" s="325"/>
      <c r="AA219" s="326"/>
      <c r="AB219" s="327">
        <f t="shared" si="645"/>
        <v>0</v>
      </c>
      <c r="AC219" s="346">
        <f t="shared" si="634"/>
        <v>0</v>
      </c>
      <c r="AD219" s="329"/>
      <c r="AE219" s="330"/>
      <c r="AF219" s="330"/>
      <c r="AG219" s="330"/>
      <c r="AH219" s="330"/>
      <c r="AI219" s="330"/>
      <c r="AJ219" s="330"/>
      <c r="AK219" s="330"/>
      <c r="AL219" s="330"/>
      <c r="AM219" s="330"/>
      <c r="AN219" s="330"/>
      <c r="AO219" s="331"/>
      <c r="AP219" s="326"/>
      <c r="AQ219" s="332">
        <f t="shared" si="646"/>
        <v>0</v>
      </c>
      <c r="AR219" s="344">
        <f t="shared" si="635"/>
        <v>0</v>
      </c>
      <c r="AS219" s="957"/>
      <c r="AT219" s="958"/>
      <c r="AU219" s="958"/>
      <c r="AV219" s="958"/>
      <c r="AW219" s="958"/>
      <c r="AX219" s="958"/>
      <c r="AY219" s="958"/>
      <c r="AZ219" s="958"/>
      <c r="BA219" s="958"/>
      <c r="BB219" s="958"/>
      <c r="BC219" s="958"/>
      <c r="BD219" s="1016">
        <v>3</v>
      </c>
      <c r="BE219" s="956"/>
      <c r="BF219" s="332">
        <f t="shared" si="647"/>
        <v>3</v>
      </c>
      <c r="BG219" s="344">
        <f t="shared" si="636"/>
        <v>47790</v>
      </c>
      <c r="BH219" s="329"/>
      <c r="BI219" s="330"/>
      <c r="BJ219" s="330"/>
      <c r="BK219" s="330"/>
      <c r="BL219" s="330"/>
      <c r="BM219" s="330"/>
      <c r="BN219" s="330"/>
      <c r="BO219" s="330"/>
      <c r="BP219" s="330"/>
      <c r="BQ219" s="330"/>
      <c r="BR219" s="330"/>
      <c r="BS219" s="331"/>
      <c r="BT219" s="326"/>
      <c r="BU219" s="332">
        <f t="shared" si="637"/>
        <v>0</v>
      </c>
      <c r="BV219" s="333">
        <f t="shared" si="638"/>
        <v>0</v>
      </c>
      <c r="BW219" s="329"/>
      <c r="BX219" s="330"/>
      <c r="BY219" s="330"/>
      <c r="BZ219" s="330"/>
      <c r="CA219" s="330"/>
      <c r="CB219" s="330"/>
      <c r="CC219" s="330"/>
      <c r="CD219" s="330"/>
      <c r="CE219" s="330"/>
      <c r="CF219" s="330"/>
      <c r="CG219" s="330"/>
      <c r="CH219" s="331"/>
      <c r="CI219" s="326"/>
      <c r="CJ219" s="332">
        <f t="shared" si="639"/>
        <v>0</v>
      </c>
      <c r="CK219" s="333">
        <f t="shared" si="640"/>
        <v>0</v>
      </c>
      <c r="CL219" s="334">
        <f t="shared" si="641"/>
        <v>0</v>
      </c>
      <c r="CM219" s="335">
        <f t="shared" si="642"/>
        <v>3</v>
      </c>
      <c r="CN219" s="336">
        <f t="shared" si="643"/>
        <v>47790</v>
      </c>
      <c r="CQ219" s="480"/>
    </row>
    <row r="220" spans="1:95" s="33" customFormat="1" ht="18.75">
      <c r="A220" s="1052"/>
      <c r="B220" s="1050"/>
      <c r="C220" s="1050"/>
      <c r="D220" s="34"/>
      <c r="E220" s="128" t="s">
        <v>106</v>
      </c>
      <c r="F220" s="911"/>
      <c r="G220" s="914"/>
      <c r="H220" s="912"/>
      <c r="I220" s="915"/>
      <c r="J220" s="674" t="s">
        <v>1990</v>
      </c>
      <c r="K220" s="374" t="str">
        <f>IFERROR(VLOOKUP(H220,справочник!$A$3:$B$12,2,0),"нет данных")</f>
        <v>нет данных</v>
      </c>
      <c r="L220" s="326"/>
      <c r="M220" s="399"/>
      <c r="N220" s="346">
        <f t="shared" si="644"/>
        <v>0</v>
      </c>
      <c r="O220" s="394"/>
      <c r="P220" s="352"/>
      <c r="Q220" s="352"/>
      <c r="R220" s="352"/>
      <c r="S220" s="352"/>
      <c r="T220" s="352"/>
      <c r="U220" s="324"/>
      <c r="V220" s="324"/>
      <c r="W220" s="324"/>
      <c r="X220" s="324"/>
      <c r="Y220" s="324"/>
      <c r="Z220" s="325"/>
      <c r="AA220" s="326"/>
      <c r="AB220" s="327">
        <f t="shared" si="645"/>
        <v>0</v>
      </c>
      <c r="AC220" s="346">
        <f t="shared" si="634"/>
        <v>0</v>
      </c>
      <c r="AD220" s="345"/>
      <c r="AE220" s="330"/>
      <c r="AF220" s="330"/>
      <c r="AG220" s="330"/>
      <c r="AH220" s="330"/>
      <c r="AI220" s="330"/>
      <c r="AJ220" s="330"/>
      <c r="AK220" s="330"/>
      <c r="AL220" s="330"/>
      <c r="AM220" s="330"/>
      <c r="AN220" s="330"/>
      <c r="AO220" s="331"/>
      <c r="AP220" s="326"/>
      <c r="AQ220" s="332">
        <f t="shared" si="646"/>
        <v>0</v>
      </c>
      <c r="AR220" s="344">
        <f t="shared" si="635"/>
        <v>0</v>
      </c>
      <c r="AS220" s="960"/>
      <c r="AT220" s="958"/>
      <c r="AU220" s="958"/>
      <c r="AV220" s="958"/>
      <c r="AW220" s="958"/>
      <c r="AX220" s="958"/>
      <c r="AY220" s="958"/>
      <c r="AZ220" s="958"/>
      <c r="BA220" s="958"/>
      <c r="BB220" s="958"/>
      <c r="BC220" s="958"/>
      <c r="BD220" s="959"/>
      <c r="BE220" s="956"/>
      <c r="BF220" s="332">
        <f t="shared" si="647"/>
        <v>0</v>
      </c>
      <c r="BG220" s="344">
        <f t="shared" si="636"/>
        <v>0</v>
      </c>
      <c r="BH220" s="329"/>
      <c r="BI220" s="330"/>
      <c r="BJ220" s="330"/>
      <c r="BK220" s="330"/>
      <c r="BL220" s="330"/>
      <c r="BM220" s="330"/>
      <c r="BN220" s="330"/>
      <c r="BO220" s="330"/>
      <c r="BP220" s="330"/>
      <c r="BQ220" s="330"/>
      <c r="BR220" s="330"/>
      <c r="BS220" s="331"/>
      <c r="BT220" s="326"/>
      <c r="BU220" s="332">
        <f t="shared" si="637"/>
        <v>0</v>
      </c>
      <c r="BV220" s="333">
        <f t="shared" si="638"/>
        <v>0</v>
      </c>
      <c r="BW220" s="329"/>
      <c r="BX220" s="330"/>
      <c r="BY220" s="330"/>
      <c r="BZ220" s="330"/>
      <c r="CA220" s="330"/>
      <c r="CB220" s="330"/>
      <c r="CC220" s="330"/>
      <c r="CD220" s="330"/>
      <c r="CE220" s="330"/>
      <c r="CF220" s="330"/>
      <c r="CG220" s="330"/>
      <c r="CH220" s="331"/>
      <c r="CI220" s="326"/>
      <c r="CJ220" s="332">
        <f t="shared" si="639"/>
        <v>0</v>
      </c>
      <c r="CK220" s="333">
        <f t="shared" si="640"/>
        <v>0</v>
      </c>
      <c r="CL220" s="334">
        <f t="shared" si="641"/>
        <v>0</v>
      </c>
      <c r="CM220" s="335">
        <f t="shared" si="642"/>
        <v>0</v>
      </c>
      <c r="CN220" s="336">
        <f t="shared" si="643"/>
        <v>0</v>
      </c>
      <c r="CQ220" s="480"/>
    </row>
    <row r="221" spans="1:95" s="33" customFormat="1" ht="15.75" customHeight="1">
      <c r="A221" s="1051" t="s">
        <v>1545</v>
      </c>
      <c r="B221" s="1048" t="s">
        <v>102</v>
      </c>
      <c r="C221" s="1048" t="s">
        <v>102</v>
      </c>
      <c r="D221" s="34"/>
      <c r="E221" s="128" t="s">
        <v>106</v>
      </c>
      <c r="F221" s="911"/>
      <c r="G221" s="912" t="s">
        <v>1616</v>
      </c>
      <c r="H221" s="912" t="s">
        <v>60</v>
      </c>
      <c r="I221" s="913" t="s">
        <v>2046</v>
      </c>
      <c r="J221" s="674" t="s">
        <v>1990</v>
      </c>
      <c r="K221" s="374">
        <f>IFERROR(VLOOKUP(H221,справочник!$A$3:$B$12,2,0),"нет данных")</f>
        <v>11900</v>
      </c>
      <c r="L221" s="326"/>
      <c r="M221" s="399"/>
      <c r="N221" s="346">
        <f t="shared" si="644"/>
        <v>0</v>
      </c>
      <c r="O221" s="394"/>
      <c r="P221" s="352"/>
      <c r="Q221" s="352"/>
      <c r="R221" s="352"/>
      <c r="S221" s="352"/>
      <c r="T221" s="352"/>
      <c r="U221" s="324"/>
      <c r="V221" s="324"/>
      <c r="W221" s="324"/>
      <c r="X221" s="324"/>
      <c r="Y221" s="324"/>
      <c r="Z221" s="325"/>
      <c r="AA221" s="326"/>
      <c r="AB221" s="327">
        <f t="shared" si="645"/>
        <v>0</v>
      </c>
      <c r="AC221" s="346">
        <f t="shared" si="634"/>
        <v>0</v>
      </c>
      <c r="AD221" s="345"/>
      <c r="AE221" s="330"/>
      <c r="AF221" s="330"/>
      <c r="AG221" s="330"/>
      <c r="AH221" s="330"/>
      <c r="AI221" s="330"/>
      <c r="AJ221" s="330"/>
      <c r="AK221" s="330"/>
      <c r="AL221" s="330"/>
      <c r="AM221" s="330"/>
      <c r="AN221" s="330"/>
      <c r="AO221" s="331"/>
      <c r="AP221" s="326"/>
      <c r="AQ221" s="332">
        <f t="shared" si="646"/>
        <v>0</v>
      </c>
      <c r="AR221" s="344">
        <f t="shared" si="635"/>
        <v>0</v>
      </c>
      <c r="AS221" s="960"/>
      <c r="AT221" s="958"/>
      <c r="AU221" s="958"/>
      <c r="AV221" s="958"/>
      <c r="AW221" s="958"/>
      <c r="AX221" s="958"/>
      <c r="AY221" s="958"/>
      <c r="AZ221" s="958"/>
      <c r="BA221" s="958"/>
      <c r="BB221" s="958"/>
      <c r="BC221" s="958"/>
      <c r="BD221" s="1016">
        <v>2</v>
      </c>
      <c r="BE221" s="956"/>
      <c r="BF221" s="332">
        <f t="shared" si="647"/>
        <v>2</v>
      </c>
      <c r="BG221" s="344">
        <f t="shared" si="636"/>
        <v>23800</v>
      </c>
      <c r="BH221" s="329"/>
      <c r="BI221" s="330"/>
      <c r="BJ221" s="330"/>
      <c r="BK221" s="330"/>
      <c r="BL221" s="330"/>
      <c r="BM221" s="330"/>
      <c r="BN221" s="330"/>
      <c r="BO221" s="330"/>
      <c r="BP221" s="330"/>
      <c r="BQ221" s="330"/>
      <c r="BR221" s="330"/>
      <c r="BS221" s="331"/>
      <c r="BT221" s="326"/>
      <c r="BU221" s="332">
        <f t="shared" si="637"/>
        <v>0</v>
      </c>
      <c r="BV221" s="333">
        <f t="shared" si="638"/>
        <v>0</v>
      </c>
      <c r="BW221" s="329"/>
      <c r="BX221" s="330"/>
      <c r="BY221" s="330"/>
      <c r="BZ221" s="330"/>
      <c r="CA221" s="330"/>
      <c r="CB221" s="330"/>
      <c r="CC221" s="330"/>
      <c r="CD221" s="330"/>
      <c r="CE221" s="330"/>
      <c r="CF221" s="330"/>
      <c r="CG221" s="330"/>
      <c r="CH221" s="331"/>
      <c r="CI221" s="326"/>
      <c r="CJ221" s="332">
        <f t="shared" si="639"/>
        <v>0</v>
      </c>
      <c r="CK221" s="333">
        <f t="shared" si="640"/>
        <v>0</v>
      </c>
      <c r="CL221" s="334">
        <f t="shared" si="641"/>
        <v>0</v>
      </c>
      <c r="CM221" s="335">
        <f t="shared" si="642"/>
        <v>2</v>
      </c>
      <c r="CN221" s="336">
        <f t="shared" si="643"/>
        <v>23800</v>
      </c>
      <c r="CQ221" s="480"/>
    </row>
    <row r="222" spans="1:95" s="33" customFormat="1" ht="25.5">
      <c r="A222" s="1052"/>
      <c r="B222" s="1050"/>
      <c r="C222" s="1050"/>
      <c r="D222" s="34"/>
      <c r="E222" s="128" t="s">
        <v>106</v>
      </c>
      <c r="F222" s="911"/>
      <c r="G222" s="916" t="s">
        <v>33</v>
      </c>
      <c r="H222" s="912" t="s">
        <v>61</v>
      </c>
      <c r="I222" s="913" t="s">
        <v>2045</v>
      </c>
      <c r="J222" s="674" t="s">
        <v>1990</v>
      </c>
      <c r="K222" s="374">
        <f>IFERROR(VLOOKUP(H222,справочник!$A$3:$B$12,2,0),"нет данных")</f>
        <v>15930</v>
      </c>
      <c r="L222" s="326"/>
      <c r="M222" s="399"/>
      <c r="N222" s="346">
        <f t="shared" si="644"/>
        <v>0</v>
      </c>
      <c r="O222" s="394"/>
      <c r="P222" s="352"/>
      <c r="Q222" s="352"/>
      <c r="R222" s="352"/>
      <c r="S222" s="352"/>
      <c r="T222" s="352"/>
      <c r="U222" s="324"/>
      <c r="V222" s="324"/>
      <c r="W222" s="324"/>
      <c r="X222" s="324"/>
      <c r="Y222" s="324"/>
      <c r="Z222" s="325"/>
      <c r="AA222" s="326"/>
      <c r="AB222" s="327">
        <f t="shared" si="645"/>
        <v>0</v>
      </c>
      <c r="AC222" s="346">
        <f t="shared" si="634"/>
        <v>0</v>
      </c>
      <c r="AD222" s="345"/>
      <c r="AE222" s="330"/>
      <c r="AF222" s="330"/>
      <c r="AG222" s="330"/>
      <c r="AH222" s="330"/>
      <c r="AI222" s="330"/>
      <c r="AJ222" s="330"/>
      <c r="AK222" s="330"/>
      <c r="AL222" s="330"/>
      <c r="AM222" s="330"/>
      <c r="AN222" s="330"/>
      <c r="AO222" s="331"/>
      <c r="AP222" s="326"/>
      <c r="AQ222" s="332">
        <f t="shared" si="646"/>
        <v>0</v>
      </c>
      <c r="AR222" s="344">
        <f t="shared" si="635"/>
        <v>0</v>
      </c>
      <c r="AS222" s="960"/>
      <c r="AT222" s="958"/>
      <c r="AU222" s="958"/>
      <c r="AV222" s="958"/>
      <c r="AW222" s="958"/>
      <c r="AX222" s="958"/>
      <c r="AY222" s="958"/>
      <c r="AZ222" s="958"/>
      <c r="BA222" s="958"/>
      <c r="BB222" s="1017"/>
      <c r="BC222" s="1015">
        <v>15</v>
      </c>
      <c r="BD222" s="1016">
        <v>17</v>
      </c>
      <c r="BE222" s="956"/>
      <c r="BF222" s="332">
        <f t="shared" si="647"/>
        <v>32</v>
      </c>
      <c r="BG222" s="344">
        <f t="shared" si="636"/>
        <v>509760</v>
      </c>
      <c r="BH222" s="329"/>
      <c r="BI222" s="330"/>
      <c r="BJ222" s="330"/>
      <c r="BK222" s="330"/>
      <c r="BL222" s="330"/>
      <c r="BM222" s="330"/>
      <c r="BN222" s="330"/>
      <c r="BO222" s="330"/>
      <c r="BP222" s="330"/>
      <c r="BQ222" s="330"/>
      <c r="BR222" s="330"/>
      <c r="BS222" s="331"/>
      <c r="BT222" s="326"/>
      <c r="BU222" s="332">
        <f t="shared" si="637"/>
        <v>0</v>
      </c>
      <c r="BV222" s="333">
        <f t="shared" si="638"/>
        <v>0</v>
      </c>
      <c r="BW222" s="329"/>
      <c r="BX222" s="330"/>
      <c r="BY222" s="330"/>
      <c r="BZ222" s="330"/>
      <c r="CA222" s="330"/>
      <c r="CB222" s="330"/>
      <c r="CC222" s="330"/>
      <c r="CD222" s="330"/>
      <c r="CE222" s="330"/>
      <c r="CF222" s="330"/>
      <c r="CG222" s="330"/>
      <c r="CH222" s="331"/>
      <c r="CI222" s="326"/>
      <c r="CJ222" s="332">
        <f t="shared" si="639"/>
        <v>0</v>
      </c>
      <c r="CK222" s="333">
        <f t="shared" si="640"/>
        <v>0</v>
      </c>
      <c r="CL222" s="334">
        <f t="shared" si="641"/>
        <v>0</v>
      </c>
      <c r="CM222" s="335">
        <f t="shared" si="642"/>
        <v>32</v>
      </c>
      <c r="CN222" s="336">
        <f t="shared" si="643"/>
        <v>509760</v>
      </c>
      <c r="CQ222" s="480"/>
    </row>
    <row r="223" spans="1:95" s="33" customFormat="1" ht="15.75" customHeight="1">
      <c r="A223" s="1051" t="s">
        <v>1546</v>
      </c>
      <c r="B223" s="1048" t="s">
        <v>1522</v>
      </c>
      <c r="C223" s="1048" t="s">
        <v>103</v>
      </c>
      <c r="D223" s="34"/>
      <c r="E223" s="128" t="s">
        <v>106</v>
      </c>
      <c r="F223" s="911"/>
      <c r="G223" s="912" t="s">
        <v>33</v>
      </c>
      <c r="H223" s="912" t="s">
        <v>61</v>
      </c>
      <c r="I223" s="913" t="s">
        <v>2045</v>
      </c>
      <c r="J223" s="674" t="s">
        <v>1990</v>
      </c>
      <c r="K223" s="374">
        <f>IFERROR(VLOOKUP(H223,справочник!$A$3:$B$12,2,0),"нет данных")</f>
        <v>15930</v>
      </c>
      <c r="L223" s="326"/>
      <c r="M223" s="399"/>
      <c r="N223" s="346">
        <f t="shared" si="644"/>
        <v>0</v>
      </c>
      <c r="O223" s="394"/>
      <c r="P223" s="352"/>
      <c r="Q223" s="352"/>
      <c r="R223" s="352"/>
      <c r="S223" s="352"/>
      <c r="T223" s="352"/>
      <c r="U223" s="324"/>
      <c r="V223" s="324"/>
      <c r="W223" s="324"/>
      <c r="X223" s="324"/>
      <c r="Y223" s="324"/>
      <c r="Z223" s="325"/>
      <c r="AA223" s="326"/>
      <c r="AB223" s="327">
        <f t="shared" si="645"/>
        <v>0</v>
      </c>
      <c r="AC223" s="346">
        <f t="shared" si="634"/>
        <v>0</v>
      </c>
      <c r="AD223" s="329"/>
      <c r="AE223" s="330"/>
      <c r="AF223" s="330"/>
      <c r="AG223" s="330"/>
      <c r="AH223" s="330"/>
      <c r="AI223" s="330"/>
      <c r="AJ223" s="330"/>
      <c r="AK223" s="330"/>
      <c r="AL223" s="330"/>
      <c r="AM223" s="330"/>
      <c r="AN223" s="330"/>
      <c r="AO223" s="331"/>
      <c r="AP223" s="326"/>
      <c r="AQ223" s="332">
        <f t="shared" si="646"/>
        <v>0</v>
      </c>
      <c r="AR223" s="344">
        <f t="shared" si="635"/>
        <v>0</v>
      </c>
      <c r="AS223" s="957"/>
      <c r="AT223" s="958"/>
      <c r="AU223" s="958"/>
      <c r="AV223" s="958"/>
      <c r="AW223" s="958"/>
      <c r="AX223" s="958"/>
      <c r="AY223" s="958"/>
      <c r="AZ223" s="958"/>
      <c r="BA223" s="958"/>
      <c r="BB223" s="958"/>
      <c r="BC223" s="1015">
        <v>2</v>
      </c>
      <c r="BD223" s="959"/>
      <c r="BE223" s="956"/>
      <c r="BF223" s="332">
        <f t="shared" si="647"/>
        <v>2</v>
      </c>
      <c r="BG223" s="344">
        <f t="shared" si="636"/>
        <v>31860</v>
      </c>
      <c r="BH223" s="329"/>
      <c r="BI223" s="330"/>
      <c r="BJ223" s="330"/>
      <c r="BK223" s="330"/>
      <c r="BL223" s="330"/>
      <c r="BM223" s="330"/>
      <c r="BN223" s="330"/>
      <c r="BO223" s="330"/>
      <c r="BP223" s="330"/>
      <c r="BQ223" s="330"/>
      <c r="BR223" s="330"/>
      <c r="BS223" s="331"/>
      <c r="BT223" s="326"/>
      <c r="BU223" s="332">
        <f t="shared" si="637"/>
        <v>0</v>
      </c>
      <c r="BV223" s="333">
        <f t="shared" si="638"/>
        <v>0</v>
      </c>
      <c r="BW223" s="329"/>
      <c r="BX223" s="330"/>
      <c r="BY223" s="330"/>
      <c r="BZ223" s="330"/>
      <c r="CA223" s="330"/>
      <c r="CB223" s="330"/>
      <c r="CC223" s="330"/>
      <c r="CD223" s="330"/>
      <c r="CE223" s="330"/>
      <c r="CF223" s="330"/>
      <c r="CG223" s="330"/>
      <c r="CH223" s="331"/>
      <c r="CI223" s="326"/>
      <c r="CJ223" s="332">
        <f t="shared" si="639"/>
        <v>0</v>
      </c>
      <c r="CK223" s="333">
        <f t="shared" si="640"/>
        <v>0</v>
      </c>
      <c r="CL223" s="334">
        <f t="shared" si="641"/>
        <v>0</v>
      </c>
      <c r="CM223" s="335">
        <f t="shared" si="642"/>
        <v>2</v>
      </c>
      <c r="CN223" s="336">
        <f t="shared" si="643"/>
        <v>31860</v>
      </c>
      <c r="CQ223" s="480"/>
    </row>
    <row r="224" spans="1:95" s="33" customFormat="1" ht="18.75">
      <c r="A224" s="1052"/>
      <c r="B224" s="1050"/>
      <c r="C224" s="1050"/>
      <c r="D224" s="34"/>
      <c r="E224" s="128" t="s">
        <v>106</v>
      </c>
      <c r="F224" s="911"/>
      <c r="G224" s="914"/>
      <c r="H224" s="912"/>
      <c r="I224" s="915"/>
      <c r="J224" s="674" t="s">
        <v>1990</v>
      </c>
      <c r="K224" s="374" t="str">
        <f>IFERROR(VLOOKUP(H224,справочник!$A$3:$B$12,2,0),"нет данных")</f>
        <v>нет данных</v>
      </c>
      <c r="L224" s="326"/>
      <c r="M224" s="399"/>
      <c r="N224" s="346">
        <f t="shared" si="644"/>
        <v>0</v>
      </c>
      <c r="O224" s="394"/>
      <c r="P224" s="352"/>
      <c r="Q224" s="352"/>
      <c r="R224" s="352"/>
      <c r="S224" s="352"/>
      <c r="T224" s="352"/>
      <c r="U224" s="324"/>
      <c r="V224" s="324"/>
      <c r="W224" s="324"/>
      <c r="X224" s="324"/>
      <c r="Y224" s="324"/>
      <c r="Z224" s="325"/>
      <c r="AA224" s="326"/>
      <c r="AB224" s="327">
        <f t="shared" si="645"/>
        <v>0</v>
      </c>
      <c r="AC224" s="346">
        <f t="shared" si="634"/>
        <v>0</v>
      </c>
      <c r="AD224" s="345"/>
      <c r="AE224" s="330"/>
      <c r="AF224" s="330"/>
      <c r="AG224" s="330"/>
      <c r="AH224" s="330"/>
      <c r="AI224" s="330"/>
      <c r="AJ224" s="330"/>
      <c r="AK224" s="330"/>
      <c r="AL224" s="330"/>
      <c r="AM224" s="330"/>
      <c r="AN224" s="330"/>
      <c r="AO224" s="331"/>
      <c r="AP224" s="326"/>
      <c r="AQ224" s="332">
        <f t="shared" si="646"/>
        <v>0</v>
      </c>
      <c r="AR224" s="344">
        <f t="shared" si="635"/>
        <v>0</v>
      </c>
      <c r="AS224" s="960"/>
      <c r="AT224" s="958"/>
      <c r="AU224" s="958"/>
      <c r="AV224" s="958"/>
      <c r="AW224" s="958"/>
      <c r="AX224" s="958"/>
      <c r="AY224" s="958"/>
      <c r="AZ224" s="958"/>
      <c r="BA224" s="958"/>
      <c r="BB224" s="958"/>
      <c r="BC224" s="958"/>
      <c r="BD224" s="959"/>
      <c r="BE224" s="956"/>
      <c r="BF224" s="332">
        <f t="shared" si="647"/>
        <v>0</v>
      </c>
      <c r="BG224" s="344">
        <f t="shared" si="636"/>
        <v>0</v>
      </c>
      <c r="BH224" s="329"/>
      <c r="BI224" s="330"/>
      <c r="BJ224" s="330"/>
      <c r="BK224" s="330"/>
      <c r="BL224" s="330"/>
      <c r="BM224" s="330"/>
      <c r="BN224" s="330"/>
      <c r="BO224" s="330"/>
      <c r="BP224" s="330"/>
      <c r="BQ224" s="330"/>
      <c r="BR224" s="330"/>
      <c r="BS224" s="331"/>
      <c r="BT224" s="326"/>
      <c r="BU224" s="332">
        <f t="shared" si="637"/>
        <v>0</v>
      </c>
      <c r="BV224" s="333">
        <f t="shared" si="638"/>
        <v>0</v>
      </c>
      <c r="BW224" s="329"/>
      <c r="BX224" s="330"/>
      <c r="BY224" s="330"/>
      <c r="BZ224" s="330"/>
      <c r="CA224" s="330"/>
      <c r="CB224" s="330"/>
      <c r="CC224" s="330"/>
      <c r="CD224" s="330"/>
      <c r="CE224" s="330"/>
      <c r="CF224" s="330"/>
      <c r="CG224" s="330"/>
      <c r="CH224" s="331"/>
      <c r="CI224" s="326"/>
      <c r="CJ224" s="332">
        <f t="shared" si="639"/>
        <v>0</v>
      </c>
      <c r="CK224" s="333">
        <f t="shared" si="640"/>
        <v>0</v>
      </c>
      <c r="CL224" s="334">
        <f t="shared" si="641"/>
        <v>0</v>
      </c>
      <c r="CM224" s="335">
        <f t="shared" si="642"/>
        <v>0</v>
      </c>
      <c r="CN224" s="336">
        <f t="shared" si="643"/>
        <v>0</v>
      </c>
      <c r="CQ224" s="480"/>
    </row>
    <row r="225" spans="1:95" s="33" customFormat="1" ht="25.5">
      <c r="A225" s="1051" t="s">
        <v>1547</v>
      </c>
      <c r="B225" s="1048" t="s">
        <v>104</v>
      </c>
      <c r="C225" s="1048" t="s">
        <v>104</v>
      </c>
      <c r="D225" s="34"/>
      <c r="E225" s="128" t="s">
        <v>106</v>
      </c>
      <c r="F225" s="911"/>
      <c r="G225" s="912" t="s">
        <v>33</v>
      </c>
      <c r="H225" s="912" t="s">
        <v>61</v>
      </c>
      <c r="I225" s="913" t="s">
        <v>2045</v>
      </c>
      <c r="J225" s="674" t="s">
        <v>1990</v>
      </c>
      <c r="K225" s="374">
        <f>IFERROR(VLOOKUP(H225,справочник!$A$3:$B$12,2,0),"нет данных")</f>
        <v>15930</v>
      </c>
      <c r="L225" s="326"/>
      <c r="M225" s="399"/>
      <c r="N225" s="346">
        <f t="shared" si="644"/>
        <v>0</v>
      </c>
      <c r="O225" s="394"/>
      <c r="P225" s="352"/>
      <c r="Q225" s="352"/>
      <c r="R225" s="352"/>
      <c r="S225" s="352"/>
      <c r="T225" s="352"/>
      <c r="U225" s="324"/>
      <c r="V225" s="324"/>
      <c r="W225" s="324"/>
      <c r="X225" s="324"/>
      <c r="Y225" s="324"/>
      <c r="Z225" s="325"/>
      <c r="AA225" s="326"/>
      <c r="AB225" s="327">
        <f t="shared" si="645"/>
        <v>0</v>
      </c>
      <c r="AC225" s="346">
        <f t="shared" si="634"/>
        <v>0</v>
      </c>
      <c r="AD225" s="329"/>
      <c r="AE225" s="330"/>
      <c r="AF225" s="330"/>
      <c r="AG225" s="330"/>
      <c r="AH225" s="330"/>
      <c r="AI225" s="330"/>
      <c r="AJ225" s="330"/>
      <c r="AK225" s="330"/>
      <c r="AL225" s="330"/>
      <c r="AM225" s="330"/>
      <c r="AN225" s="330"/>
      <c r="AO225" s="331"/>
      <c r="AP225" s="326"/>
      <c r="AQ225" s="332">
        <f t="shared" si="646"/>
        <v>0</v>
      </c>
      <c r="AR225" s="344">
        <f t="shared" si="635"/>
        <v>0</v>
      </c>
      <c r="AS225" s="957"/>
      <c r="AT225" s="958"/>
      <c r="AU225" s="958"/>
      <c r="AV225" s="958"/>
      <c r="AW225" s="958"/>
      <c r="AX225" s="958"/>
      <c r="AY225" s="958"/>
      <c r="AZ225" s="958"/>
      <c r="BA225" s="958"/>
      <c r="BB225" s="958"/>
      <c r="BC225" s="958"/>
      <c r="BD225" s="1016">
        <v>2</v>
      </c>
      <c r="BE225" s="956"/>
      <c r="BF225" s="332">
        <f t="shared" si="647"/>
        <v>2</v>
      </c>
      <c r="BG225" s="344">
        <f t="shared" si="636"/>
        <v>31860</v>
      </c>
      <c r="BH225" s="329"/>
      <c r="BI225" s="330"/>
      <c r="BJ225" s="330"/>
      <c r="BK225" s="330"/>
      <c r="BL225" s="330"/>
      <c r="BM225" s="330"/>
      <c r="BN225" s="330"/>
      <c r="BO225" s="330"/>
      <c r="BP225" s="330"/>
      <c r="BQ225" s="330"/>
      <c r="BR225" s="330"/>
      <c r="BS225" s="331"/>
      <c r="BT225" s="326"/>
      <c r="BU225" s="332">
        <f t="shared" si="637"/>
        <v>0</v>
      </c>
      <c r="BV225" s="333">
        <f t="shared" si="638"/>
        <v>0</v>
      </c>
      <c r="BW225" s="329"/>
      <c r="BX225" s="330"/>
      <c r="BY225" s="330"/>
      <c r="BZ225" s="330"/>
      <c r="CA225" s="330"/>
      <c r="CB225" s="330"/>
      <c r="CC225" s="330"/>
      <c r="CD225" s="330"/>
      <c r="CE225" s="330"/>
      <c r="CF225" s="330"/>
      <c r="CG225" s="330"/>
      <c r="CH225" s="331"/>
      <c r="CI225" s="326"/>
      <c r="CJ225" s="332">
        <f t="shared" si="639"/>
        <v>0</v>
      </c>
      <c r="CK225" s="333">
        <f t="shared" si="640"/>
        <v>0</v>
      </c>
      <c r="CL225" s="334">
        <f t="shared" si="641"/>
        <v>0</v>
      </c>
      <c r="CM225" s="335">
        <f t="shared" si="642"/>
        <v>2</v>
      </c>
      <c r="CN225" s="336">
        <f t="shared" si="643"/>
        <v>31860</v>
      </c>
      <c r="CQ225" s="480"/>
    </row>
    <row r="226" spans="1:95" s="33" customFormat="1" ht="18.75">
      <c r="A226" s="1052"/>
      <c r="B226" s="1050"/>
      <c r="C226" s="1050"/>
      <c r="D226" s="34"/>
      <c r="E226" s="128" t="s">
        <v>106</v>
      </c>
      <c r="F226" s="911"/>
      <c r="G226" s="914"/>
      <c r="H226" s="912"/>
      <c r="I226" s="915"/>
      <c r="J226" s="674" t="s">
        <v>1990</v>
      </c>
      <c r="K226" s="374" t="str">
        <f>IFERROR(VLOOKUP(H226,справочник!$A$3:$B$12,2,0),"нет данных")</f>
        <v>нет данных</v>
      </c>
      <c r="L226" s="326"/>
      <c r="M226" s="399"/>
      <c r="N226" s="346">
        <f t="shared" si="644"/>
        <v>0</v>
      </c>
      <c r="O226" s="394"/>
      <c r="P226" s="352"/>
      <c r="Q226" s="352"/>
      <c r="R226" s="352"/>
      <c r="S226" s="352"/>
      <c r="T226" s="352"/>
      <c r="U226" s="324"/>
      <c r="V226" s="324"/>
      <c r="W226" s="324"/>
      <c r="X226" s="324"/>
      <c r="Y226" s="324"/>
      <c r="Z226" s="325"/>
      <c r="AA226" s="326"/>
      <c r="AB226" s="327">
        <f t="shared" si="645"/>
        <v>0</v>
      </c>
      <c r="AC226" s="346">
        <f t="shared" si="634"/>
        <v>0</v>
      </c>
      <c r="AD226" s="347"/>
      <c r="AE226" s="330"/>
      <c r="AF226" s="330"/>
      <c r="AG226" s="330"/>
      <c r="AH226" s="330"/>
      <c r="AI226" s="330"/>
      <c r="AJ226" s="330"/>
      <c r="AK226" s="330"/>
      <c r="AL226" s="330"/>
      <c r="AM226" s="330"/>
      <c r="AN226" s="330"/>
      <c r="AO226" s="331"/>
      <c r="AP226" s="326"/>
      <c r="AQ226" s="332">
        <f t="shared" si="646"/>
        <v>0</v>
      </c>
      <c r="AR226" s="344">
        <f t="shared" si="635"/>
        <v>0</v>
      </c>
      <c r="AS226" s="961"/>
      <c r="AT226" s="958"/>
      <c r="AU226" s="958"/>
      <c r="AV226" s="958"/>
      <c r="AW226" s="958"/>
      <c r="AX226" s="958"/>
      <c r="AY226" s="958"/>
      <c r="AZ226" s="958"/>
      <c r="BA226" s="958"/>
      <c r="BB226" s="958"/>
      <c r="BC226" s="958"/>
      <c r="BD226" s="959"/>
      <c r="BE226" s="956"/>
      <c r="BF226" s="332">
        <f t="shared" si="647"/>
        <v>0</v>
      </c>
      <c r="BG226" s="344">
        <f t="shared" si="636"/>
        <v>0</v>
      </c>
      <c r="BH226" s="329"/>
      <c r="BI226" s="330"/>
      <c r="BJ226" s="330"/>
      <c r="BK226" s="330"/>
      <c r="BL226" s="330"/>
      <c r="BM226" s="330"/>
      <c r="BN226" s="330"/>
      <c r="BO226" s="330"/>
      <c r="BP226" s="330"/>
      <c r="BQ226" s="330"/>
      <c r="BR226" s="330"/>
      <c r="BS226" s="331"/>
      <c r="BT226" s="326"/>
      <c r="BU226" s="332">
        <f t="shared" si="637"/>
        <v>0</v>
      </c>
      <c r="BV226" s="333">
        <f t="shared" si="638"/>
        <v>0</v>
      </c>
      <c r="BW226" s="329"/>
      <c r="BX226" s="330"/>
      <c r="BY226" s="330"/>
      <c r="BZ226" s="330"/>
      <c r="CA226" s="330"/>
      <c r="CB226" s="330"/>
      <c r="CC226" s="330"/>
      <c r="CD226" s="330"/>
      <c r="CE226" s="330"/>
      <c r="CF226" s="330"/>
      <c r="CG226" s="330"/>
      <c r="CH226" s="331"/>
      <c r="CI226" s="326"/>
      <c r="CJ226" s="332">
        <f t="shared" si="639"/>
        <v>0</v>
      </c>
      <c r="CK226" s="333">
        <f t="shared" si="640"/>
        <v>0</v>
      </c>
      <c r="CL226" s="334">
        <f t="shared" si="641"/>
        <v>0</v>
      </c>
      <c r="CM226" s="335">
        <f t="shared" si="642"/>
        <v>0</v>
      </c>
      <c r="CN226" s="336">
        <f t="shared" si="643"/>
        <v>0</v>
      </c>
      <c r="CQ226" s="480"/>
    </row>
    <row r="227" spans="1:95" s="33" customFormat="1" ht="14.25" customHeight="1" thickBot="1">
      <c r="A227" s="1055" t="s">
        <v>73</v>
      </c>
      <c r="B227" s="1056"/>
      <c r="C227" s="180"/>
      <c r="D227" s="141"/>
      <c r="E227" s="126"/>
      <c r="F227" s="126"/>
      <c r="G227" s="134"/>
      <c r="H227" s="135"/>
      <c r="I227" s="135"/>
      <c r="J227" s="688"/>
      <c r="K227" s="348" t="str">
        <f>IFERROR(INDEX(#REF!,MATCH(#REF!&amp;F227&amp;H227,#REF!,0)),"")</f>
        <v/>
      </c>
      <c r="L227" s="355">
        <f t="shared" ref="L227:AR227" si="648">SUM(L217:L226)</f>
        <v>0</v>
      </c>
      <c r="M227" s="356">
        <f>SUM(M217:M226)</f>
        <v>0</v>
      </c>
      <c r="N227" s="338">
        <f t="shared" si="648"/>
        <v>0</v>
      </c>
      <c r="O227" s="359">
        <f t="shared" si="648"/>
        <v>0</v>
      </c>
      <c r="P227" s="353">
        <f t="shared" si="648"/>
        <v>0</v>
      </c>
      <c r="Q227" s="353">
        <f t="shared" si="648"/>
        <v>0</v>
      </c>
      <c r="R227" s="353">
        <f t="shared" si="648"/>
        <v>0</v>
      </c>
      <c r="S227" s="353">
        <f t="shared" si="648"/>
        <v>0</v>
      </c>
      <c r="T227" s="353">
        <f t="shared" si="648"/>
        <v>0</v>
      </c>
      <c r="U227" s="353">
        <f t="shared" si="648"/>
        <v>0</v>
      </c>
      <c r="V227" s="353">
        <f t="shared" si="648"/>
        <v>0</v>
      </c>
      <c r="W227" s="353">
        <f t="shared" si="648"/>
        <v>0</v>
      </c>
      <c r="X227" s="353">
        <f t="shared" si="648"/>
        <v>0</v>
      </c>
      <c r="Y227" s="353">
        <f t="shared" si="648"/>
        <v>0</v>
      </c>
      <c r="Z227" s="353">
        <f t="shared" si="648"/>
        <v>0</v>
      </c>
      <c r="AA227" s="355">
        <f>SUM(AA217:AA226)</f>
        <v>0</v>
      </c>
      <c r="AB227" s="356">
        <f>SUM(AB217:AB226)</f>
        <v>0</v>
      </c>
      <c r="AC227" s="338">
        <f t="shared" ref="AC227" si="649">SUM(AC217:AC226)</f>
        <v>0</v>
      </c>
      <c r="AD227" s="358">
        <f t="shared" si="648"/>
        <v>0</v>
      </c>
      <c r="AE227" s="358">
        <f t="shared" si="648"/>
        <v>0</v>
      </c>
      <c r="AF227" s="358">
        <f t="shared" si="648"/>
        <v>0</v>
      </c>
      <c r="AG227" s="358">
        <f t="shared" si="648"/>
        <v>0</v>
      </c>
      <c r="AH227" s="358">
        <f t="shared" si="648"/>
        <v>0</v>
      </c>
      <c r="AI227" s="358">
        <f t="shared" si="648"/>
        <v>0</v>
      </c>
      <c r="AJ227" s="358">
        <f t="shared" si="648"/>
        <v>0</v>
      </c>
      <c r="AK227" s="358">
        <f t="shared" si="648"/>
        <v>0</v>
      </c>
      <c r="AL227" s="358">
        <f t="shared" si="648"/>
        <v>0</v>
      </c>
      <c r="AM227" s="358">
        <f t="shared" si="648"/>
        <v>0</v>
      </c>
      <c r="AN227" s="358">
        <f t="shared" si="648"/>
        <v>0</v>
      </c>
      <c r="AO227" s="358">
        <f t="shared" si="648"/>
        <v>0</v>
      </c>
      <c r="AP227" s="359">
        <f t="shared" si="648"/>
        <v>0</v>
      </c>
      <c r="AQ227" s="360">
        <f t="shared" si="648"/>
        <v>0</v>
      </c>
      <c r="AR227" s="361">
        <f t="shared" si="648"/>
        <v>0</v>
      </c>
      <c r="AS227" s="358">
        <f t="shared" ref="AS227:CN227" si="650">SUM(AS217:AS226)</f>
        <v>0</v>
      </c>
      <c r="AT227" s="358">
        <f t="shared" si="650"/>
        <v>0</v>
      </c>
      <c r="AU227" s="358">
        <f t="shared" si="650"/>
        <v>0</v>
      </c>
      <c r="AV227" s="358">
        <f t="shared" si="650"/>
        <v>0</v>
      </c>
      <c r="AW227" s="358">
        <f t="shared" si="650"/>
        <v>0</v>
      </c>
      <c r="AX227" s="358">
        <f t="shared" si="650"/>
        <v>0</v>
      </c>
      <c r="AY227" s="358">
        <f t="shared" si="650"/>
        <v>0</v>
      </c>
      <c r="AZ227" s="358">
        <f t="shared" si="650"/>
        <v>0</v>
      </c>
      <c r="BA227" s="358">
        <f t="shared" si="650"/>
        <v>0</v>
      </c>
      <c r="BB227" s="358">
        <f t="shared" si="650"/>
        <v>0</v>
      </c>
      <c r="BC227" s="358">
        <f t="shared" si="650"/>
        <v>17</v>
      </c>
      <c r="BD227" s="358">
        <f t="shared" si="650"/>
        <v>34</v>
      </c>
      <c r="BE227" s="359">
        <f t="shared" si="650"/>
        <v>0</v>
      </c>
      <c r="BF227" s="360">
        <f t="shared" si="650"/>
        <v>51</v>
      </c>
      <c r="BG227" s="361">
        <f t="shared" si="650"/>
        <v>764070</v>
      </c>
      <c r="BH227" s="400"/>
      <c r="BI227" s="400"/>
      <c r="BJ227" s="400"/>
      <c r="BK227" s="400"/>
      <c r="BL227" s="400"/>
      <c r="BM227" s="400"/>
      <c r="BN227" s="400"/>
      <c r="BO227" s="400"/>
      <c r="BP227" s="400"/>
      <c r="BQ227" s="400"/>
      <c r="BR227" s="400"/>
      <c r="BS227" s="400"/>
      <c r="BT227" s="359">
        <f t="shared" ref="BT227:BV227" si="651">SUM(BT217:BT226)</f>
        <v>0</v>
      </c>
      <c r="BU227" s="360">
        <f t="shared" si="651"/>
        <v>0</v>
      </c>
      <c r="BV227" s="361">
        <f t="shared" si="651"/>
        <v>0</v>
      </c>
      <c r="BW227" s="400"/>
      <c r="BX227" s="400"/>
      <c r="BY227" s="400"/>
      <c r="BZ227" s="400"/>
      <c r="CA227" s="400"/>
      <c r="CB227" s="400"/>
      <c r="CC227" s="400"/>
      <c r="CD227" s="400"/>
      <c r="CE227" s="400"/>
      <c r="CF227" s="400"/>
      <c r="CG227" s="400"/>
      <c r="CH227" s="400"/>
      <c r="CI227" s="359">
        <f t="shared" ref="CI227:CK227" si="652">SUM(CI217:CI226)</f>
        <v>0</v>
      </c>
      <c r="CJ227" s="360">
        <f t="shared" si="652"/>
        <v>0</v>
      </c>
      <c r="CK227" s="361">
        <f t="shared" si="652"/>
        <v>0</v>
      </c>
      <c r="CL227" s="362">
        <f t="shared" si="650"/>
        <v>0</v>
      </c>
      <c r="CM227" s="362">
        <f t="shared" si="650"/>
        <v>51</v>
      </c>
      <c r="CN227" s="339">
        <f t="shared" si="650"/>
        <v>764070</v>
      </c>
      <c r="CQ227" s="480"/>
    </row>
    <row r="228" spans="1:95" s="36" customFormat="1" ht="20.25" customHeight="1" thickBot="1">
      <c r="A228" s="266"/>
      <c r="B228" s="143"/>
      <c r="C228" s="142"/>
      <c r="D228" s="144"/>
      <c r="E228" s="145"/>
      <c r="F228" s="146"/>
      <c r="G228" s="147"/>
      <c r="H228" s="148"/>
      <c r="I228" s="148"/>
      <c r="J228" s="148"/>
      <c r="K228" s="349" t="s">
        <v>70</v>
      </c>
      <c r="L228" s="370">
        <f t="shared" ref="L228:BG228" si="653">L13+L33+L53+L79+L215+L227</f>
        <v>0</v>
      </c>
      <c r="M228" s="370">
        <f t="shared" si="653"/>
        <v>0</v>
      </c>
      <c r="N228" s="350">
        <f t="shared" si="653"/>
        <v>0</v>
      </c>
      <c r="O228" s="369">
        <f t="shared" si="653"/>
        <v>0</v>
      </c>
      <c r="P228" s="370">
        <f t="shared" si="653"/>
        <v>0</v>
      </c>
      <c r="Q228" s="370">
        <f t="shared" si="653"/>
        <v>0</v>
      </c>
      <c r="R228" s="370">
        <f t="shared" si="653"/>
        <v>0</v>
      </c>
      <c r="S228" s="370">
        <f t="shared" si="653"/>
        <v>0</v>
      </c>
      <c r="T228" s="370">
        <f t="shared" si="653"/>
        <v>0</v>
      </c>
      <c r="U228" s="370">
        <f t="shared" si="653"/>
        <v>0</v>
      </c>
      <c r="V228" s="370">
        <f t="shared" si="653"/>
        <v>0</v>
      </c>
      <c r="W228" s="370">
        <f t="shared" si="653"/>
        <v>0</v>
      </c>
      <c r="X228" s="370">
        <f t="shared" si="653"/>
        <v>0</v>
      </c>
      <c r="Y228" s="370">
        <f t="shared" si="653"/>
        <v>0</v>
      </c>
      <c r="Z228" s="370">
        <f t="shared" si="653"/>
        <v>0</v>
      </c>
      <c r="AA228" s="370">
        <f t="shared" si="653"/>
        <v>0</v>
      </c>
      <c r="AB228" s="370">
        <f t="shared" si="653"/>
        <v>0</v>
      </c>
      <c r="AC228" s="350">
        <f t="shared" si="653"/>
        <v>0</v>
      </c>
      <c r="AD228" s="370">
        <f t="shared" si="653"/>
        <v>0</v>
      </c>
      <c r="AE228" s="370">
        <f t="shared" si="653"/>
        <v>24</v>
      </c>
      <c r="AF228" s="370">
        <f t="shared" si="653"/>
        <v>135</v>
      </c>
      <c r="AG228" s="370">
        <f t="shared" si="653"/>
        <v>150</v>
      </c>
      <c r="AH228" s="370">
        <f t="shared" si="653"/>
        <v>142</v>
      </c>
      <c r="AI228" s="370">
        <f t="shared" si="653"/>
        <v>135</v>
      </c>
      <c r="AJ228" s="370">
        <f t="shared" si="653"/>
        <v>116</v>
      </c>
      <c r="AK228" s="370">
        <f t="shared" si="653"/>
        <v>121</v>
      </c>
      <c r="AL228" s="370">
        <f t="shared" si="653"/>
        <v>148</v>
      </c>
      <c r="AM228" s="370">
        <f t="shared" si="653"/>
        <v>176</v>
      </c>
      <c r="AN228" s="370">
        <f t="shared" si="653"/>
        <v>149</v>
      </c>
      <c r="AO228" s="370">
        <f t="shared" si="653"/>
        <v>152</v>
      </c>
      <c r="AP228" s="370">
        <f t="shared" si="653"/>
        <v>0</v>
      </c>
      <c r="AQ228" s="370">
        <f t="shared" si="653"/>
        <v>1448</v>
      </c>
      <c r="AR228" s="371">
        <f t="shared" si="653"/>
        <v>22387150</v>
      </c>
      <c r="AS228" s="370">
        <f t="shared" si="653"/>
        <v>121</v>
      </c>
      <c r="AT228" s="370">
        <f t="shared" si="653"/>
        <v>166</v>
      </c>
      <c r="AU228" s="370">
        <f t="shared" si="653"/>
        <v>160</v>
      </c>
      <c r="AV228" s="370">
        <f t="shared" si="653"/>
        <v>164</v>
      </c>
      <c r="AW228" s="370">
        <f t="shared" si="653"/>
        <v>147</v>
      </c>
      <c r="AX228" s="370">
        <f t="shared" si="653"/>
        <v>135</v>
      </c>
      <c r="AY228" s="370">
        <f t="shared" si="653"/>
        <v>178</v>
      </c>
      <c r="AZ228" s="370">
        <f t="shared" si="653"/>
        <v>161</v>
      </c>
      <c r="BA228" s="370">
        <f t="shared" si="653"/>
        <v>149</v>
      </c>
      <c r="BB228" s="370">
        <f t="shared" si="653"/>
        <v>176</v>
      </c>
      <c r="BC228" s="370">
        <f t="shared" si="653"/>
        <v>120</v>
      </c>
      <c r="BD228" s="370">
        <f t="shared" si="653"/>
        <v>44</v>
      </c>
      <c r="BE228" s="370">
        <f t="shared" si="653"/>
        <v>0</v>
      </c>
      <c r="BF228" s="370">
        <f t="shared" si="653"/>
        <v>1721</v>
      </c>
      <c r="BG228" s="371">
        <f t="shared" si="653"/>
        <v>23946640</v>
      </c>
      <c r="BH228" s="371"/>
      <c r="BI228" s="371"/>
      <c r="BJ228" s="371"/>
      <c r="BK228" s="371"/>
      <c r="BL228" s="371"/>
      <c r="BM228" s="371"/>
      <c r="BN228" s="371"/>
      <c r="BO228" s="371"/>
      <c r="BP228" s="371"/>
      <c r="BQ228" s="371"/>
      <c r="BR228" s="371"/>
      <c r="BS228" s="371"/>
      <c r="BT228" s="370">
        <f>BT13+BT33+BT53+BT79+BT215+BT227</f>
        <v>0</v>
      </c>
      <c r="BU228" s="370">
        <f>BU13+BU33+BU53+BU79+BU215+BU227</f>
        <v>0</v>
      </c>
      <c r="BV228" s="371">
        <f>BV13+BV33+BV53+BV79+BV215+BV227</f>
        <v>0</v>
      </c>
      <c r="BW228" s="371"/>
      <c r="BX228" s="371"/>
      <c r="BY228" s="371"/>
      <c r="BZ228" s="371"/>
      <c r="CA228" s="371"/>
      <c r="CB228" s="371"/>
      <c r="CC228" s="371"/>
      <c r="CD228" s="371"/>
      <c r="CE228" s="371"/>
      <c r="CF228" s="371"/>
      <c r="CG228" s="371"/>
      <c r="CH228" s="371"/>
      <c r="CI228" s="370">
        <f t="shared" ref="CI228:CN228" si="654">CI13+CI33+CI53+CI79+CI215+CI227</f>
        <v>0</v>
      </c>
      <c r="CJ228" s="370">
        <f t="shared" si="654"/>
        <v>0</v>
      </c>
      <c r="CK228" s="371">
        <f t="shared" si="654"/>
        <v>0</v>
      </c>
      <c r="CL228" s="372">
        <f t="shared" si="654"/>
        <v>0</v>
      </c>
      <c r="CM228" s="369">
        <f t="shared" si="654"/>
        <v>3169</v>
      </c>
      <c r="CN228" s="351">
        <f t="shared" si="654"/>
        <v>46333790</v>
      </c>
      <c r="CO228" s="33"/>
      <c r="CP228" s="33"/>
      <c r="CQ228" s="478"/>
    </row>
    <row r="229" spans="1:95" hidden="1">
      <c r="A229" s="267"/>
      <c r="B229" s="113"/>
      <c r="C229" s="36"/>
      <c r="D229" s="39"/>
      <c r="E229" s="39"/>
      <c r="F229" s="120"/>
      <c r="G229" s="40"/>
      <c r="H229" s="41"/>
      <c r="I229" s="40"/>
      <c r="J229" s="40"/>
      <c r="K229" s="314"/>
      <c r="L229" s="39"/>
      <c r="M229" s="39"/>
      <c r="N229" s="273"/>
      <c r="P229" s="39"/>
      <c r="Q229" s="39"/>
      <c r="R229" s="42"/>
      <c r="S229" s="39"/>
      <c r="T229" s="39"/>
      <c r="U229" s="39"/>
      <c r="V229" s="39"/>
      <c r="W229" s="39"/>
      <c r="X229" s="39"/>
      <c r="Y229" s="39"/>
      <c r="Z229" s="39"/>
      <c r="AA229" s="39"/>
      <c r="AB229" s="39"/>
      <c r="AC229" s="273"/>
      <c r="AD229" s="42"/>
      <c r="AE229" s="39"/>
      <c r="AF229" s="39"/>
      <c r="AG229" s="39"/>
      <c r="AH229" s="39"/>
      <c r="AI229" s="39"/>
      <c r="AJ229" s="39"/>
      <c r="AK229" s="39"/>
      <c r="AL229" s="39"/>
      <c r="AM229" s="39"/>
      <c r="AN229" s="39"/>
      <c r="AO229" s="39"/>
      <c r="AP229" s="39"/>
      <c r="AQ229" s="39"/>
      <c r="AR229" s="279"/>
      <c r="AS229" s="42"/>
      <c r="AT229" s="39"/>
      <c r="AU229" s="39"/>
      <c r="AV229" s="39"/>
      <c r="AW229" s="39"/>
      <c r="AX229" s="39"/>
      <c r="AY229" s="39"/>
      <c r="AZ229" s="39"/>
      <c r="BA229" s="39"/>
      <c r="BB229" s="39"/>
      <c r="BC229" s="39"/>
      <c r="BD229" s="39"/>
      <c r="BE229" s="39"/>
      <c r="BF229" s="39"/>
      <c r="BG229" s="279"/>
      <c r="BH229" s="279"/>
      <c r="BI229" s="279"/>
      <c r="BJ229" s="279"/>
      <c r="BK229" s="279"/>
      <c r="BL229" s="279"/>
      <c r="BM229" s="279"/>
      <c r="BN229" s="279"/>
      <c r="BO229" s="279"/>
      <c r="BP229" s="279"/>
      <c r="BQ229" s="279"/>
      <c r="BR229" s="279"/>
      <c r="BS229" s="279"/>
      <c r="BT229" s="279"/>
      <c r="BU229" s="279"/>
      <c r="BV229" s="279"/>
      <c r="BW229" s="279"/>
      <c r="BX229" s="279"/>
      <c r="BY229" s="279"/>
      <c r="BZ229" s="279"/>
      <c r="CA229" s="279"/>
      <c r="CB229" s="279"/>
      <c r="CC229" s="279"/>
      <c r="CD229" s="279"/>
      <c r="CE229" s="279"/>
      <c r="CF229" s="279"/>
      <c r="CG229" s="279"/>
      <c r="CH229" s="279"/>
      <c r="CI229" s="279"/>
      <c r="CJ229" s="279"/>
      <c r="CK229" s="279"/>
      <c r="CL229" s="290"/>
      <c r="CM229" s="291"/>
    </row>
    <row r="230" spans="1:95" hidden="1">
      <c r="A230" s="267"/>
      <c r="B230" s="113"/>
      <c r="C230" s="36"/>
      <c r="D230" s="39"/>
      <c r="E230" s="39"/>
      <c r="F230" s="121"/>
      <c r="G230" s="40"/>
      <c r="H230" s="41"/>
      <c r="I230" s="124"/>
      <c r="J230" s="124"/>
      <c r="K230" s="279"/>
      <c r="L230" s="42"/>
      <c r="M230" s="42"/>
      <c r="N230" s="273"/>
      <c r="P230" s="43"/>
      <c r="Q230" s="43"/>
      <c r="R230" s="42"/>
      <c r="S230" s="42"/>
      <c r="T230" s="42"/>
      <c r="U230" s="42"/>
      <c r="V230" s="42"/>
      <c r="W230" s="42"/>
      <c r="X230" s="42"/>
      <c r="Y230" s="42"/>
      <c r="Z230" s="42"/>
      <c r="AA230" s="42"/>
      <c r="AB230" s="42"/>
      <c r="AC230" s="273"/>
      <c r="AD230" s="42"/>
      <c r="AE230" s="39"/>
      <c r="AF230" s="39"/>
      <c r="AG230" s="39"/>
      <c r="AH230" s="39"/>
      <c r="AI230" s="39"/>
      <c r="AJ230" s="39"/>
      <c r="AK230" s="39"/>
      <c r="AL230" s="39"/>
      <c r="AM230" s="39"/>
      <c r="AN230" s="39"/>
      <c r="AO230" s="39"/>
      <c r="AP230" s="39"/>
      <c r="AQ230" s="39"/>
      <c r="AR230" s="273"/>
      <c r="AS230" s="42"/>
      <c r="AT230" s="39"/>
      <c r="AU230" s="39"/>
      <c r="AV230" s="39"/>
      <c r="AW230" s="39"/>
      <c r="AX230" s="39"/>
      <c r="AY230" s="39"/>
      <c r="AZ230" s="39"/>
      <c r="BA230" s="39"/>
      <c r="BB230" s="39"/>
      <c r="BC230" s="39"/>
      <c r="BD230" s="39"/>
      <c r="BE230" s="39"/>
      <c r="BF230" s="39"/>
      <c r="BG230" s="273"/>
      <c r="BH230" s="273"/>
      <c r="BI230" s="273"/>
      <c r="BJ230" s="273"/>
      <c r="BK230" s="273"/>
      <c r="BL230" s="273"/>
      <c r="BM230" s="273"/>
      <c r="BN230" s="273"/>
      <c r="BO230" s="273"/>
      <c r="BP230" s="273"/>
      <c r="BQ230" s="273"/>
      <c r="BR230" s="273"/>
      <c r="BS230" s="273"/>
      <c r="BT230" s="273"/>
      <c r="BU230" s="273"/>
      <c r="BV230" s="273"/>
      <c r="BW230" s="273"/>
      <c r="BX230" s="273"/>
      <c r="BY230" s="273"/>
      <c r="BZ230" s="273"/>
      <c r="CA230" s="273"/>
      <c r="CB230" s="273"/>
      <c r="CC230" s="273"/>
      <c r="CD230" s="273"/>
      <c r="CE230" s="273"/>
      <c r="CF230" s="273"/>
      <c r="CG230" s="273"/>
      <c r="CH230" s="273"/>
      <c r="CI230" s="273"/>
      <c r="CJ230" s="273"/>
      <c r="CK230" s="273"/>
      <c r="CL230" s="290"/>
      <c r="CM230" s="291"/>
    </row>
    <row r="231" spans="1:95" hidden="1">
      <c r="A231" s="267"/>
      <c r="B231" s="113"/>
      <c r="C231" s="36"/>
      <c r="D231" s="37"/>
      <c r="E231" s="37"/>
      <c r="F231" s="122"/>
      <c r="G231" s="38"/>
    </row>
    <row r="232" spans="1:95" ht="16.5" thickBot="1">
      <c r="A232" s="267"/>
      <c r="B232" s="113"/>
      <c r="C232" s="36"/>
      <c r="D232" s="37"/>
      <c r="E232" s="37"/>
      <c r="F232" s="122"/>
      <c r="G232" s="38"/>
    </row>
    <row r="233" spans="1:95" s="116" customFormat="1">
      <c r="A233" s="433"/>
      <c r="B233" s="113"/>
      <c r="C233" s="113"/>
      <c r="D233" s="114"/>
      <c r="E233" s="114"/>
      <c r="F233" s="434"/>
      <c r="G233" s="435"/>
      <c r="I233" s="415"/>
      <c r="J233" s="415"/>
      <c r="K233" s="543" t="s">
        <v>1768</v>
      </c>
      <c r="L233" s="544"/>
      <c r="M233" s="545"/>
      <c r="N233" s="546">
        <v>2016</v>
      </c>
      <c r="O233" s="547" t="s">
        <v>1769</v>
      </c>
      <c r="P233" s="547" t="s">
        <v>1770</v>
      </c>
      <c r="Q233" s="547" t="s">
        <v>1771</v>
      </c>
      <c r="R233" s="547" t="s">
        <v>1772</v>
      </c>
      <c r="S233" s="547" t="s">
        <v>1773</v>
      </c>
      <c r="T233" s="547" t="s">
        <v>1774</v>
      </c>
      <c r="U233" s="547" t="s">
        <v>1775</v>
      </c>
      <c r="V233" s="547" t="s">
        <v>1776</v>
      </c>
      <c r="W233" s="547" t="s">
        <v>1777</v>
      </c>
      <c r="X233" s="547" t="s">
        <v>1778</v>
      </c>
      <c r="Y233" s="547" t="s">
        <v>1779</v>
      </c>
      <c r="Z233" s="547" t="s">
        <v>1780</v>
      </c>
      <c r="AA233" s="547" t="s">
        <v>1782</v>
      </c>
      <c r="AB233" s="548"/>
      <c r="AC233" s="549">
        <v>2017</v>
      </c>
      <c r="AD233" s="550" t="s">
        <v>1769</v>
      </c>
      <c r="AE233" s="548" t="s">
        <v>1770</v>
      </c>
      <c r="AF233" s="548" t="s">
        <v>1771</v>
      </c>
      <c r="AG233" s="548" t="s">
        <v>1772</v>
      </c>
      <c r="AH233" s="548" t="s">
        <v>1773</v>
      </c>
      <c r="AI233" s="548" t="s">
        <v>1774</v>
      </c>
      <c r="AJ233" s="548" t="s">
        <v>1775</v>
      </c>
      <c r="AK233" s="548" t="s">
        <v>1776</v>
      </c>
      <c r="AL233" s="548" t="s">
        <v>1777</v>
      </c>
      <c r="AM233" s="548" t="s">
        <v>1778</v>
      </c>
      <c r="AN233" s="548" t="s">
        <v>1779</v>
      </c>
      <c r="AO233" s="548" t="s">
        <v>1780</v>
      </c>
      <c r="AP233" s="548" t="s">
        <v>1782</v>
      </c>
      <c r="AQ233" s="548"/>
      <c r="AR233" s="549">
        <v>2018</v>
      </c>
      <c r="AS233" s="550" t="s">
        <v>1769</v>
      </c>
      <c r="AT233" s="548" t="s">
        <v>1770</v>
      </c>
      <c r="AU233" s="548" t="s">
        <v>1771</v>
      </c>
      <c r="AV233" s="548" t="s">
        <v>1772</v>
      </c>
      <c r="AW233" s="548" t="s">
        <v>1773</v>
      </c>
      <c r="AX233" s="548" t="s">
        <v>1774</v>
      </c>
      <c r="AY233" s="548" t="s">
        <v>1775</v>
      </c>
      <c r="AZ233" s="548" t="s">
        <v>1776</v>
      </c>
      <c r="BA233" s="548" t="s">
        <v>1777</v>
      </c>
      <c r="BB233" s="548" t="s">
        <v>1778</v>
      </c>
      <c r="BC233" s="548" t="s">
        <v>1779</v>
      </c>
      <c r="BD233" s="548" t="s">
        <v>1780</v>
      </c>
      <c r="BE233" s="548" t="s">
        <v>1782</v>
      </c>
      <c r="BF233" s="548"/>
      <c r="BG233" s="549">
        <v>2019</v>
      </c>
      <c r="BH233" s="551" t="s">
        <v>1769</v>
      </c>
      <c r="BI233" s="547" t="s">
        <v>1770</v>
      </c>
      <c r="BJ233" s="547" t="s">
        <v>1771</v>
      </c>
      <c r="BK233" s="547" t="s">
        <v>1772</v>
      </c>
      <c r="BL233" s="547" t="s">
        <v>1773</v>
      </c>
      <c r="BM233" s="547" t="s">
        <v>1774</v>
      </c>
      <c r="BN233" s="547" t="s">
        <v>1775</v>
      </c>
      <c r="BO233" s="547" t="s">
        <v>1776</v>
      </c>
      <c r="BP233" s="547" t="s">
        <v>1777</v>
      </c>
      <c r="BQ233" s="547" t="s">
        <v>1778</v>
      </c>
      <c r="BR233" s="547" t="s">
        <v>1779</v>
      </c>
      <c r="BS233" s="547" t="s">
        <v>1780</v>
      </c>
      <c r="BT233" s="547" t="s">
        <v>1782</v>
      </c>
      <c r="BU233" s="547"/>
      <c r="BV233" s="549">
        <v>2020</v>
      </c>
      <c r="BW233" s="551" t="s">
        <v>1769</v>
      </c>
      <c r="BX233" s="547" t="s">
        <v>1770</v>
      </c>
      <c r="BY233" s="547" t="s">
        <v>1771</v>
      </c>
      <c r="BZ233" s="547" t="s">
        <v>1772</v>
      </c>
      <c r="CA233" s="547" t="s">
        <v>1773</v>
      </c>
      <c r="CB233" s="547" t="s">
        <v>1774</v>
      </c>
      <c r="CC233" s="547" t="s">
        <v>1775</v>
      </c>
      <c r="CD233" s="547" t="s">
        <v>1776</v>
      </c>
      <c r="CE233" s="547" t="s">
        <v>1777</v>
      </c>
      <c r="CF233" s="547" t="s">
        <v>1778</v>
      </c>
      <c r="CG233" s="547" t="s">
        <v>1779</v>
      </c>
      <c r="CH233" s="547" t="s">
        <v>1780</v>
      </c>
      <c r="CI233" s="547" t="s">
        <v>1782</v>
      </c>
      <c r="CJ233" s="547"/>
      <c r="CK233" s="549">
        <v>2021</v>
      </c>
      <c r="CL233" s="552"/>
      <c r="CM233" s="552"/>
      <c r="CN233" s="553"/>
      <c r="CO233" s="554"/>
      <c r="CP233" s="554" t="s">
        <v>1784</v>
      </c>
      <c r="CQ233" s="552"/>
    </row>
    <row r="234" spans="1:95" ht="18.75">
      <c r="A234" s="592" t="s">
        <v>1837</v>
      </c>
      <c r="B234" s="114"/>
      <c r="C234" s="37"/>
      <c r="D234" s="39"/>
      <c r="E234" s="39"/>
      <c r="F234" s="120"/>
      <c r="G234" s="40"/>
      <c r="K234" s="398" t="s">
        <v>1751</v>
      </c>
      <c r="L234" s="460">
        <f t="array" ref="L234">SUMPRODUCT(IF($E$9:$E$226="о",1,0),L$9:L$226,$K$9:$K$226)/1000</f>
        <v>0</v>
      </c>
      <c r="M234" s="461">
        <f t="array" ref="M234">SUMPRODUCT(IF($E$9:$E$226="о",1,0),M$9:M$226,$K$9:$K$226)/1000</f>
        <v>0</v>
      </c>
      <c r="N234" s="462">
        <f>L234+M234</f>
        <v>0</v>
      </c>
      <c r="O234" s="463">
        <f t="array" ref="O234">SUMPRODUCT(IF($E$9:$E$226="о",1,0),O$9:O$226,$K$9:$K$226)/1000</f>
        <v>0</v>
      </c>
      <c r="P234" s="463">
        <f t="array" ref="P234">SUMPRODUCT(IF($E$9:$E$226="о",1,0),P$9:P$226,$K$9:$K$226)/1000</f>
        <v>0</v>
      </c>
      <c r="Q234" s="463">
        <f t="array" ref="Q234">SUMPRODUCT(IF($E$9:$E$226="о",1,0),Q$9:Q$226,$K$9:$K$226)/1000</f>
        <v>0</v>
      </c>
      <c r="R234" s="463">
        <f t="array" ref="R234">SUMPRODUCT(IF($E$9:$E$226="о",1,0),R$9:R$226,$K$9:$K$226)/1000</f>
        <v>0</v>
      </c>
      <c r="S234" s="463">
        <f t="array" ref="S234">SUMPRODUCT(IF($E$9:$E$226="о",1,0),S$9:S$226,$K$9:$K$226)/1000</f>
        <v>0</v>
      </c>
      <c r="T234" s="463">
        <f t="array" ref="T234">SUMPRODUCT(IF($E$9:$E$226="о",1,0),T$9:T$226,$K$9:$K$226)/1000</f>
        <v>0</v>
      </c>
      <c r="U234" s="463">
        <f t="array" ref="U234">SUMPRODUCT(IF($E$9:$E$226="о",1,0),U$9:U$226,$K$9:$K$226)/1000</f>
        <v>0</v>
      </c>
      <c r="V234" s="463">
        <f t="array" ref="V234">SUMPRODUCT(IF($E$9:$E$226="о",1,0),V$9:V$226,$K$9:$K$226)/1000</f>
        <v>0</v>
      </c>
      <c r="W234" s="463">
        <f t="array" ref="W234">SUMPRODUCT(IF($E$9:$E$226="о",1,0),W$9:W$226,$K$9:$K$226)/1000</f>
        <v>0</v>
      </c>
      <c r="X234" s="463">
        <f t="array" ref="X234">SUMPRODUCT(IF($E$9:$E$226="о",1,0),X$9:X$226,$K$9:$K$226)/1000</f>
        <v>0</v>
      </c>
      <c r="Y234" s="463">
        <f t="array" ref="Y234">SUMPRODUCT(IF($E$9:$E$226="о",1,0),Y$9:Y$226,$K$9:$K$226)/1000</f>
        <v>0</v>
      </c>
      <c r="Z234" s="463">
        <f t="array" ref="Z234">SUMPRODUCT(IF($E$9:$E$226="о",1,0),Z$9:Z$226,$K$9:$K$226)/1000</f>
        <v>0</v>
      </c>
      <c r="AA234" s="463">
        <f t="array" ref="AA234">SUMPRODUCT(IF($E$9:$E$226="о",1,0),AA$9:AA$226,$K$9:$K$226)/1000</f>
        <v>0</v>
      </c>
      <c r="AB234" s="464"/>
      <c r="AC234" s="465">
        <f>SUM(O234:AA234)</f>
        <v>0</v>
      </c>
      <c r="AD234" s="466">
        <f t="array" ref="AD234">SUMPRODUCT(IF($E$9:$E$226="о",1,0),AD$9:AD$226,$K$9:$K$226)/1000</f>
        <v>0</v>
      </c>
      <c r="AE234" s="463">
        <f t="array" ref="AE234">SUMPRODUCT(IF($E$9:$E$226="о",1,0),AE$9:AE$226,$K$9:$K$226)/1000</f>
        <v>0</v>
      </c>
      <c r="AF234" s="463">
        <f t="array" ref="AF234">SUMPRODUCT(IF($E$9:$E$226="о",1,0),AF$9:AF$226,$K$9:$K$226)/1000</f>
        <v>0</v>
      </c>
      <c r="AG234" s="463">
        <f t="array" ref="AG234">SUMPRODUCT(IF($E$9:$E$226="о",1,0),AG$9:AG$226,$K$9:$K$226)/1000</f>
        <v>0</v>
      </c>
      <c r="AH234" s="463">
        <f t="array" ref="AH234">SUMPRODUCT(IF($E$9:$E$226="о",1,0),AH$9:AH$226,$K$9:$K$226)/1000</f>
        <v>0</v>
      </c>
      <c r="AI234" s="463">
        <f t="array" ref="AI234">SUMPRODUCT(IF($E$9:$E$226="о",1,0),AI$9:AI$226,$K$9:$K$226)/1000</f>
        <v>107.6</v>
      </c>
      <c r="AJ234" s="463">
        <f t="array" ref="AJ234">SUMPRODUCT(IF($E$9:$E$226="о",1,0),AJ$9:AJ$226,$K$9:$K$226)/1000</f>
        <v>473.44</v>
      </c>
      <c r="AK234" s="463">
        <f t="array" ref="AK234">SUMPRODUCT(IF($E$9:$E$226="о",1,0),AK$9:AK$226,$K$9:$K$226)/1000</f>
        <v>494.96</v>
      </c>
      <c r="AL234" s="463">
        <f t="array" ref="AL234">SUMPRODUCT(IF($E$9:$E$226="о",1,0),AL$9:AL$226,$K$9:$K$226)/1000</f>
        <v>215.2</v>
      </c>
      <c r="AM234" s="463">
        <f t="array" ref="AM234">SUMPRODUCT(IF($E$9:$E$226="о",1,0),AM$9:AM$226,$K$9:$K$226)/1000</f>
        <v>279.76</v>
      </c>
      <c r="AN234" s="463">
        <f t="array" ref="AN234">SUMPRODUCT(IF($E$9:$E$226="о",1,0),AN$9:AN$226,$K$9:$K$226)/1000</f>
        <v>451.92</v>
      </c>
      <c r="AO234" s="463">
        <f t="array" ref="AO234">SUMPRODUCT(IF($E$9:$E$226="о",1,0),AO$9:AO$226,$K$9:$K$226)/1000</f>
        <v>605.48</v>
      </c>
      <c r="AP234" s="463">
        <f t="array" ref="AP234">SUMPRODUCT(IF($E$9:$E$226="о",1,0),AP$9:AP$226,$K$9:$K$226)/1000</f>
        <v>0</v>
      </c>
      <c r="AQ234" s="464"/>
      <c r="AR234" s="465">
        <f>SUM(AD234:AP234)</f>
        <v>2628.36</v>
      </c>
      <c r="AS234" s="466">
        <f t="array" ref="AS234">SUMPRODUCT(IF($E$9:$E$226="о",1,0),AS$9:AS$226,$K$9:$K$226)/1000</f>
        <v>435.64</v>
      </c>
      <c r="AT234" s="463">
        <f t="array" ref="AT234">SUMPRODUCT(IF($E$9:$E$226="о",1,0),AT$9:AT$226,$K$9:$K$226)/1000</f>
        <v>371.08</v>
      </c>
      <c r="AU234" s="463">
        <f t="array" ref="AU234">SUMPRODUCT(IF($E$9:$E$226="о",1,0),AU$9:AU$226,$K$9:$K$226)/1000</f>
        <v>735.38</v>
      </c>
      <c r="AV234" s="463">
        <f t="array" ref="AV234">SUMPRODUCT(IF($E$9:$E$226="о",1,0),AV$9:AV$226,$K$9:$K$226)/1000</f>
        <v>806.34</v>
      </c>
      <c r="AW234" s="463">
        <f t="array" ref="AW234">SUMPRODUCT(IF($E$9:$E$226="о",1,0),AW$9:AW$226,$K$9:$K$226)/1000</f>
        <v>770.86</v>
      </c>
      <c r="AX234" s="463">
        <f t="array" ref="AX234">SUMPRODUCT(IF($E$9:$E$226="о",1,0),AX$9:AX$226,$K$9:$K$226)/1000</f>
        <v>699.9</v>
      </c>
      <c r="AY234" s="463">
        <f t="array" ref="AY234">SUMPRODUCT(IF($E$9:$E$226="о",1,0),AY$9:AY$226,$K$9:$K$226)/1000</f>
        <v>1134.6400000000001</v>
      </c>
      <c r="AZ234" s="463">
        <f t="array" ref="AZ234">SUMPRODUCT(IF($E$9:$E$226="о",1,0),AZ$9:AZ$226,$K$9:$K$226)/1000</f>
        <v>780.56</v>
      </c>
      <c r="BA234" s="463">
        <f t="array" ref="BA234">SUMPRODUCT(IF($E$9:$E$226="о",1,0),BA$9:BA$226,$K$9:$K$226)/1000</f>
        <v>864.08</v>
      </c>
      <c r="BB234" s="463">
        <f t="array" ref="BB234">SUMPRODUCT(IF($E$9:$E$226="о",1,0),BB$9:BB$226,$K$9:$K$226)/1000</f>
        <v>1034.03</v>
      </c>
      <c r="BC234" s="463">
        <f t="array" ref="BC234">SUMPRODUCT(IF($E$9:$E$226="о",1,0),BC$9:BC$226,$K$9:$K$226)/1000</f>
        <v>1425.21</v>
      </c>
      <c r="BD234" s="463">
        <f t="array" ref="BD234">SUMPRODUCT(IF($E$9:$E$226="о",1,0),BD$9:BD$226,$K$9:$K$226)/1000</f>
        <v>612.26</v>
      </c>
      <c r="BE234" s="463">
        <f t="array" ref="BE234">SUMPRODUCT(IF($E$9:$E$226="о",1,0),BE$9:BE$226,$K$9:$K$226)/1000</f>
        <v>0</v>
      </c>
      <c r="BF234" s="464"/>
      <c r="BG234" s="465">
        <f>SUM(AS234:BE234)</f>
        <v>9669.98</v>
      </c>
      <c r="BH234" s="466">
        <f t="array" ref="BH234">SUMPRODUCT(IF($E$9:$E$226="о",1,0),BH$9:BH$226,$K$9:$K$226)/1000</f>
        <v>0</v>
      </c>
      <c r="BI234" s="463">
        <f t="array" ref="BI234">SUMPRODUCT(IF($E$9:$E$226="о",1,0),BI$9:BI$226,$K$9:$K$226)/1000</f>
        <v>0</v>
      </c>
      <c r="BJ234" s="463">
        <f t="array" ref="BJ234">SUMPRODUCT(IF($E$9:$E$226="о",1,0),BJ$9:BJ$226,$K$9:$K$226)/1000</f>
        <v>0</v>
      </c>
      <c r="BK234" s="463">
        <f t="array" ref="BK234">SUMPRODUCT(IF($E$9:$E$226="о",1,0),BK$9:BK$226,$K$9:$K$226)/1000</f>
        <v>0</v>
      </c>
      <c r="BL234" s="463">
        <f t="array" ref="BL234">SUMPRODUCT(IF($E$9:$E$226="о",1,0),BL$9:BL$226,$K$9:$K$226)/1000</f>
        <v>0</v>
      </c>
      <c r="BM234" s="463">
        <f t="array" ref="BM234">SUMPRODUCT(IF($E$9:$E$226="о",1,0),BM$9:BM$226,$K$9:$K$226)/1000</f>
        <v>0</v>
      </c>
      <c r="BN234" s="463">
        <f t="array" ref="BN234">SUMPRODUCT(IF($E$9:$E$226="о",1,0),BN$9:BN$226,$K$9:$K$226)/1000</f>
        <v>0</v>
      </c>
      <c r="BO234" s="463">
        <f t="array" ref="BO234">SUMPRODUCT(IF($E$9:$E$226="о",1,0),BO$9:BO$226,$K$9:$K$226)/1000</f>
        <v>0</v>
      </c>
      <c r="BP234" s="463">
        <f t="array" ref="BP234">SUMPRODUCT(IF($E$9:$E$226="о",1,0),BP$9:BP$226,$K$9:$K$226)/1000</f>
        <v>0</v>
      </c>
      <c r="BQ234" s="463">
        <f t="array" ref="BQ234">SUMPRODUCT(IF($E$9:$E$226="о",1,0),BQ$9:BQ$226,$K$9:$K$226)/1000</f>
        <v>0</v>
      </c>
      <c r="BR234" s="463">
        <f t="array" ref="BR234">SUMPRODUCT(IF($E$9:$E$226="о",1,0),BR$9:BR$226,$K$9:$K$226)/1000</f>
        <v>0</v>
      </c>
      <c r="BS234" s="463">
        <f t="array" ref="BS234">SUMPRODUCT(IF($E$9:$E$226="о",1,0),BS$9:BS$226,$K$9:$K$226)/1000</f>
        <v>0</v>
      </c>
      <c r="BT234" s="463">
        <f t="array" ref="BT234">SUMPRODUCT(IF($E$9:$E$226="о",1,0),BT$9:BT$226,$K$9:$K$226)/1000</f>
        <v>0</v>
      </c>
      <c r="BU234" s="467"/>
      <c r="BV234" s="465">
        <f>SUM(BH234:BT234)</f>
        <v>0</v>
      </c>
      <c r="BW234" s="466">
        <f t="array" ref="BW234">SUMPRODUCT(IF($E$9:$E$226="о",1,0),BW$9:BW$226,$K$9:$K$226)/1000</f>
        <v>0</v>
      </c>
      <c r="BX234" s="463">
        <f t="array" ref="BX234">SUMPRODUCT(IF($E$9:$E$226="о",1,0),BX$9:BX$226,$K$9:$K$226)/1000</f>
        <v>0</v>
      </c>
      <c r="BY234" s="463">
        <f t="array" ref="BY234">SUMPRODUCT(IF($E$9:$E$226="о",1,0),BY$9:BY$226,$K$9:$K$226)/1000</f>
        <v>0</v>
      </c>
      <c r="BZ234" s="463">
        <f t="array" ref="BZ234">SUMPRODUCT(IF($E$9:$E$226="о",1,0),BZ$9:BZ$226,$K$9:$K$226)/1000</f>
        <v>0</v>
      </c>
      <c r="CA234" s="463">
        <f t="array" ref="CA234">SUMPRODUCT(IF($E$9:$E$226="о",1,0),CA$9:CA$226,$K$9:$K$226)/1000</f>
        <v>0</v>
      </c>
      <c r="CB234" s="463">
        <f t="array" ref="CB234">SUMPRODUCT(IF($E$9:$E$226="о",1,0),CB$9:CB$226,$K$9:$K$226)/1000</f>
        <v>0</v>
      </c>
      <c r="CC234" s="463">
        <f t="array" ref="CC234">SUMPRODUCT(IF($E$9:$E$226="о",1,0),CC$9:CC$226,$K$9:$K$226)/1000</f>
        <v>0</v>
      </c>
      <c r="CD234" s="463">
        <f t="array" ref="CD234">SUMPRODUCT(IF($E$9:$E$226="о",1,0),CD$9:CD$226,$K$9:$K$226)/1000</f>
        <v>0</v>
      </c>
      <c r="CE234" s="463">
        <f t="array" ref="CE234">SUMPRODUCT(IF($E$9:$E$226="о",1,0),CE$9:CE$226,$K$9:$K$226)/1000</f>
        <v>0</v>
      </c>
      <c r="CF234" s="463">
        <f t="array" ref="CF234">SUMPRODUCT(IF($E$9:$E$226="о",1,0),CF$9:CF$226,$K$9:$K$226)/1000</f>
        <v>0</v>
      </c>
      <c r="CG234" s="463">
        <f t="array" ref="CG234">SUMPRODUCT(IF($E$9:$E$226="о",1,0),CG$9:CG$226,$K$9:$K$226)/1000</f>
        <v>0</v>
      </c>
      <c r="CH234" s="463">
        <f t="array" ref="CH234">SUMPRODUCT(IF($E$9:$E$226="о",1,0),CH$9:CH$226,$K$9:$K$226)/1000</f>
        <v>0</v>
      </c>
      <c r="CI234" s="463">
        <f t="array" ref="CI234">SUMPRODUCT(IF($E$9:$E$226="о",1,0),CI$9:CI$226,$K$9:$K$226)/1000</f>
        <v>0</v>
      </c>
      <c r="CJ234" s="467"/>
      <c r="CK234" s="465">
        <f>SUM(BW234:CI234)</f>
        <v>0</v>
      </c>
      <c r="CL234" s="468"/>
      <c r="CM234" s="468"/>
      <c r="CN234" s="469"/>
      <c r="CO234" s="555"/>
      <c r="CP234" s="556">
        <f>о_до_оцо+о2017оцо+о2018оцо+о2019оцо+о2020оцо+о2021оцо</f>
        <v>12298.34</v>
      </c>
      <c r="CQ234" s="626" t="s">
        <v>1764</v>
      </c>
    </row>
    <row r="235" spans="1:95" ht="19.5" thickBot="1">
      <c r="A235" s="294" t="str">
        <f>B8</f>
        <v>Фвза 1. Инициирование. Этап № 1. Оценка</v>
      </c>
      <c r="B235" s="130"/>
      <c r="C235" s="247"/>
      <c r="D235" s="376">
        <f>CN13</f>
        <v>0</v>
      </c>
      <c r="E235" s="44"/>
      <c r="K235" s="398" t="s">
        <v>1752</v>
      </c>
      <c r="L235" s="470">
        <f t="array" ref="L235">SUMPRODUCT(IF($E$9:$E$226="к",1,0),L$9:L$226,$K$9:$K$226)/1000</f>
        <v>0</v>
      </c>
      <c r="M235" s="471">
        <f t="array" ref="M235">SUMPRODUCT(IF($E$9:$E$226="к",1,0),M$9:M$226,$K$9:$K$226)/1000</f>
        <v>0</v>
      </c>
      <c r="N235" s="472">
        <f>L235+M235</f>
        <v>0</v>
      </c>
      <c r="O235" s="473">
        <f t="array" ref="O235">SUMPRODUCT(IF($E$9:$E$226="к",1,0),O$9:O$226,$K$9:$K$226)/1000</f>
        <v>0</v>
      </c>
      <c r="P235" s="473">
        <f t="array" ref="P235">SUMPRODUCT(IF($E$9:$E$226="к",1,0),P$9:P$226,$K$9:$K$226)/1000</f>
        <v>0</v>
      </c>
      <c r="Q235" s="473">
        <f t="array" ref="Q235">SUMPRODUCT(IF($E$9:$E$226="к",1,0),Q$9:Q$226,$K$9:$K$226)/1000</f>
        <v>0</v>
      </c>
      <c r="R235" s="473">
        <f t="array" ref="R235">SUMPRODUCT(IF($E$9:$E$226="к",1,0),R$9:R$226,$K$9:$K$226)/1000</f>
        <v>0</v>
      </c>
      <c r="S235" s="473">
        <f t="array" ref="S235">SUMPRODUCT(IF($E$9:$E$226="к",1,0),S$9:S$226,$K$9:$K$226)/1000</f>
        <v>0</v>
      </c>
      <c r="T235" s="473">
        <f t="array" ref="T235">SUMPRODUCT(IF($E$9:$E$226="к",1,0),T$9:T$226,$K$9:$K$226)/1000</f>
        <v>0</v>
      </c>
      <c r="U235" s="473">
        <f t="array" ref="U235">SUMPRODUCT(IF($E$9:$E$226="к",1,0),U$9:U$226,$K$9:$K$226)/1000</f>
        <v>0</v>
      </c>
      <c r="V235" s="473">
        <f t="array" ref="V235">SUMPRODUCT(IF($E$9:$E$226="к",1,0),V$9:V$226,$K$9:$K$226)/1000</f>
        <v>0</v>
      </c>
      <c r="W235" s="473">
        <f t="array" ref="W235">SUMPRODUCT(IF($E$9:$E$226="к",1,0),W$9:W$226,$K$9:$K$226)/1000</f>
        <v>0</v>
      </c>
      <c r="X235" s="473">
        <f t="array" ref="X235">SUMPRODUCT(IF($E$9:$E$226="к",1,0),X$9:X$226,$K$9:$K$226)/1000</f>
        <v>0</v>
      </c>
      <c r="Y235" s="473">
        <f t="array" ref="Y235">SUMPRODUCT(IF($E$9:$E$226="к",1,0),Y$9:Y$226,$K$9:$K$226)/1000</f>
        <v>0</v>
      </c>
      <c r="Z235" s="473">
        <f t="array" ref="Z235">SUMPRODUCT(IF($E$9:$E$226="к",1,0),Z$9:Z$226,$K$9:$K$226)/1000</f>
        <v>0</v>
      </c>
      <c r="AA235" s="473">
        <f t="array" ref="AA235">SUMPRODUCT(IF($E$9:$E$226="к",1,0),AA$9:AA$226,$K$9:$K$226)/1000</f>
        <v>0</v>
      </c>
      <c r="AB235" s="473"/>
      <c r="AC235" s="474">
        <f>SUM(O235:AA235)</f>
        <v>0</v>
      </c>
      <c r="AD235" s="475">
        <f t="array" ref="AD235">SUMPRODUCT(IF($E$9:$E$226="к",1,0),AD$9:AD$226,$K$9:$K$226)/1000</f>
        <v>0</v>
      </c>
      <c r="AE235" s="473">
        <f t="array" ref="AE235">SUMPRODUCT(IF($E$9:$E$226="к",1,0),AE$9:AE$226,$K$9:$K$226)/1000</f>
        <v>454.13</v>
      </c>
      <c r="AF235" s="473">
        <f t="array" ref="AF235">SUMPRODUCT(IF($E$9:$E$226="к",1,0),AF$9:AF$226,$K$9:$K$226)/1000</f>
        <v>2252.6999999999998</v>
      </c>
      <c r="AG235" s="473">
        <f t="array" ref="AG235">SUMPRODUCT(IF($E$9:$E$226="к",1,0),AG$9:AG$226,$K$9:$K$226)/1000</f>
        <v>2436.88</v>
      </c>
      <c r="AH235" s="473">
        <f t="array" ref="AH235">SUMPRODUCT(IF($E$9:$E$226="к",1,0),AH$9:AH$226,$K$9:$K$226)/1000</f>
        <v>2330.36</v>
      </c>
      <c r="AI235" s="473">
        <f t="array" ref="AI235">SUMPRODUCT(IF($E$9:$E$226="к",1,0),AI$9:AI$226,$K$9:$K$226)/1000</f>
        <v>2221.6999999999998</v>
      </c>
      <c r="AJ235" s="473">
        <f t="array" ref="AJ235">SUMPRODUCT(IF($E$9:$E$226="к",1,0),AJ$9:AJ$226,$K$9:$K$226)/1000</f>
        <v>1436.71</v>
      </c>
      <c r="AK235" s="473">
        <f t="array" ref="AK235">SUMPRODUCT(IF($E$9:$E$226="к",1,0),AK$9:AK$226,$K$9:$K$226)/1000</f>
        <v>1496.4</v>
      </c>
      <c r="AL235" s="473">
        <f t="array" ref="AL235">SUMPRODUCT(IF($E$9:$E$226="к",1,0),AL$9:AL$226,$K$9:$K$226)/1000</f>
        <v>1854.77</v>
      </c>
      <c r="AM235" s="473">
        <f t="array" ref="AM235">SUMPRODUCT(IF($E$9:$E$226="к",1,0),AM$9:AM$226,$K$9:$K$226)/1000</f>
        <v>2184.7600000000002</v>
      </c>
      <c r="AN235" s="473">
        <f t="array" ref="AN235">SUMPRODUCT(IF($E$9:$E$226="к",1,0),AN$9:AN$226,$K$9:$K$226)/1000</f>
        <v>1589.69</v>
      </c>
      <c r="AO235" s="473">
        <f t="array" ref="AO235">SUMPRODUCT(IF($E$9:$E$226="к",1,0),AO$9:AO$226,$K$9:$K$226)/1000</f>
        <v>1500.69</v>
      </c>
      <c r="AP235" s="473">
        <f t="array" ref="AP235">SUMPRODUCT(IF($E$9:$E$226="к",1,0),AP$9:AP$226,$K$9:$K$226)/1000</f>
        <v>0</v>
      </c>
      <c r="AQ235" s="476"/>
      <c r="AR235" s="474">
        <f>SUM(AD235:AP235)</f>
        <v>19758.789999999997</v>
      </c>
      <c r="AS235" s="475">
        <f t="array" ref="AS235">SUMPRODUCT(IF($E$9:$E$226="к",1,0),AS$9:AS$226,$K$9:$K$226)/1000</f>
        <v>1214.1099999999999</v>
      </c>
      <c r="AT235" s="473">
        <f t="array" ref="AT235">SUMPRODUCT(IF($E$9:$E$226="к",1,0),AT$9:AT$226,$K$9:$K$226)/1000</f>
        <v>2040.24</v>
      </c>
      <c r="AU235" s="473">
        <f t="array" ref="AU235">SUMPRODUCT(IF($E$9:$E$226="к",1,0),AU$9:AU$226,$K$9:$K$226)/1000</f>
        <v>1598.42</v>
      </c>
      <c r="AV235" s="473">
        <f t="array" ref="AV235">SUMPRODUCT(IF($E$9:$E$226="к",1,0),AV$9:AV$226,$K$9:$K$226)/1000</f>
        <v>1502.6</v>
      </c>
      <c r="AW235" s="473">
        <f t="array" ref="AW235">SUMPRODUCT(IF($E$9:$E$226="к",1,0),AW$9:AW$226,$K$9:$K$226)/1000</f>
        <v>1227.71</v>
      </c>
      <c r="AX235" s="473">
        <f t="array" ref="AX235">SUMPRODUCT(IF($E$9:$E$226="к",1,0),AX$9:AX$226,$K$9:$K$226)/1000</f>
        <v>1140.19</v>
      </c>
      <c r="AY235" s="473">
        <f t="array" ref="AY235">SUMPRODUCT(IF($E$9:$E$226="к",1,0),AY$9:AY$226,$K$9:$K$226)/1000</f>
        <v>1408.93</v>
      </c>
      <c r="AZ235" s="473">
        <f t="array" ref="AZ235">SUMPRODUCT(IF($E$9:$E$226="к",1,0),AZ$9:AZ$226,$K$9:$K$226)/1000</f>
        <v>1452.64</v>
      </c>
      <c r="BA235" s="473">
        <f t="array" ref="BA235">SUMPRODUCT(IF($E$9:$E$226="к",1,0),BA$9:BA$226,$K$9:$K$226)/1000</f>
        <v>1166.3499999999999</v>
      </c>
      <c r="BB235" s="473">
        <f t="array" ref="BB235">SUMPRODUCT(IF($E$9:$E$226="к",1,0),BB$9:BB$226,$K$9:$K$226)/1000</f>
        <v>1477.68</v>
      </c>
      <c r="BC235" s="473">
        <f t="array" ref="BC235">SUMPRODUCT(IF($E$9:$E$226="к",1,0),BC$9:BC$226,$K$9:$K$226)/1000</f>
        <v>47.79</v>
      </c>
      <c r="BD235" s="473">
        <f t="array" ref="BD235">SUMPRODUCT(IF($E$9:$E$226="к",1,0),BD$9:BD$226,$K$9:$K$226)/1000</f>
        <v>0</v>
      </c>
      <c r="BE235" s="473">
        <f t="array" ref="BE235">SUMPRODUCT(IF($E$9:$E$226="к",1,0),BE$9:BE$226,$K$9:$K$226)/1000</f>
        <v>0</v>
      </c>
      <c r="BF235" s="476"/>
      <c r="BG235" s="474">
        <f>SUM(AS235:BE235)</f>
        <v>14276.660000000002</v>
      </c>
      <c r="BH235" s="475">
        <f t="array" ref="BH235">SUMPRODUCT(IF($E$9:$E$226="к",1,0),BH$9:BH$226,$K$9:$K$226)/1000</f>
        <v>0</v>
      </c>
      <c r="BI235" s="473">
        <f t="array" ref="BI235">SUMPRODUCT(IF($E$9:$E$226="к",1,0),BI$9:BI$226,$K$9:$K$226)/1000</f>
        <v>0</v>
      </c>
      <c r="BJ235" s="473">
        <f t="array" ref="BJ235">SUMPRODUCT(IF($E$9:$E$226="к",1,0),BJ$9:BJ$226,$K$9:$K$226)/1000</f>
        <v>0</v>
      </c>
      <c r="BK235" s="473">
        <f t="array" ref="BK235">SUMPRODUCT(IF($E$9:$E$226="к",1,0),BK$9:BK$226,$K$9:$K$226)/1000</f>
        <v>0</v>
      </c>
      <c r="BL235" s="473">
        <f t="array" ref="BL235">SUMPRODUCT(IF($E$9:$E$226="к",1,0),BL$9:BL$226,$K$9:$K$226)/1000</f>
        <v>0</v>
      </c>
      <c r="BM235" s="473">
        <f t="array" ref="BM235">SUMPRODUCT(IF($E$9:$E$226="к",1,0),BM$9:BM$226,$K$9:$K$226)/1000</f>
        <v>0</v>
      </c>
      <c r="BN235" s="473">
        <f t="array" ref="BN235">SUMPRODUCT(IF($E$9:$E$226="к",1,0),BN$9:BN$226,$K$9:$K$226)/1000</f>
        <v>0</v>
      </c>
      <c r="BO235" s="473">
        <f t="array" ref="BO235">SUMPRODUCT(IF($E$9:$E$226="к",1,0),BO$9:BO$226,$K$9:$K$226)/1000</f>
        <v>0</v>
      </c>
      <c r="BP235" s="473">
        <f t="array" ref="BP235">SUMPRODUCT(IF($E$9:$E$226="к",1,0),BP$9:BP$226,$K$9:$K$226)/1000</f>
        <v>0</v>
      </c>
      <c r="BQ235" s="473">
        <f t="array" ref="BQ235">SUMPRODUCT(IF($E$9:$E$226="к",1,0),BQ$9:BQ$226,$K$9:$K$226)/1000</f>
        <v>0</v>
      </c>
      <c r="BR235" s="473">
        <f t="array" ref="BR235">SUMPRODUCT(IF($E$9:$E$226="к",1,0),BR$9:BR$226,$K$9:$K$226)/1000</f>
        <v>0</v>
      </c>
      <c r="BS235" s="473">
        <f t="array" ref="BS235">SUMPRODUCT(IF($E$9:$E$226="к",1,0),BS$9:BS$226,$K$9:$K$226)/1000</f>
        <v>0</v>
      </c>
      <c r="BT235" s="473">
        <f t="array" ref="BT235">SUMPRODUCT(IF($E$9:$E$226="к",1,0),BT$9:BT$226,$K$9:$K$226)/1000</f>
        <v>0</v>
      </c>
      <c r="BU235" s="477"/>
      <c r="BV235" s="474">
        <f>SUM(BH235:BT235)</f>
        <v>0</v>
      </c>
      <c r="BW235" s="475">
        <f t="array" ref="BW235">SUMPRODUCT(IF($E$9:$E$226="к",1,0),BW$9:BW$226,$K$9:$K$226)/1000</f>
        <v>0</v>
      </c>
      <c r="BX235" s="473">
        <f t="array" ref="BX235">SUMPRODUCT(IF($E$9:$E$226="к",1,0),BX$9:BX$226,$K$9:$K$226)/1000</f>
        <v>0</v>
      </c>
      <c r="BY235" s="473">
        <f t="array" ref="BY235">SUMPRODUCT(IF($E$9:$E$226="к",1,0),BY$9:BY$226,$K$9:$K$226)/1000</f>
        <v>0</v>
      </c>
      <c r="BZ235" s="473">
        <f t="array" ref="BZ235">SUMPRODUCT(IF($E$9:$E$226="к",1,0),BZ$9:BZ$226,$K$9:$K$226)/1000</f>
        <v>0</v>
      </c>
      <c r="CA235" s="473">
        <f t="array" ref="CA235">SUMPRODUCT(IF($E$9:$E$226="к",1,0),CA$9:CA$226,$K$9:$K$226)/1000</f>
        <v>0</v>
      </c>
      <c r="CB235" s="473">
        <f t="array" ref="CB235">SUMPRODUCT(IF($E$9:$E$226="к",1,0),CB$9:CB$226,$K$9:$K$226)/1000</f>
        <v>0</v>
      </c>
      <c r="CC235" s="473">
        <f t="array" ref="CC235">SUMPRODUCT(IF($E$9:$E$226="к",1,0),CC$9:CC$226,$K$9:$K$226)/1000</f>
        <v>0</v>
      </c>
      <c r="CD235" s="473">
        <f t="array" ref="CD235">SUMPRODUCT(IF($E$9:$E$226="к",1,0),CD$9:CD$226,$K$9:$K$226)/1000</f>
        <v>0</v>
      </c>
      <c r="CE235" s="473">
        <f t="array" ref="CE235">SUMPRODUCT(IF($E$9:$E$226="к",1,0),CE$9:CE$226,$K$9:$K$226)/1000</f>
        <v>0</v>
      </c>
      <c r="CF235" s="473">
        <f t="array" ref="CF235">SUMPRODUCT(IF($E$9:$E$226="к",1,0),CF$9:CF$226,$K$9:$K$226)/1000</f>
        <v>0</v>
      </c>
      <c r="CG235" s="473">
        <f t="array" ref="CG235">SUMPRODUCT(IF($E$9:$E$226="к",1,0),CG$9:CG$226,$K$9:$K$226)/1000</f>
        <v>0</v>
      </c>
      <c r="CH235" s="473">
        <f t="array" ref="CH235">SUMPRODUCT(IF($E$9:$E$226="к",1,0),CH$9:CH$226,$K$9:$K$226)/1000</f>
        <v>0</v>
      </c>
      <c r="CI235" s="473">
        <f t="array" ref="CI235">SUMPRODUCT(IF($E$9:$E$226="к",1,0),CI$9:CI$226,$K$9:$K$226)/1000</f>
        <v>0</v>
      </c>
      <c r="CJ235" s="477"/>
      <c r="CK235" s="474">
        <f>SUM(BW235:CI235)</f>
        <v>0</v>
      </c>
      <c r="CL235" s="468"/>
      <c r="CM235" s="468"/>
      <c r="CN235" s="469"/>
      <c r="CO235" s="555"/>
      <c r="CP235" s="556">
        <f>к_до_оцо+к2017оцо+к2018оцо+к2019оцо+к2020оцо+к2021оцо</f>
        <v>34035.449999999997</v>
      </c>
      <c r="CQ235" s="626" t="s">
        <v>1765</v>
      </c>
    </row>
    <row r="236" spans="1:95" ht="19.5" thickBot="1">
      <c r="A236" s="294" t="str">
        <f>B14</f>
        <v xml:space="preserve">Фаза 1. Инициирование. Этап № 2. Выбор </v>
      </c>
      <c r="B236" s="131"/>
      <c r="C236" s="146"/>
      <c r="D236" s="377">
        <f>CN33</f>
        <v>0</v>
      </c>
      <c r="E236" s="45"/>
      <c r="L236" s="288"/>
      <c r="M236" s="288"/>
      <c r="N236" s="288"/>
      <c r="P236" s="288"/>
      <c r="Q236" s="288"/>
      <c r="R236" s="288"/>
      <c r="S236" s="288"/>
      <c r="T236" s="288"/>
      <c r="U236" s="288"/>
      <c r="V236" s="288"/>
      <c r="W236" s="288"/>
      <c r="X236" s="288"/>
      <c r="Y236" s="288"/>
      <c r="Z236" s="288"/>
      <c r="AA236" s="288"/>
      <c r="AB236" s="288"/>
      <c r="AC236" s="288"/>
      <c r="AD236" s="288"/>
      <c r="AE236" s="288"/>
      <c r="AS236" s="288"/>
      <c r="AT236" s="288"/>
    </row>
    <row r="237" spans="1:95" ht="18.75">
      <c r="A237" s="294" t="str">
        <f>B34</f>
        <v xml:space="preserve">Фаза 2. Планирование. Этап № 3.Изучение и детализация </v>
      </c>
      <c r="B237" s="131"/>
      <c r="C237" s="146"/>
      <c r="D237" s="377">
        <f>CN53</f>
        <v>0</v>
      </c>
      <c r="E237" s="45"/>
      <c r="K237" s="486" t="s">
        <v>1767</v>
      </c>
      <c r="L237" s="558"/>
      <c r="M237" s="558"/>
      <c r="N237" s="559">
        <v>2016</v>
      </c>
      <c r="O237" s="560" t="s">
        <v>1769</v>
      </c>
      <c r="P237" s="547" t="s">
        <v>1770</v>
      </c>
      <c r="Q237" s="547" t="s">
        <v>1771</v>
      </c>
      <c r="R237" s="547" t="s">
        <v>1772</v>
      </c>
      <c r="S237" s="547" t="s">
        <v>1773</v>
      </c>
      <c r="T237" s="547" t="s">
        <v>1774</v>
      </c>
      <c r="U237" s="547" t="s">
        <v>1775</v>
      </c>
      <c r="V237" s="547" t="s">
        <v>1776</v>
      </c>
      <c r="W237" s="547" t="s">
        <v>1777</v>
      </c>
      <c r="X237" s="547" t="s">
        <v>1778</v>
      </c>
      <c r="Y237" s="547" t="s">
        <v>1779</v>
      </c>
      <c r="Z237" s="547" t="s">
        <v>1780</v>
      </c>
      <c r="AA237" s="548" t="s">
        <v>1782</v>
      </c>
      <c r="AB237" s="548"/>
      <c r="AC237" s="561">
        <v>2017</v>
      </c>
      <c r="AD237" s="550" t="s">
        <v>1769</v>
      </c>
      <c r="AE237" s="548" t="s">
        <v>1770</v>
      </c>
      <c r="AF237" s="548" t="s">
        <v>1771</v>
      </c>
      <c r="AG237" s="548" t="s">
        <v>1772</v>
      </c>
      <c r="AH237" s="548" t="s">
        <v>1773</v>
      </c>
      <c r="AI237" s="548" t="s">
        <v>1774</v>
      </c>
      <c r="AJ237" s="548" t="s">
        <v>1775</v>
      </c>
      <c r="AK237" s="548" t="s">
        <v>1776</v>
      </c>
      <c r="AL237" s="548" t="s">
        <v>1777</v>
      </c>
      <c r="AM237" s="548" t="s">
        <v>1778</v>
      </c>
      <c r="AN237" s="548" t="s">
        <v>1779</v>
      </c>
      <c r="AO237" s="548" t="s">
        <v>1780</v>
      </c>
      <c r="AP237" s="548" t="s">
        <v>1782</v>
      </c>
      <c r="AQ237" s="548"/>
      <c r="AR237" s="561">
        <v>2018</v>
      </c>
      <c r="AS237" s="550" t="s">
        <v>1769</v>
      </c>
      <c r="AT237" s="548" t="s">
        <v>1770</v>
      </c>
      <c r="AU237" s="548" t="s">
        <v>1771</v>
      </c>
      <c r="AV237" s="548" t="s">
        <v>1772</v>
      </c>
      <c r="AW237" s="548" t="s">
        <v>1773</v>
      </c>
      <c r="AX237" s="548" t="s">
        <v>1774</v>
      </c>
      <c r="AY237" s="548" t="s">
        <v>1775</v>
      </c>
      <c r="AZ237" s="548" t="s">
        <v>1776</v>
      </c>
      <c r="BA237" s="548" t="s">
        <v>1777</v>
      </c>
      <c r="BB237" s="548" t="s">
        <v>1778</v>
      </c>
      <c r="BC237" s="548" t="s">
        <v>1779</v>
      </c>
      <c r="BD237" s="548" t="s">
        <v>1780</v>
      </c>
      <c r="BE237" s="548" t="s">
        <v>1782</v>
      </c>
      <c r="BF237" s="548"/>
      <c r="BG237" s="561">
        <v>2019</v>
      </c>
      <c r="BH237" s="551" t="s">
        <v>1769</v>
      </c>
      <c r="BI237" s="547" t="s">
        <v>1770</v>
      </c>
      <c r="BJ237" s="547" t="s">
        <v>1771</v>
      </c>
      <c r="BK237" s="547" t="s">
        <v>1772</v>
      </c>
      <c r="BL237" s="547" t="s">
        <v>1773</v>
      </c>
      <c r="BM237" s="547" t="s">
        <v>1774</v>
      </c>
      <c r="BN237" s="547" t="s">
        <v>1775</v>
      </c>
      <c r="BO237" s="547" t="s">
        <v>1776</v>
      </c>
      <c r="BP237" s="547" t="s">
        <v>1777</v>
      </c>
      <c r="BQ237" s="547" t="s">
        <v>1778</v>
      </c>
      <c r="BR237" s="547" t="s">
        <v>1779</v>
      </c>
      <c r="BS237" s="547" t="s">
        <v>1780</v>
      </c>
      <c r="BT237" s="547" t="s">
        <v>1782</v>
      </c>
      <c r="BU237" s="547"/>
      <c r="BV237" s="561">
        <v>2020</v>
      </c>
      <c r="BW237" s="551" t="s">
        <v>1769</v>
      </c>
      <c r="BX237" s="547" t="s">
        <v>1770</v>
      </c>
      <c r="BY237" s="547" t="s">
        <v>1771</v>
      </c>
      <c r="BZ237" s="547" t="s">
        <v>1772</v>
      </c>
      <c r="CA237" s="547" t="s">
        <v>1773</v>
      </c>
      <c r="CB237" s="547" t="s">
        <v>1774</v>
      </c>
      <c r="CC237" s="547" t="s">
        <v>1775</v>
      </c>
      <c r="CD237" s="547" t="s">
        <v>1776</v>
      </c>
      <c r="CE237" s="547" t="s">
        <v>1777</v>
      </c>
      <c r="CF237" s="547" t="s">
        <v>1778</v>
      </c>
      <c r="CG237" s="547" t="s">
        <v>1779</v>
      </c>
      <c r="CH237" s="547" t="s">
        <v>1780</v>
      </c>
      <c r="CI237" s="547" t="s">
        <v>1782</v>
      </c>
      <c r="CJ237" s="547"/>
      <c r="CK237" s="561">
        <v>2021</v>
      </c>
      <c r="CL237" s="562"/>
      <c r="CM237" s="562"/>
      <c r="CN237" s="563" t="s">
        <v>1781</v>
      </c>
      <c r="CO237" s="555"/>
      <c r="CP237" s="555" t="s">
        <v>1785</v>
      </c>
      <c r="CQ237" s="557"/>
    </row>
    <row r="238" spans="1:95" ht="18.75">
      <c r="A238" s="294" t="str">
        <f>B54</f>
        <v xml:space="preserve">Фаза 2. Планирование. Этап № 4. Подготовка к реализации </v>
      </c>
      <c r="B238" s="131"/>
      <c r="C238" s="146"/>
      <c r="D238" s="377">
        <f>CN79</f>
        <v>0</v>
      </c>
      <c r="E238" s="45"/>
      <c r="K238" s="398" t="s">
        <v>1751</v>
      </c>
      <c r="L238" s="555"/>
      <c r="M238" s="555"/>
      <c r="N238" s="564">
        <f>о_до_оцо</f>
        <v>0</v>
      </c>
      <c r="O238" s="460"/>
      <c r="P238" s="565">
        <f>O234</f>
        <v>0</v>
      </c>
      <c r="Q238" s="565">
        <f t="shared" ref="Q238:Z238" si="655">P234</f>
        <v>0</v>
      </c>
      <c r="R238" s="565">
        <f t="shared" si="655"/>
        <v>0</v>
      </c>
      <c r="S238" s="565">
        <f t="shared" si="655"/>
        <v>0</v>
      </c>
      <c r="T238" s="565">
        <f t="shared" si="655"/>
        <v>0</v>
      </c>
      <c r="U238" s="565">
        <f t="shared" si="655"/>
        <v>0</v>
      </c>
      <c r="V238" s="565">
        <f t="shared" si="655"/>
        <v>0</v>
      </c>
      <c r="W238" s="565">
        <f t="shared" si="655"/>
        <v>0</v>
      </c>
      <c r="X238" s="565">
        <f t="shared" si="655"/>
        <v>0</v>
      </c>
      <c r="Y238" s="565">
        <f t="shared" si="655"/>
        <v>0</v>
      </c>
      <c r="Z238" s="565">
        <f t="shared" si="655"/>
        <v>0</v>
      </c>
      <c r="AA238" s="565">
        <f>AA234</f>
        <v>0</v>
      </c>
      <c r="AB238" s="464"/>
      <c r="AC238" s="566">
        <f>SUM(O238:AB238)</f>
        <v>0</v>
      </c>
      <c r="AD238" s="466">
        <f>Z234</f>
        <v>0</v>
      </c>
      <c r="AE238" s="463">
        <f>AD234</f>
        <v>0</v>
      </c>
      <c r="AF238" s="463">
        <f t="shared" ref="AF238:AO238" si="656">AE234</f>
        <v>0</v>
      </c>
      <c r="AG238" s="463">
        <f t="shared" si="656"/>
        <v>0</v>
      </c>
      <c r="AH238" s="463">
        <f t="shared" si="656"/>
        <v>0</v>
      </c>
      <c r="AI238" s="463">
        <f t="shared" si="656"/>
        <v>0</v>
      </c>
      <c r="AJ238" s="463">
        <f t="shared" si="656"/>
        <v>107.6</v>
      </c>
      <c r="AK238" s="463">
        <f t="shared" si="656"/>
        <v>473.44</v>
      </c>
      <c r="AL238" s="463">
        <f t="shared" si="656"/>
        <v>494.96</v>
      </c>
      <c r="AM238" s="463">
        <f t="shared" si="656"/>
        <v>215.2</v>
      </c>
      <c r="AN238" s="463">
        <f t="shared" si="656"/>
        <v>279.76</v>
      </c>
      <c r="AO238" s="463">
        <f t="shared" si="656"/>
        <v>451.92</v>
      </c>
      <c r="AP238" s="463">
        <f>AP234</f>
        <v>0</v>
      </c>
      <c r="AQ238" s="464"/>
      <c r="AR238" s="566">
        <f>SUM(AD238:AQ238)</f>
        <v>2022.88</v>
      </c>
      <c r="AS238" s="466">
        <f>AO234</f>
        <v>605.48</v>
      </c>
      <c r="AT238" s="463">
        <f>AS234</f>
        <v>435.64</v>
      </c>
      <c r="AU238" s="463">
        <f t="shared" ref="AU238:BD238" si="657">AT234</f>
        <v>371.08</v>
      </c>
      <c r="AV238" s="463">
        <f t="shared" si="657"/>
        <v>735.38</v>
      </c>
      <c r="AW238" s="463">
        <f t="shared" si="657"/>
        <v>806.34</v>
      </c>
      <c r="AX238" s="463">
        <f t="shared" si="657"/>
        <v>770.86</v>
      </c>
      <c r="AY238" s="463">
        <f t="shared" si="657"/>
        <v>699.9</v>
      </c>
      <c r="AZ238" s="463">
        <f t="shared" si="657"/>
        <v>1134.6400000000001</v>
      </c>
      <c r="BA238" s="463">
        <f t="shared" si="657"/>
        <v>780.56</v>
      </c>
      <c r="BB238" s="463">
        <f t="shared" si="657"/>
        <v>864.08</v>
      </c>
      <c r="BC238" s="463">
        <f t="shared" si="657"/>
        <v>1034.03</v>
      </c>
      <c r="BD238" s="463">
        <f t="shared" si="657"/>
        <v>1425.21</v>
      </c>
      <c r="BE238" s="463">
        <f>BE234</f>
        <v>0</v>
      </c>
      <c r="BF238" s="464"/>
      <c r="BG238" s="566">
        <f>SUM(AS238:BF238)</f>
        <v>9663.2000000000007</v>
      </c>
      <c r="BH238" s="466">
        <f>BD234</f>
        <v>612.26</v>
      </c>
      <c r="BI238" s="463">
        <f>BH234</f>
        <v>0</v>
      </c>
      <c r="BJ238" s="463">
        <f t="shared" ref="BJ238:BS238" si="658">BI234</f>
        <v>0</v>
      </c>
      <c r="BK238" s="463">
        <f t="shared" si="658"/>
        <v>0</v>
      </c>
      <c r="BL238" s="463">
        <f t="shared" si="658"/>
        <v>0</v>
      </c>
      <c r="BM238" s="463">
        <f t="shared" si="658"/>
        <v>0</v>
      </c>
      <c r="BN238" s="463">
        <f t="shared" si="658"/>
        <v>0</v>
      </c>
      <c r="BO238" s="463">
        <f t="shared" si="658"/>
        <v>0</v>
      </c>
      <c r="BP238" s="463">
        <f t="shared" si="658"/>
        <v>0</v>
      </c>
      <c r="BQ238" s="463">
        <f t="shared" si="658"/>
        <v>0</v>
      </c>
      <c r="BR238" s="463">
        <f t="shared" si="658"/>
        <v>0</v>
      </c>
      <c r="BS238" s="463">
        <f t="shared" si="658"/>
        <v>0</v>
      </c>
      <c r="BT238" s="463">
        <f>BT234</f>
        <v>0</v>
      </c>
      <c r="BU238" s="467"/>
      <c r="BV238" s="566">
        <f>SUM(BH238:BU238)</f>
        <v>612.26</v>
      </c>
      <c r="BW238" s="466">
        <f>BS234</f>
        <v>0</v>
      </c>
      <c r="BX238" s="463">
        <f>BW234</f>
        <v>0</v>
      </c>
      <c r="BY238" s="463">
        <f t="shared" ref="BY238:CH238" si="659">BX234</f>
        <v>0</v>
      </c>
      <c r="BZ238" s="463">
        <f t="shared" si="659"/>
        <v>0</v>
      </c>
      <c r="CA238" s="463">
        <f t="shared" si="659"/>
        <v>0</v>
      </c>
      <c r="CB238" s="463">
        <f t="shared" si="659"/>
        <v>0</v>
      </c>
      <c r="CC238" s="463">
        <f t="shared" si="659"/>
        <v>0</v>
      </c>
      <c r="CD238" s="463">
        <f t="shared" si="659"/>
        <v>0</v>
      </c>
      <c r="CE238" s="463">
        <f t="shared" si="659"/>
        <v>0</v>
      </c>
      <c r="CF238" s="463">
        <f t="shared" si="659"/>
        <v>0</v>
      </c>
      <c r="CG238" s="463">
        <f t="shared" si="659"/>
        <v>0</v>
      </c>
      <c r="CH238" s="463">
        <f t="shared" si="659"/>
        <v>0</v>
      </c>
      <c r="CI238" s="463">
        <f>CI234</f>
        <v>0</v>
      </c>
      <c r="CJ238" s="467"/>
      <c r="CK238" s="566">
        <f>SUM(BW238:CJ238)</f>
        <v>0</v>
      </c>
      <c r="CL238" s="468"/>
      <c r="CM238" s="468"/>
      <c r="CN238" s="567">
        <f>CH234</f>
        <v>0</v>
      </c>
      <c r="CO238" s="555"/>
      <c r="CP238" s="556">
        <f>N238+AC238+AR238+BG238+BV238+CK238+CN238</f>
        <v>12298.340000000002</v>
      </c>
      <c r="CQ238" s="626" t="s">
        <v>1764</v>
      </c>
    </row>
    <row r="239" spans="1:95" ht="19.5" thickBot="1">
      <c r="A239" s="294" t="str">
        <f>B80</f>
        <v xml:space="preserve">Фаза  3. Реализация.  Этап № 5. Реализация  </v>
      </c>
      <c r="B239" s="131"/>
      <c r="C239" s="146"/>
      <c r="D239" s="377">
        <f>CN215</f>
        <v>45569720</v>
      </c>
      <c r="E239" s="45"/>
      <c r="K239" s="398" t="s">
        <v>1752</v>
      </c>
      <c r="L239" s="555"/>
      <c r="M239" s="555"/>
      <c r="N239" s="568">
        <f>к_до_оцо</f>
        <v>0</v>
      </c>
      <c r="O239" s="470"/>
      <c r="P239" s="569">
        <f>O235</f>
        <v>0</v>
      </c>
      <c r="Q239" s="569">
        <f t="shared" ref="Q239:Z239" si="660">P235</f>
        <v>0</v>
      </c>
      <c r="R239" s="569">
        <f t="shared" si="660"/>
        <v>0</v>
      </c>
      <c r="S239" s="569">
        <f t="shared" si="660"/>
        <v>0</v>
      </c>
      <c r="T239" s="569">
        <f t="shared" si="660"/>
        <v>0</v>
      </c>
      <c r="U239" s="569">
        <f t="shared" si="660"/>
        <v>0</v>
      </c>
      <c r="V239" s="569">
        <f t="shared" si="660"/>
        <v>0</v>
      </c>
      <c r="W239" s="569">
        <f t="shared" si="660"/>
        <v>0</v>
      </c>
      <c r="X239" s="569">
        <f t="shared" si="660"/>
        <v>0</v>
      </c>
      <c r="Y239" s="569">
        <f t="shared" si="660"/>
        <v>0</v>
      </c>
      <c r="Z239" s="569">
        <f t="shared" si="660"/>
        <v>0</v>
      </c>
      <c r="AA239" s="569">
        <f>AA235</f>
        <v>0</v>
      </c>
      <c r="AB239" s="476"/>
      <c r="AC239" s="570">
        <f>SUM(O239:AB239)</f>
        <v>0</v>
      </c>
      <c r="AD239" s="475">
        <f>Z235</f>
        <v>0</v>
      </c>
      <c r="AE239" s="473">
        <f>AD235</f>
        <v>0</v>
      </c>
      <c r="AF239" s="473">
        <f t="shared" ref="AF239:AO239" si="661">AE235</f>
        <v>454.13</v>
      </c>
      <c r="AG239" s="473">
        <f t="shared" si="661"/>
        <v>2252.6999999999998</v>
      </c>
      <c r="AH239" s="473">
        <f t="shared" si="661"/>
        <v>2436.88</v>
      </c>
      <c r="AI239" s="473">
        <f t="shared" si="661"/>
        <v>2330.36</v>
      </c>
      <c r="AJ239" s="473">
        <f t="shared" si="661"/>
        <v>2221.6999999999998</v>
      </c>
      <c r="AK239" s="473">
        <f t="shared" si="661"/>
        <v>1436.71</v>
      </c>
      <c r="AL239" s="473">
        <f t="shared" si="661"/>
        <v>1496.4</v>
      </c>
      <c r="AM239" s="473">
        <f t="shared" si="661"/>
        <v>1854.77</v>
      </c>
      <c r="AN239" s="473">
        <f t="shared" si="661"/>
        <v>2184.7600000000002</v>
      </c>
      <c r="AO239" s="473">
        <f t="shared" si="661"/>
        <v>1589.69</v>
      </c>
      <c r="AP239" s="473">
        <f>AP235</f>
        <v>0</v>
      </c>
      <c r="AQ239" s="476"/>
      <c r="AR239" s="570">
        <f>SUM(AD239:AQ239)</f>
        <v>18258.099999999999</v>
      </c>
      <c r="AS239" s="475">
        <f>AO235</f>
        <v>1500.69</v>
      </c>
      <c r="AT239" s="473">
        <f>AS235</f>
        <v>1214.1099999999999</v>
      </c>
      <c r="AU239" s="473">
        <f t="shared" ref="AU239:BD239" si="662">AT235</f>
        <v>2040.24</v>
      </c>
      <c r="AV239" s="473">
        <f t="shared" si="662"/>
        <v>1598.42</v>
      </c>
      <c r="AW239" s="473">
        <f t="shared" si="662"/>
        <v>1502.6</v>
      </c>
      <c r="AX239" s="473">
        <f t="shared" si="662"/>
        <v>1227.71</v>
      </c>
      <c r="AY239" s="473">
        <f t="shared" si="662"/>
        <v>1140.19</v>
      </c>
      <c r="AZ239" s="473">
        <f t="shared" si="662"/>
        <v>1408.93</v>
      </c>
      <c r="BA239" s="473">
        <f t="shared" si="662"/>
        <v>1452.64</v>
      </c>
      <c r="BB239" s="473">
        <f t="shared" si="662"/>
        <v>1166.3499999999999</v>
      </c>
      <c r="BC239" s="473">
        <f t="shared" si="662"/>
        <v>1477.68</v>
      </c>
      <c r="BD239" s="473">
        <f t="shared" si="662"/>
        <v>47.79</v>
      </c>
      <c r="BE239" s="473">
        <f>BE235</f>
        <v>0</v>
      </c>
      <c r="BF239" s="476"/>
      <c r="BG239" s="570">
        <f>SUM(AS239:BF239)</f>
        <v>15777.350000000002</v>
      </c>
      <c r="BH239" s="475">
        <f>BD235</f>
        <v>0</v>
      </c>
      <c r="BI239" s="473">
        <f>BH235</f>
        <v>0</v>
      </c>
      <c r="BJ239" s="473">
        <f t="shared" ref="BJ239:BS239" si="663">BI235</f>
        <v>0</v>
      </c>
      <c r="BK239" s="473">
        <f t="shared" si="663"/>
        <v>0</v>
      </c>
      <c r="BL239" s="473">
        <f t="shared" si="663"/>
        <v>0</v>
      </c>
      <c r="BM239" s="473">
        <f t="shared" si="663"/>
        <v>0</v>
      </c>
      <c r="BN239" s="473">
        <f t="shared" si="663"/>
        <v>0</v>
      </c>
      <c r="BO239" s="473">
        <f t="shared" si="663"/>
        <v>0</v>
      </c>
      <c r="BP239" s="473">
        <f t="shared" si="663"/>
        <v>0</v>
      </c>
      <c r="BQ239" s="473">
        <f t="shared" si="663"/>
        <v>0</v>
      </c>
      <c r="BR239" s="473">
        <f t="shared" si="663"/>
        <v>0</v>
      </c>
      <c r="BS239" s="473">
        <f t="shared" si="663"/>
        <v>0</v>
      </c>
      <c r="BT239" s="473">
        <f>BT235</f>
        <v>0</v>
      </c>
      <c r="BU239" s="477"/>
      <c r="BV239" s="570">
        <f>SUM(BH239:BU239)</f>
        <v>0</v>
      </c>
      <c r="BW239" s="475">
        <f>BS235</f>
        <v>0</v>
      </c>
      <c r="BX239" s="473">
        <f>BW235</f>
        <v>0</v>
      </c>
      <c r="BY239" s="473">
        <f t="shared" ref="BY239:CH239" si="664">BX235</f>
        <v>0</v>
      </c>
      <c r="BZ239" s="473">
        <f t="shared" si="664"/>
        <v>0</v>
      </c>
      <c r="CA239" s="473">
        <f t="shared" si="664"/>
        <v>0</v>
      </c>
      <c r="CB239" s="473">
        <f t="shared" si="664"/>
        <v>0</v>
      </c>
      <c r="CC239" s="473">
        <f t="shared" si="664"/>
        <v>0</v>
      </c>
      <c r="CD239" s="473">
        <f t="shared" si="664"/>
        <v>0</v>
      </c>
      <c r="CE239" s="473">
        <f t="shared" si="664"/>
        <v>0</v>
      </c>
      <c r="CF239" s="473">
        <f t="shared" si="664"/>
        <v>0</v>
      </c>
      <c r="CG239" s="473">
        <f t="shared" si="664"/>
        <v>0</v>
      </c>
      <c r="CH239" s="473">
        <f t="shared" si="664"/>
        <v>0</v>
      </c>
      <c r="CI239" s="473">
        <f>CI235</f>
        <v>0</v>
      </c>
      <c r="CJ239" s="477"/>
      <c r="CK239" s="570">
        <f>SUM(BW239:CJ239)</f>
        <v>0</v>
      </c>
      <c r="CL239" s="468"/>
      <c r="CM239" s="468"/>
      <c r="CN239" s="571">
        <f>CH235</f>
        <v>0</v>
      </c>
      <c r="CO239" s="555"/>
      <c r="CP239" s="556">
        <f>N239+AC239+AR239+BG239+BV239+CK239+CN239</f>
        <v>34035.449999999997</v>
      </c>
      <c r="CQ239" s="626" t="s">
        <v>1765</v>
      </c>
    </row>
    <row r="240" spans="1:95" ht="18.75">
      <c r="A240" s="294" t="str">
        <f>B216</f>
        <v xml:space="preserve">Фаза  4. Завершение. Этап № 6. Завершение </v>
      </c>
      <c r="B240" s="131"/>
      <c r="C240" s="146"/>
      <c r="D240" s="377">
        <f>CN227</f>
        <v>764070</v>
      </c>
      <c r="E240" s="45"/>
    </row>
    <row r="241" spans="1:126">
      <c r="A241" s="268"/>
      <c r="B241" s="115"/>
      <c r="C241" s="248"/>
      <c r="D241" s="45"/>
      <c r="E241" s="45"/>
    </row>
    <row r="242" spans="1:126">
      <c r="A242" s="269"/>
      <c r="B242" s="115"/>
      <c r="C242" s="248"/>
      <c r="D242" s="45"/>
      <c r="E242" s="45"/>
    </row>
    <row r="243" spans="1:126">
      <c r="B243" s="116" t="s">
        <v>39</v>
      </c>
    </row>
    <row r="244" spans="1:126" ht="129" customHeight="1">
      <c r="A244" s="1053" t="s">
        <v>52</v>
      </c>
      <c r="B244" s="1053"/>
      <c r="C244" s="1053"/>
      <c r="D244" s="1053"/>
      <c r="E244" s="1053"/>
      <c r="F244" s="1053"/>
      <c r="G244" s="1053"/>
      <c r="H244" s="1053"/>
      <c r="I244" s="1053"/>
      <c r="J244" s="1053"/>
      <c r="K244" s="1053"/>
      <c r="L244" s="1053"/>
      <c r="M244" s="1053"/>
      <c r="N244" s="1053"/>
      <c r="O244" s="1053"/>
      <c r="P244" s="1053"/>
      <c r="Q244" s="1053"/>
      <c r="R244" s="1053"/>
      <c r="S244" s="1053"/>
      <c r="T244" s="1053"/>
      <c r="U244" s="118"/>
      <c r="V244" s="118"/>
      <c r="W244" s="118"/>
      <c r="X244" s="118"/>
      <c r="Y244" s="118"/>
      <c r="Z244" s="118"/>
      <c r="AA244" s="118"/>
      <c r="AB244" s="118"/>
      <c r="AC244" s="274"/>
      <c r="AD244" s="118"/>
      <c r="AE244" s="118"/>
      <c r="AF244" s="118"/>
      <c r="AG244" s="118"/>
      <c r="AH244" s="118"/>
      <c r="AI244" s="118"/>
      <c r="AJ244" s="118"/>
      <c r="AK244" s="118"/>
      <c r="AL244" s="118"/>
      <c r="AM244" s="118"/>
      <c r="AN244" s="118"/>
      <c r="AO244" s="118"/>
      <c r="AP244" s="118"/>
      <c r="AQ244" s="118"/>
      <c r="AR244" s="274"/>
      <c r="AS244" s="118"/>
      <c r="AT244" s="118"/>
      <c r="AU244" s="118"/>
      <c r="AV244" s="118"/>
      <c r="AW244" s="118"/>
      <c r="AX244" s="118"/>
      <c r="AY244" s="118"/>
      <c r="AZ244" s="118"/>
      <c r="BA244" s="118"/>
      <c r="BB244" s="118"/>
      <c r="BC244" s="118"/>
      <c r="BD244" s="118"/>
      <c r="BE244" s="118"/>
      <c r="BF244" s="118"/>
      <c r="BG244" s="274"/>
      <c r="BH244" s="274"/>
      <c r="BI244" s="274"/>
      <c r="BJ244" s="274"/>
      <c r="BK244" s="274"/>
      <c r="BL244" s="274"/>
      <c r="BM244" s="274"/>
      <c r="BN244" s="274"/>
      <c r="BO244" s="274"/>
      <c r="BP244" s="274"/>
      <c r="BQ244" s="274"/>
      <c r="BR244" s="274"/>
      <c r="BS244" s="274"/>
      <c r="BT244" s="274"/>
      <c r="BU244" s="274"/>
      <c r="BV244" s="274"/>
      <c r="BW244" s="274"/>
      <c r="BX244" s="274"/>
      <c r="BY244" s="274"/>
      <c r="BZ244" s="274"/>
      <c r="CA244" s="274"/>
      <c r="CB244" s="274"/>
      <c r="CC244" s="274"/>
      <c r="CD244" s="274"/>
      <c r="CE244" s="274"/>
      <c r="CF244" s="274"/>
      <c r="CG244" s="274"/>
      <c r="CH244" s="274"/>
      <c r="CI244" s="274"/>
      <c r="CJ244" s="274"/>
      <c r="CK244" s="274"/>
      <c r="CL244" s="292"/>
      <c r="CM244" s="292"/>
      <c r="CN244" s="281"/>
      <c r="CO244" s="117"/>
      <c r="CP244" s="117"/>
      <c r="CQ244" s="482"/>
      <c r="CR244" s="117"/>
      <c r="CS244" s="117"/>
      <c r="CT244" s="117"/>
      <c r="CU244" s="117"/>
      <c r="CV244" s="117"/>
      <c r="CW244" s="117"/>
      <c r="CX244" s="117"/>
      <c r="CY244" s="117"/>
      <c r="CZ244" s="117"/>
      <c r="DA244" s="117"/>
      <c r="DB244" s="117"/>
      <c r="DC244" s="117"/>
      <c r="DD244" s="117"/>
      <c r="DE244" s="117"/>
      <c r="DF244" s="117"/>
      <c r="DG244" s="117"/>
      <c r="DH244" s="117"/>
      <c r="DI244" s="117"/>
      <c r="DJ244" s="117"/>
      <c r="DK244" s="117"/>
      <c r="DL244" s="117"/>
      <c r="DM244" s="117"/>
      <c r="DN244" s="117"/>
      <c r="DO244" s="117"/>
      <c r="DP244" s="117"/>
      <c r="DQ244" s="117"/>
      <c r="DR244" s="117"/>
      <c r="DS244" s="117"/>
      <c r="DT244" s="117"/>
      <c r="DU244" s="117"/>
      <c r="DV244" s="117"/>
    </row>
    <row r="245" spans="1:126" ht="24.75" customHeight="1">
      <c r="A245" s="1054" t="s">
        <v>108</v>
      </c>
      <c r="B245" s="1054"/>
      <c r="C245" s="1054"/>
      <c r="D245" s="1054"/>
      <c r="E245" s="1054"/>
      <c r="F245" s="1054"/>
      <c r="G245" s="1054"/>
      <c r="H245" s="1054"/>
      <c r="I245" s="1054"/>
      <c r="J245" s="1054"/>
      <c r="K245" s="1054"/>
      <c r="L245" s="1054"/>
      <c r="M245" s="1054"/>
      <c r="N245" s="1054"/>
      <c r="O245" s="1054"/>
      <c r="P245" s="1054"/>
      <c r="Q245" s="1054"/>
      <c r="R245" s="1054"/>
      <c r="S245" s="1054"/>
      <c r="T245" s="1054"/>
      <c r="U245" s="47"/>
      <c r="V245" s="47"/>
      <c r="W245" s="47"/>
      <c r="X245" s="47"/>
      <c r="Y245" s="47"/>
      <c r="Z245" s="47"/>
      <c r="AA245" s="47"/>
      <c r="AB245" s="47"/>
      <c r="AC245" s="275"/>
      <c r="AD245" s="47"/>
      <c r="AE245" s="47"/>
      <c r="AF245" s="47"/>
      <c r="AG245" s="47"/>
      <c r="AH245" s="47"/>
      <c r="AI245" s="47"/>
      <c r="AJ245" s="47"/>
      <c r="AK245" s="47"/>
      <c r="AL245" s="47"/>
      <c r="AM245" s="47"/>
      <c r="AN245" s="47"/>
      <c r="AO245" s="47"/>
      <c r="AP245" s="47"/>
      <c r="AQ245" s="47"/>
      <c r="AR245" s="275"/>
      <c r="AS245" s="47"/>
      <c r="AT245" s="47"/>
      <c r="AU245" s="47"/>
      <c r="AV245" s="47"/>
      <c r="AW245" s="47"/>
      <c r="AX245" s="47"/>
      <c r="AY245" s="47"/>
      <c r="AZ245" s="47"/>
      <c r="BA245" s="47"/>
      <c r="BB245" s="47"/>
      <c r="BC245" s="47"/>
      <c r="BD245" s="47"/>
      <c r="BE245" s="47"/>
      <c r="BF245" s="47"/>
      <c r="BG245" s="275"/>
      <c r="BH245" s="275"/>
      <c r="BI245" s="275"/>
      <c r="BJ245" s="275"/>
      <c r="BK245" s="275"/>
      <c r="BL245" s="275"/>
      <c r="BM245" s="275"/>
      <c r="BN245" s="275"/>
      <c r="BO245" s="275"/>
      <c r="BP245" s="275"/>
      <c r="BQ245" s="275"/>
      <c r="BR245" s="275"/>
      <c r="BS245" s="275"/>
      <c r="BT245" s="275"/>
      <c r="BU245" s="275"/>
      <c r="BV245" s="275"/>
      <c r="BW245" s="275"/>
      <c r="BX245" s="275"/>
      <c r="BY245" s="275"/>
      <c r="BZ245" s="275"/>
      <c r="CA245" s="275"/>
      <c r="CB245" s="275"/>
      <c r="CC245" s="275"/>
      <c r="CD245" s="275"/>
      <c r="CE245" s="275"/>
      <c r="CF245" s="275"/>
      <c r="CG245" s="275"/>
      <c r="CH245" s="275"/>
      <c r="CI245" s="275"/>
      <c r="CJ245" s="275"/>
      <c r="CK245" s="275"/>
      <c r="CL245" s="293"/>
      <c r="CM245" s="293"/>
      <c r="CN245" s="281"/>
      <c r="CO245" s="117"/>
      <c r="CP245" s="117"/>
      <c r="CQ245" s="482"/>
      <c r="CR245" s="117"/>
      <c r="CS245" s="117"/>
      <c r="CT245" s="117"/>
      <c r="CU245" s="117"/>
      <c r="CV245" s="117"/>
      <c r="CW245" s="117"/>
      <c r="CX245" s="117"/>
      <c r="CY245" s="117"/>
      <c r="CZ245" s="117"/>
      <c r="DA245" s="117"/>
      <c r="DB245" s="117"/>
      <c r="DC245" s="117"/>
      <c r="DD245" s="117"/>
      <c r="DE245" s="117"/>
      <c r="DF245" s="117"/>
      <c r="DG245" s="117"/>
      <c r="DH245" s="117"/>
      <c r="DI245" s="117"/>
      <c r="DJ245" s="117"/>
      <c r="DK245" s="117"/>
      <c r="DL245" s="117"/>
      <c r="DM245" s="117"/>
      <c r="DN245" s="117"/>
      <c r="DO245" s="117"/>
      <c r="DP245" s="117"/>
      <c r="DQ245" s="117"/>
      <c r="DR245" s="117"/>
      <c r="DS245" s="117"/>
      <c r="DT245" s="117"/>
      <c r="DU245" s="117"/>
      <c r="DV245" s="117"/>
    </row>
    <row r="246" spans="1:126" ht="26.25" customHeight="1">
      <c r="A246" s="1053" t="s">
        <v>109</v>
      </c>
      <c r="B246" s="1053"/>
      <c r="C246" s="1053"/>
      <c r="D246" s="1053"/>
      <c r="E246" s="1053"/>
      <c r="F246" s="1053"/>
      <c r="G246" s="1053"/>
      <c r="H246" s="1053"/>
      <c r="I246" s="1053"/>
      <c r="J246" s="1053"/>
      <c r="K246" s="1053"/>
      <c r="L246" s="1053"/>
      <c r="M246" s="1053"/>
      <c r="N246" s="1053"/>
      <c r="O246" s="1053"/>
      <c r="P246" s="1053"/>
      <c r="Q246" s="1053"/>
      <c r="R246" s="1053"/>
      <c r="S246" s="1053"/>
      <c r="T246" s="1053"/>
      <c r="U246" s="118"/>
      <c r="V246" s="118"/>
      <c r="W246" s="118"/>
      <c r="X246" s="118"/>
      <c r="Y246" s="118"/>
      <c r="Z246" s="118"/>
      <c r="AA246" s="118"/>
      <c r="AB246" s="118"/>
      <c r="AC246" s="274"/>
      <c r="AD246" s="118"/>
      <c r="AE246" s="118"/>
      <c r="AF246" s="118"/>
      <c r="AG246" s="118"/>
      <c r="AH246" s="118"/>
      <c r="AI246" s="118"/>
      <c r="AJ246" s="118"/>
      <c r="AK246" s="118"/>
      <c r="AL246" s="118"/>
      <c r="AM246" s="118"/>
      <c r="AN246" s="118"/>
      <c r="AO246" s="118"/>
      <c r="AP246" s="118"/>
      <c r="AQ246" s="118"/>
      <c r="AR246" s="274"/>
      <c r="AS246" s="118"/>
      <c r="AT246" s="118"/>
      <c r="AU246" s="118"/>
      <c r="AV246" s="118"/>
      <c r="AW246" s="118"/>
      <c r="AX246" s="118"/>
      <c r="AY246" s="118"/>
      <c r="AZ246" s="118"/>
      <c r="BA246" s="118"/>
      <c r="BB246" s="118"/>
      <c r="BC246" s="118"/>
      <c r="BD246" s="118"/>
      <c r="BE246" s="118"/>
      <c r="BF246" s="118"/>
      <c r="BG246" s="274"/>
      <c r="BH246" s="274"/>
      <c r="BI246" s="274"/>
      <c r="BJ246" s="274"/>
      <c r="BK246" s="274"/>
      <c r="BL246" s="274"/>
      <c r="BM246" s="274"/>
      <c r="BN246" s="274"/>
      <c r="BO246" s="274"/>
      <c r="BP246" s="274"/>
      <c r="BQ246" s="274"/>
      <c r="BR246" s="274"/>
      <c r="BS246" s="274"/>
      <c r="BT246" s="274"/>
      <c r="BU246" s="274"/>
      <c r="BV246" s="274"/>
      <c r="BW246" s="274"/>
      <c r="BX246" s="274"/>
      <c r="BY246" s="274"/>
      <c r="BZ246" s="274"/>
      <c r="CA246" s="274"/>
      <c r="CB246" s="274"/>
      <c r="CC246" s="274"/>
      <c r="CD246" s="274"/>
      <c r="CE246" s="274"/>
      <c r="CF246" s="274"/>
      <c r="CG246" s="274"/>
      <c r="CH246" s="274"/>
      <c r="CI246" s="274"/>
      <c r="CJ246" s="274"/>
      <c r="CK246" s="274"/>
      <c r="CL246" s="292"/>
      <c r="CM246" s="292"/>
      <c r="CN246" s="281"/>
      <c r="CO246" s="117"/>
      <c r="CP246" s="117"/>
      <c r="CQ246" s="482"/>
      <c r="CR246" s="117"/>
      <c r="CS246" s="117"/>
      <c r="CT246" s="117"/>
      <c r="CU246" s="117"/>
      <c r="CV246" s="117"/>
      <c r="CW246" s="117"/>
      <c r="CX246" s="117"/>
      <c r="CY246" s="117"/>
      <c r="CZ246" s="117"/>
      <c r="DA246" s="117"/>
      <c r="DB246" s="117"/>
      <c r="DC246" s="117"/>
      <c r="DD246" s="117"/>
      <c r="DE246" s="117"/>
      <c r="DF246" s="117"/>
      <c r="DG246" s="117"/>
      <c r="DH246" s="117"/>
      <c r="DI246" s="117"/>
      <c r="DJ246" s="117"/>
      <c r="DK246" s="117"/>
      <c r="DL246" s="117"/>
      <c r="DM246" s="117"/>
      <c r="DN246" s="117"/>
      <c r="DO246" s="117"/>
      <c r="DP246" s="117"/>
      <c r="DQ246" s="117"/>
      <c r="DR246" s="117"/>
      <c r="DS246" s="117"/>
      <c r="DT246" s="117"/>
      <c r="DU246" s="117"/>
      <c r="DV246" s="117"/>
    </row>
  </sheetData>
  <autoFilter ref="A7:CN228" xr:uid="{00000000-0009-0000-0000-000003000000}"/>
  <mergeCells count="274">
    <mergeCell ref="B34:C34"/>
    <mergeCell ref="B54:C54"/>
    <mergeCell ref="B80:C80"/>
    <mergeCell ref="B216:C216"/>
    <mergeCell ref="A213:A214"/>
    <mergeCell ref="B213:B214"/>
    <mergeCell ref="C213:C214"/>
    <mergeCell ref="A205:A208"/>
    <mergeCell ref="B205:B208"/>
    <mergeCell ref="C205:C208"/>
    <mergeCell ref="A209:A210"/>
    <mergeCell ref="B209:B210"/>
    <mergeCell ref="C209:C210"/>
    <mergeCell ref="A203:A204"/>
    <mergeCell ref="B203:B204"/>
    <mergeCell ref="B193:B198"/>
    <mergeCell ref="A193:A198"/>
    <mergeCell ref="B211:B212"/>
    <mergeCell ref="A211:A212"/>
    <mergeCell ref="B189:B190"/>
    <mergeCell ref="A189:A190"/>
    <mergeCell ref="B191:B192"/>
    <mergeCell ref="A191:A192"/>
    <mergeCell ref="B199:B202"/>
    <mergeCell ref="B221:B222"/>
    <mergeCell ref="A221:A222"/>
    <mergeCell ref="B223:B224"/>
    <mergeCell ref="A223:A224"/>
    <mergeCell ref="B217:B218"/>
    <mergeCell ref="A217:A218"/>
    <mergeCell ref="B219:B220"/>
    <mergeCell ref="A219:A220"/>
    <mergeCell ref="A215:B215"/>
    <mergeCell ref="A199:A202"/>
    <mergeCell ref="B181:B185"/>
    <mergeCell ref="A181:A185"/>
    <mergeCell ref="B186:B188"/>
    <mergeCell ref="A186:A188"/>
    <mergeCell ref="B173:B174"/>
    <mergeCell ref="A173:A174"/>
    <mergeCell ref="B175:B176"/>
    <mergeCell ref="A175:A176"/>
    <mergeCell ref="B177:B178"/>
    <mergeCell ref="A177:A178"/>
    <mergeCell ref="B171:B172"/>
    <mergeCell ref="A171:A172"/>
    <mergeCell ref="B164:B166"/>
    <mergeCell ref="A164:A166"/>
    <mergeCell ref="B167:B168"/>
    <mergeCell ref="A167:A168"/>
    <mergeCell ref="A169:A170"/>
    <mergeCell ref="B169:B170"/>
    <mergeCell ref="B179:B180"/>
    <mergeCell ref="A179:A180"/>
    <mergeCell ref="B154:B156"/>
    <mergeCell ref="A154:A156"/>
    <mergeCell ref="B157:B159"/>
    <mergeCell ref="A157:A159"/>
    <mergeCell ref="B160:B163"/>
    <mergeCell ref="A160:A163"/>
    <mergeCell ref="B147:B148"/>
    <mergeCell ref="A147:A148"/>
    <mergeCell ref="B149:B150"/>
    <mergeCell ref="A149:A150"/>
    <mergeCell ref="B151:B153"/>
    <mergeCell ref="A151:A153"/>
    <mergeCell ref="B139:B140"/>
    <mergeCell ref="A139:A140"/>
    <mergeCell ref="B141:B143"/>
    <mergeCell ref="A141:A143"/>
    <mergeCell ref="B144:B146"/>
    <mergeCell ref="A144:A146"/>
    <mergeCell ref="B131:B132"/>
    <mergeCell ref="A131:A132"/>
    <mergeCell ref="B133:B134"/>
    <mergeCell ref="A133:A134"/>
    <mergeCell ref="B135:B138"/>
    <mergeCell ref="A135:A138"/>
    <mergeCell ref="B124:B128"/>
    <mergeCell ref="A124:A128"/>
    <mergeCell ref="B129:B130"/>
    <mergeCell ref="A129:A130"/>
    <mergeCell ref="B114:B118"/>
    <mergeCell ref="A114:A118"/>
    <mergeCell ref="B119:B120"/>
    <mergeCell ref="A119:A120"/>
    <mergeCell ref="B121:B123"/>
    <mergeCell ref="A121:A123"/>
    <mergeCell ref="B108:B109"/>
    <mergeCell ref="A108:A109"/>
    <mergeCell ref="B110:B113"/>
    <mergeCell ref="A110:A113"/>
    <mergeCell ref="B98:B99"/>
    <mergeCell ref="A98:A99"/>
    <mergeCell ref="B100:B103"/>
    <mergeCell ref="A100:A103"/>
    <mergeCell ref="B104:B107"/>
    <mergeCell ref="A104:A107"/>
    <mergeCell ref="B88:B89"/>
    <mergeCell ref="A88:A89"/>
    <mergeCell ref="B90:B93"/>
    <mergeCell ref="A90:A93"/>
    <mergeCell ref="B94:B97"/>
    <mergeCell ref="A94:A97"/>
    <mergeCell ref="B75:B76"/>
    <mergeCell ref="B85:B87"/>
    <mergeCell ref="A85:A87"/>
    <mergeCell ref="A75:A76"/>
    <mergeCell ref="A79:B79"/>
    <mergeCell ref="C31:C32"/>
    <mergeCell ref="C39:C40"/>
    <mergeCell ref="C41:C42"/>
    <mergeCell ref="C43:C44"/>
    <mergeCell ref="B59:B60"/>
    <mergeCell ref="A59:A60"/>
    <mergeCell ref="B61:B62"/>
    <mergeCell ref="A61:A62"/>
    <mergeCell ref="B65:B66"/>
    <mergeCell ref="A65:A66"/>
    <mergeCell ref="B49:B50"/>
    <mergeCell ref="A49:A50"/>
    <mergeCell ref="B51:B52"/>
    <mergeCell ref="A51:A52"/>
    <mergeCell ref="A53:B53"/>
    <mergeCell ref="B37:B38"/>
    <mergeCell ref="C37:C38"/>
    <mergeCell ref="B55:B56"/>
    <mergeCell ref="A57:A58"/>
    <mergeCell ref="B57:B58"/>
    <mergeCell ref="A45:A46"/>
    <mergeCell ref="B39:B40"/>
    <mergeCell ref="A39:A40"/>
    <mergeCell ref="B43:B44"/>
    <mergeCell ref="CL6:CN6"/>
    <mergeCell ref="C9:C10"/>
    <mergeCell ref="C11:C12"/>
    <mergeCell ref="C15:C16"/>
    <mergeCell ref="C17:C18"/>
    <mergeCell ref="C19:C20"/>
    <mergeCell ref="C21:C22"/>
    <mergeCell ref="C23:C24"/>
    <mergeCell ref="C25:C26"/>
    <mergeCell ref="O6:AC6"/>
    <mergeCell ref="AD6:AR6"/>
    <mergeCell ref="B8:C8"/>
    <mergeCell ref="B14:C14"/>
    <mergeCell ref="B11:B12"/>
    <mergeCell ref="L6:N6"/>
    <mergeCell ref="AS6:BG6"/>
    <mergeCell ref="BH6:BV6"/>
    <mergeCell ref="BW6:CK6"/>
    <mergeCell ref="A11:A12"/>
    <mergeCell ref="B29:B30"/>
    <mergeCell ref="A29:A30"/>
    <mergeCell ref="B25:B26"/>
    <mergeCell ref="A25:A26"/>
    <mergeCell ref="B27:B28"/>
    <mergeCell ref="A27:A28"/>
    <mergeCell ref="B17:B18"/>
    <mergeCell ref="A17:A18"/>
    <mergeCell ref="C27:C28"/>
    <mergeCell ref="C29:C30"/>
    <mergeCell ref="A33:B33"/>
    <mergeCell ref="A13:B13"/>
    <mergeCell ref="B15:B16"/>
    <mergeCell ref="A15:A16"/>
    <mergeCell ref="A9:A10"/>
    <mergeCell ref="B9:B10"/>
    <mergeCell ref="B47:B48"/>
    <mergeCell ref="A47:A48"/>
    <mergeCell ref="B31:B32"/>
    <mergeCell ref="A31:A32"/>
    <mergeCell ref="B21:B22"/>
    <mergeCell ref="A21:A22"/>
    <mergeCell ref="B19:B20"/>
    <mergeCell ref="A19:A20"/>
    <mergeCell ref="B23:B24"/>
    <mergeCell ref="A23:A24"/>
    <mergeCell ref="B41:B42"/>
    <mergeCell ref="A41:A42"/>
    <mergeCell ref="A35:A36"/>
    <mergeCell ref="B35:B36"/>
    <mergeCell ref="C35:C36"/>
    <mergeCell ref="A37:A38"/>
    <mergeCell ref="B71:B72"/>
    <mergeCell ref="A71:A72"/>
    <mergeCell ref="B45:B46"/>
    <mergeCell ref="C69:C70"/>
    <mergeCell ref="C71:C72"/>
    <mergeCell ref="C73:C74"/>
    <mergeCell ref="C75:C76"/>
    <mergeCell ref="C77:C78"/>
    <mergeCell ref="C85:C87"/>
    <mergeCell ref="A81:A82"/>
    <mergeCell ref="B81:B82"/>
    <mergeCell ref="A83:A84"/>
    <mergeCell ref="B83:B84"/>
    <mergeCell ref="A73:A74"/>
    <mergeCell ref="B73:B74"/>
    <mergeCell ref="B67:B68"/>
    <mergeCell ref="A67:A68"/>
    <mergeCell ref="A69:A70"/>
    <mergeCell ref="B69:B70"/>
    <mergeCell ref="B63:B64"/>
    <mergeCell ref="A63:A64"/>
    <mergeCell ref="B77:B78"/>
    <mergeCell ref="A77:A78"/>
    <mergeCell ref="A55:A56"/>
    <mergeCell ref="C88:C89"/>
    <mergeCell ref="C90:C93"/>
    <mergeCell ref="C45:C46"/>
    <mergeCell ref="C47:C48"/>
    <mergeCell ref="C49:C50"/>
    <mergeCell ref="C51:C52"/>
    <mergeCell ref="C59:C60"/>
    <mergeCell ref="C61:C62"/>
    <mergeCell ref="C63:C64"/>
    <mergeCell ref="C65:C66"/>
    <mergeCell ref="C67:C68"/>
    <mergeCell ref="C81:C82"/>
    <mergeCell ref="C83:C84"/>
    <mergeCell ref="C55:C56"/>
    <mergeCell ref="C57:C58"/>
    <mergeCell ref="C141:C143"/>
    <mergeCell ref="C144:C146"/>
    <mergeCell ref="C147:C148"/>
    <mergeCell ref="C94:C97"/>
    <mergeCell ref="C98:C99"/>
    <mergeCell ref="C100:C103"/>
    <mergeCell ref="C104:C107"/>
    <mergeCell ref="C108:C109"/>
    <mergeCell ref="C110:C113"/>
    <mergeCell ref="C114:C118"/>
    <mergeCell ref="C119:C120"/>
    <mergeCell ref="C121:C123"/>
    <mergeCell ref="C124:C128"/>
    <mergeCell ref="C129:C130"/>
    <mergeCell ref="C131:C132"/>
    <mergeCell ref="C133:C134"/>
    <mergeCell ref="C135:C138"/>
    <mergeCell ref="C139:C140"/>
    <mergeCell ref="C173:C174"/>
    <mergeCell ref="C175:C176"/>
    <mergeCell ref="C177:C178"/>
    <mergeCell ref="C179:C180"/>
    <mergeCell ref="C181:C185"/>
    <mergeCell ref="C186:C188"/>
    <mergeCell ref="C189:C190"/>
    <mergeCell ref="C191:C192"/>
    <mergeCell ref="C193:C198"/>
    <mergeCell ref="C199:C202"/>
    <mergeCell ref="C203:C204"/>
    <mergeCell ref="A43:A44"/>
    <mergeCell ref="A225:A226"/>
    <mergeCell ref="B225:B226"/>
    <mergeCell ref="C225:C226"/>
    <mergeCell ref="A244:T244"/>
    <mergeCell ref="A245:T245"/>
    <mergeCell ref="A246:T246"/>
    <mergeCell ref="C217:C218"/>
    <mergeCell ref="C219:C220"/>
    <mergeCell ref="C221:C222"/>
    <mergeCell ref="C223:C224"/>
    <mergeCell ref="A227:B227"/>
    <mergeCell ref="C149:C150"/>
    <mergeCell ref="C151:C153"/>
    <mergeCell ref="C154:C156"/>
    <mergeCell ref="C157:C159"/>
    <mergeCell ref="C160:C163"/>
    <mergeCell ref="C164:C166"/>
    <mergeCell ref="C167:C168"/>
    <mergeCell ref="C169:C170"/>
    <mergeCell ref="C171:C172"/>
    <mergeCell ref="C211:C212"/>
  </mergeCells>
  <dataValidations count="3">
    <dataValidation type="list" allowBlank="1" showInputMessage="1" showErrorMessage="1" sqref="F80 F216 F14 F34 F54 F8" xr:uid="{00000000-0002-0000-0300-000000000000}">
      <formula1>Управление</formula1>
    </dataValidation>
    <dataValidation type="list" allowBlank="1" showInputMessage="1" showErrorMessage="1" sqref="H8" xr:uid="{00000000-0002-0000-0300-000001000000}">
      <formula1>Категория</formula1>
    </dataValidation>
    <dataValidation type="list" allowBlank="1" showInputMessage="1" showErrorMessage="1" sqref="J217:J226 J15:J32 J9:J12 J55:J78 J81:J214 J35:J52" xr:uid="{00000000-0002-0000-0300-000002000000}">
      <formula1>"ДИТ,ГО не ДИТ,КГМК,ЗФ,Чита"</formula1>
    </dataValidation>
  </dataValidations>
  <pageMargins left="0.51181102362204722" right="0.51181102362204722" top="0.55118110236220474" bottom="0.35433070866141736" header="0.31496062992125984" footer="0.31496062992125984"/>
  <pageSetup paperSize="8" scale="23" fitToHeight="0" orientation="landscape" r:id="rId1"/>
  <drawing r:id="rId2"/>
  <legacyDrawing r:id="rId3"/>
  <controls>
    <mc:AlternateContent xmlns:mc="http://schemas.openxmlformats.org/markup-compatibility/2006">
      <mc:Choice Requires="x14">
        <control shapeId="66569" r:id="rId4" name="CommandButton2">
          <controlPr print="0" autoLine="0" r:id="rId5">
            <anchor moveWithCells="1">
              <from>
                <xdr:col>2</xdr:col>
                <xdr:colOff>2162175</xdr:colOff>
                <xdr:row>0</xdr:row>
                <xdr:rowOff>114300</xdr:rowOff>
              </from>
              <to>
                <xdr:col>2</xdr:col>
                <xdr:colOff>3838575</xdr:colOff>
                <xdr:row>3</xdr:row>
                <xdr:rowOff>0</xdr:rowOff>
              </to>
            </anchor>
          </controlPr>
        </control>
      </mc:Choice>
      <mc:Fallback>
        <control shapeId="66569" r:id="rId4" name="CommandButton2"/>
      </mc:Fallback>
    </mc:AlternateContent>
    <mc:AlternateContent xmlns:mc="http://schemas.openxmlformats.org/markup-compatibility/2006">
      <mc:Choice Requires="x14">
        <control shapeId="66566" r:id="rId6" name="CommandButton1">
          <controlPr print="0" autoLine="0" autoPict="0" r:id="rId7">
            <anchor moveWithCells="1">
              <from>
                <xdr:col>2</xdr:col>
                <xdr:colOff>114300</xdr:colOff>
                <xdr:row>0</xdr:row>
                <xdr:rowOff>123825</xdr:rowOff>
              </from>
              <to>
                <xdr:col>2</xdr:col>
                <xdr:colOff>1771650</xdr:colOff>
                <xdr:row>3</xdr:row>
                <xdr:rowOff>19050</xdr:rowOff>
              </to>
            </anchor>
          </controlPr>
        </control>
      </mc:Choice>
      <mc:Fallback>
        <control shapeId="66566" r:id="rId6" name="CommandButto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3000000}">
          <x14:formula1>
            <xm:f>OFFSET('справочник сотрудников'!$G$4,,,COUNTA('справочник сотрудников'!$G:$G))</xm:f>
          </x14:formula1>
          <xm:sqref>J13:J14 J33:J34 J53:J54 J79:J80 J215:J216 I9:I226</xm:sqref>
        </x14:dataValidation>
        <x14:dataValidation type="list" allowBlank="1" showInputMessage="1" showErrorMessage="1" xr:uid="{00000000-0002-0000-0300-000004000000}">
          <x14:formula1>
            <xm:f>OFFSET(справочник!$A$3,,,COUNTA(справочник!$A:$A))</xm:f>
          </x14:formula1>
          <xm:sqref>H9:H226</xm:sqref>
        </x14:dataValidation>
        <x14:dataValidation type="list" allowBlank="1" showInputMessage="1" showErrorMessage="1" xr:uid="{00000000-0002-0000-0300-000005000000}">
          <x14:formula1>
            <xm:f>OFFSET('Справочник ролей'!$A$3,,,COUNTA('Справочник ролей'!$A:$A))</xm:f>
          </x14:formula1>
          <xm:sqref>G9:G227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8">
    <tabColor theme="5" tint="0.59999389629810485"/>
    <pageSetUpPr fitToPage="1"/>
  </sheetPr>
  <dimension ref="A1:BW100"/>
  <sheetViews>
    <sheetView zoomScale="65" zoomScaleNormal="65" workbookViewId="0">
      <pane xSplit="5" ySplit="4" topLeftCell="BL86" activePane="bottomRight" state="frozen"/>
      <selection pane="topRight" activeCell="G1" sqref="G1"/>
      <selection pane="bottomLeft" activeCell="A5" sqref="A5"/>
      <selection pane="bottomRight" activeCell="Z68" sqref="Z68"/>
    </sheetView>
  </sheetViews>
  <sheetFormatPr defaultRowHeight="12.75"/>
  <cols>
    <col min="1" max="1" width="32.28515625" style="13" customWidth="1"/>
    <col min="2" max="2" width="13" style="13" customWidth="1"/>
    <col min="3" max="3" width="8.85546875" style="13" customWidth="1"/>
    <col min="4" max="4" width="23" style="13" customWidth="1"/>
    <col min="5" max="5" width="32.42578125" style="13" customWidth="1"/>
    <col min="6" max="6" width="20.28515625" style="13" customWidth="1"/>
    <col min="7" max="7" width="13.85546875" style="165" customWidth="1"/>
    <col min="8" max="10" width="13" style="165" customWidth="1"/>
    <col min="11" max="72" width="12.85546875" style="165" customWidth="1"/>
    <col min="73" max="73" width="25.7109375" style="580" customWidth="1"/>
    <col min="74" max="74" width="17.7109375" style="13" customWidth="1"/>
    <col min="75" max="75" width="10.42578125" style="13" customWidth="1"/>
    <col min="76" max="16384" width="9.140625" style="13"/>
  </cols>
  <sheetData>
    <row r="1" spans="1:73" ht="38.25" customHeight="1">
      <c r="A1" s="2"/>
      <c r="B1" s="2"/>
      <c r="C1" s="2"/>
      <c r="D1" s="2"/>
      <c r="E1" s="9"/>
      <c r="F1" s="9"/>
      <c r="G1" s="2"/>
      <c r="H1" s="2"/>
      <c r="I1" s="2"/>
      <c r="J1" s="2"/>
      <c r="K1" s="2"/>
      <c r="L1" s="2"/>
      <c r="M1" s="2"/>
      <c r="N1" s="2"/>
      <c r="O1" s="2"/>
      <c r="P1" s="2"/>
      <c r="Q1" s="2"/>
      <c r="R1" s="2"/>
      <c r="S1" s="2"/>
      <c r="T1" s="2"/>
      <c r="U1" s="2"/>
      <c r="V1" s="2"/>
      <c r="W1" s="300"/>
      <c r="X1" s="301"/>
      <c r="AH1" s="2"/>
      <c r="AI1" s="2"/>
      <c r="AJ1" s="300"/>
      <c r="AK1" s="301"/>
      <c r="AU1" s="2"/>
      <c r="AV1" s="2"/>
      <c r="AW1" s="300"/>
      <c r="AX1" s="301"/>
      <c r="BH1" s="2"/>
      <c r="BI1" s="2"/>
      <c r="BJ1" s="300"/>
      <c r="BK1" s="301"/>
    </row>
    <row r="2" spans="1:73" ht="38.25" customHeight="1" thickBot="1">
      <c r="A2" s="262" t="s">
        <v>1693</v>
      </c>
      <c r="B2" s="261"/>
      <c r="C2" s="166"/>
      <c r="D2" s="166"/>
      <c r="E2" s="166"/>
      <c r="F2" s="166"/>
      <c r="G2" s="302"/>
      <c r="H2" s="302"/>
      <c r="I2" s="302"/>
      <c r="J2" s="302"/>
      <c r="K2" s="302"/>
      <c r="L2" s="302"/>
      <c r="M2" s="302"/>
      <c r="N2" s="302"/>
      <c r="O2" s="302"/>
      <c r="P2" s="302"/>
      <c r="Q2" s="302"/>
      <c r="R2" s="302"/>
      <c r="S2" s="302"/>
      <c r="T2" s="302"/>
      <c r="U2" s="302"/>
      <c r="V2" s="302"/>
      <c r="W2" s="302"/>
      <c r="X2" s="302"/>
      <c r="AH2" s="302"/>
      <c r="AI2" s="302"/>
      <c r="AJ2" s="302"/>
      <c r="AK2" s="302"/>
      <c r="AU2" s="302"/>
      <c r="AV2" s="302"/>
      <c r="AW2" s="302"/>
      <c r="AX2" s="302"/>
      <c r="BH2" s="302"/>
      <c r="BI2" s="302"/>
      <c r="BJ2" s="302"/>
      <c r="BK2" s="302"/>
    </row>
    <row r="3" spans="1:73" ht="16.5" thickBot="1">
      <c r="A3" s="4"/>
      <c r="B3" s="4"/>
      <c r="C3" s="4"/>
      <c r="D3" s="4"/>
      <c r="E3" s="3"/>
      <c r="F3" s="3"/>
      <c r="G3" s="3"/>
      <c r="H3" s="1062">
        <v>2017</v>
      </c>
      <c r="I3" s="1060"/>
      <c r="J3" s="1060"/>
      <c r="K3" s="1060"/>
      <c r="L3" s="1060"/>
      <c r="M3" s="1060"/>
      <c r="N3" s="1060"/>
      <c r="O3" s="1060"/>
      <c r="P3" s="1060"/>
      <c r="Q3" s="1060"/>
      <c r="R3" s="1060"/>
      <c r="S3" s="1060"/>
      <c r="T3" s="1061"/>
      <c r="U3" s="1089">
        <v>2018</v>
      </c>
      <c r="V3" s="1090"/>
      <c r="W3" s="1090"/>
      <c r="X3" s="1090"/>
      <c r="Y3" s="1090"/>
      <c r="Z3" s="1090"/>
      <c r="AA3" s="1090"/>
      <c r="AB3" s="1090"/>
      <c r="AC3" s="1090"/>
      <c r="AD3" s="1090"/>
      <c r="AE3" s="1090"/>
      <c r="AF3" s="1090"/>
      <c r="AG3" s="1091"/>
      <c r="AH3" s="1089">
        <v>2019</v>
      </c>
      <c r="AI3" s="1090"/>
      <c r="AJ3" s="1090"/>
      <c r="AK3" s="1090"/>
      <c r="AL3" s="1090"/>
      <c r="AM3" s="1090"/>
      <c r="AN3" s="1090"/>
      <c r="AO3" s="1090"/>
      <c r="AP3" s="1090"/>
      <c r="AQ3" s="1090"/>
      <c r="AR3" s="1090"/>
      <c r="AS3" s="1090"/>
      <c r="AT3" s="1091"/>
      <c r="AU3" s="1089">
        <v>2020</v>
      </c>
      <c r="AV3" s="1090"/>
      <c r="AW3" s="1090"/>
      <c r="AX3" s="1090"/>
      <c r="AY3" s="1090"/>
      <c r="AZ3" s="1090"/>
      <c r="BA3" s="1090"/>
      <c r="BB3" s="1090"/>
      <c r="BC3" s="1090"/>
      <c r="BD3" s="1090"/>
      <c r="BE3" s="1090"/>
      <c r="BF3" s="1090"/>
      <c r="BG3" s="1091"/>
      <c r="BH3" s="1089">
        <v>2021</v>
      </c>
      <c r="BI3" s="1090"/>
      <c r="BJ3" s="1090"/>
      <c r="BK3" s="1090"/>
      <c r="BL3" s="1090"/>
      <c r="BM3" s="1090"/>
      <c r="BN3" s="1090"/>
      <c r="BO3" s="1090"/>
      <c r="BP3" s="1090"/>
      <c r="BQ3" s="1090"/>
      <c r="BR3" s="1090"/>
      <c r="BS3" s="1090"/>
      <c r="BT3" s="1091"/>
      <c r="BU3" s="581"/>
    </row>
    <row r="4" spans="1:73" ht="98.25" customHeight="1" thickBot="1">
      <c r="A4" s="177" t="s">
        <v>1532</v>
      </c>
      <c r="B4" s="177" t="s">
        <v>74</v>
      </c>
      <c r="C4" s="177" t="s">
        <v>1739</v>
      </c>
      <c r="D4" s="177" t="s">
        <v>13</v>
      </c>
      <c r="E4" s="177" t="s">
        <v>4</v>
      </c>
      <c r="F4" s="689" t="s">
        <v>1989</v>
      </c>
      <c r="G4" s="757">
        <v>42735</v>
      </c>
      <c r="H4" s="155">
        <v>42736</v>
      </c>
      <c r="I4" s="155">
        <v>42767</v>
      </c>
      <c r="J4" s="155">
        <v>42795</v>
      </c>
      <c r="K4" s="155">
        <v>42826</v>
      </c>
      <c r="L4" s="155">
        <v>42856</v>
      </c>
      <c r="M4" s="155">
        <v>42887</v>
      </c>
      <c r="N4" s="155">
        <v>42917</v>
      </c>
      <c r="O4" s="155">
        <v>42948</v>
      </c>
      <c r="P4" s="155">
        <v>42979</v>
      </c>
      <c r="Q4" s="155">
        <v>43009</v>
      </c>
      <c r="R4" s="155">
        <v>43040</v>
      </c>
      <c r="S4" s="155">
        <v>43070</v>
      </c>
      <c r="T4" s="176" t="s">
        <v>1526</v>
      </c>
      <c r="U4" s="175">
        <v>43101</v>
      </c>
      <c r="V4" s="155">
        <v>43132</v>
      </c>
      <c r="W4" s="155">
        <v>43160</v>
      </c>
      <c r="X4" s="155">
        <v>43191</v>
      </c>
      <c r="Y4" s="155">
        <v>43221</v>
      </c>
      <c r="Z4" s="155">
        <v>43252</v>
      </c>
      <c r="AA4" s="155">
        <v>43282</v>
      </c>
      <c r="AB4" s="155">
        <v>43313</v>
      </c>
      <c r="AC4" s="155">
        <v>43344</v>
      </c>
      <c r="AD4" s="155">
        <v>43374</v>
      </c>
      <c r="AE4" s="155">
        <v>43405</v>
      </c>
      <c r="AF4" s="155">
        <v>43435</v>
      </c>
      <c r="AG4" s="176" t="s">
        <v>1527</v>
      </c>
      <c r="AH4" s="175">
        <v>43466</v>
      </c>
      <c r="AI4" s="155">
        <v>43497</v>
      </c>
      <c r="AJ4" s="155">
        <v>43525</v>
      </c>
      <c r="AK4" s="155">
        <v>43556</v>
      </c>
      <c r="AL4" s="155">
        <v>43586</v>
      </c>
      <c r="AM4" s="155">
        <v>43617</v>
      </c>
      <c r="AN4" s="155">
        <v>43647</v>
      </c>
      <c r="AO4" s="155">
        <v>43678</v>
      </c>
      <c r="AP4" s="155">
        <v>43709</v>
      </c>
      <c r="AQ4" s="155">
        <v>43739</v>
      </c>
      <c r="AR4" s="155">
        <v>43770</v>
      </c>
      <c r="AS4" s="155">
        <v>43800</v>
      </c>
      <c r="AT4" s="176" t="s">
        <v>1750</v>
      </c>
      <c r="AU4" s="175">
        <v>43831</v>
      </c>
      <c r="AV4" s="155">
        <v>43862</v>
      </c>
      <c r="AW4" s="155">
        <v>43891</v>
      </c>
      <c r="AX4" s="155">
        <v>43922</v>
      </c>
      <c r="AY4" s="155">
        <v>43952</v>
      </c>
      <c r="AZ4" s="155">
        <v>43983</v>
      </c>
      <c r="BA4" s="155">
        <v>44013</v>
      </c>
      <c r="BB4" s="155">
        <v>44044</v>
      </c>
      <c r="BC4" s="155">
        <v>44075</v>
      </c>
      <c r="BD4" s="155">
        <v>44105</v>
      </c>
      <c r="BE4" s="155">
        <v>44136</v>
      </c>
      <c r="BF4" s="155">
        <v>44166</v>
      </c>
      <c r="BG4" s="176" t="s">
        <v>1754</v>
      </c>
      <c r="BH4" s="175">
        <v>44197</v>
      </c>
      <c r="BI4" s="155">
        <v>44228</v>
      </c>
      <c r="BJ4" s="155">
        <v>44256</v>
      </c>
      <c r="BK4" s="155">
        <v>44287</v>
      </c>
      <c r="BL4" s="155">
        <v>44317</v>
      </c>
      <c r="BM4" s="155">
        <v>44348</v>
      </c>
      <c r="BN4" s="155">
        <v>44378</v>
      </c>
      <c r="BO4" s="155">
        <v>44409</v>
      </c>
      <c r="BP4" s="155">
        <v>44440</v>
      </c>
      <c r="BQ4" s="155">
        <v>44470</v>
      </c>
      <c r="BR4" s="155">
        <v>44501</v>
      </c>
      <c r="BS4" s="155">
        <v>44531</v>
      </c>
      <c r="BT4" s="176" t="s">
        <v>1755</v>
      </c>
      <c r="BU4" s="176" t="s">
        <v>1742</v>
      </c>
    </row>
    <row r="5" spans="1:73" ht="19.5" customHeight="1" thickBot="1">
      <c r="A5" s="1096" t="str">
        <f>'Работы - НН-ОЦО'!B8</f>
        <v>Фвза 1. Инициирование. Этап № 1. Оценка</v>
      </c>
      <c r="B5" s="1097"/>
      <c r="C5" s="1097"/>
      <c r="D5" s="1097"/>
      <c r="E5" s="1097"/>
      <c r="F5" s="1097"/>
      <c r="G5" s="1097"/>
      <c r="H5" s="1097"/>
      <c r="I5" s="1097"/>
      <c r="J5" s="1097"/>
      <c r="K5" s="1097"/>
      <c r="L5" s="1097"/>
      <c r="M5" s="1097"/>
      <c r="N5" s="1097"/>
      <c r="O5" s="1097"/>
      <c r="P5" s="1097"/>
      <c r="Q5" s="1097"/>
      <c r="R5" s="1097"/>
      <c r="S5" s="1097"/>
      <c r="T5" s="1097"/>
      <c r="U5" s="1097"/>
      <c r="V5" s="1097"/>
      <c r="W5" s="1097"/>
      <c r="X5" s="1097"/>
      <c r="Y5" s="1097"/>
      <c r="Z5" s="1097"/>
      <c r="AA5" s="1097"/>
      <c r="AB5" s="1097"/>
      <c r="AC5" s="1097"/>
      <c r="AD5" s="1097"/>
      <c r="AE5" s="1097"/>
      <c r="AF5" s="1097"/>
      <c r="AG5" s="1098"/>
      <c r="AH5" s="396"/>
      <c r="AI5" s="396"/>
      <c r="AJ5" s="396"/>
      <c r="AK5" s="396"/>
      <c r="AL5" s="396"/>
      <c r="AM5" s="396"/>
      <c r="AN5" s="396"/>
      <c r="AO5" s="396"/>
      <c r="AP5" s="396"/>
      <c r="AQ5" s="396"/>
      <c r="AR5" s="396"/>
      <c r="AS5" s="396"/>
      <c r="AT5" s="396"/>
      <c r="AU5" s="396"/>
      <c r="AV5" s="396"/>
      <c r="AW5" s="396"/>
      <c r="AX5" s="396"/>
      <c r="AY5" s="396"/>
      <c r="AZ5" s="396"/>
      <c r="BA5" s="396"/>
      <c r="BB5" s="396"/>
      <c r="BC5" s="396"/>
      <c r="BD5" s="396"/>
      <c r="BE5" s="396"/>
      <c r="BF5" s="396"/>
      <c r="BG5" s="396"/>
      <c r="BH5" s="396"/>
      <c r="BI5" s="396"/>
      <c r="BJ5" s="396"/>
      <c r="BK5" s="396"/>
      <c r="BL5" s="396"/>
      <c r="BM5" s="396"/>
      <c r="BN5" s="396"/>
      <c r="BO5" s="396"/>
      <c r="BP5" s="396"/>
      <c r="BQ5" s="396"/>
      <c r="BR5" s="396"/>
      <c r="BS5" s="396"/>
      <c r="BT5" s="396"/>
      <c r="BU5" s="582"/>
    </row>
    <row r="6" spans="1:73" s="584" customFormat="1" ht="12.75" customHeight="1">
      <c r="A6" s="1079"/>
      <c r="B6" s="1080"/>
      <c r="C6" s="627">
        <f>B6</f>
        <v>0</v>
      </c>
      <c r="D6" s="1080"/>
      <c r="E6" s="436" t="s">
        <v>5</v>
      </c>
      <c r="F6" s="691" t="s">
        <v>1990</v>
      </c>
      <c r="G6" s="309"/>
      <c r="H6" s="439"/>
      <c r="I6" s="249"/>
      <c r="J6" s="249"/>
      <c r="K6" s="249"/>
      <c r="L6" s="249"/>
      <c r="M6" s="249"/>
      <c r="N6" s="249"/>
      <c r="O6" s="249"/>
      <c r="P6" s="249"/>
      <c r="Q6" s="249"/>
      <c r="R6" s="249"/>
      <c r="S6" s="250"/>
      <c r="T6" s="251">
        <f>SUM(H6:S6)</f>
        <v>0</v>
      </c>
      <c r="U6" s="439"/>
      <c r="V6" s="249"/>
      <c r="W6" s="249"/>
      <c r="X6" s="249"/>
      <c r="Y6" s="249"/>
      <c r="Z6" s="249"/>
      <c r="AA6" s="249"/>
      <c r="AB6" s="249"/>
      <c r="AC6" s="249"/>
      <c r="AD6" s="249"/>
      <c r="AE6" s="249"/>
      <c r="AF6" s="250"/>
      <c r="AG6" s="251">
        <f>SUM(U6:AF6)</f>
        <v>0</v>
      </c>
      <c r="AH6" s="439"/>
      <c r="AI6" s="249"/>
      <c r="AJ6" s="249"/>
      <c r="AK6" s="249"/>
      <c r="AL6" s="249"/>
      <c r="AM6" s="249"/>
      <c r="AN6" s="249"/>
      <c r="AO6" s="249"/>
      <c r="AP6" s="249"/>
      <c r="AQ6" s="249"/>
      <c r="AR6" s="249"/>
      <c r="AS6" s="250"/>
      <c r="AT6" s="251">
        <f>SUM(AH6:AS6)</f>
        <v>0</v>
      </c>
      <c r="AU6" s="439"/>
      <c r="AV6" s="249"/>
      <c r="AW6" s="249"/>
      <c r="AX6" s="249"/>
      <c r="AY6" s="249"/>
      <c r="AZ6" s="249"/>
      <c r="BA6" s="249"/>
      <c r="BB6" s="249"/>
      <c r="BC6" s="249"/>
      <c r="BD6" s="249"/>
      <c r="BE6" s="249"/>
      <c r="BF6" s="250"/>
      <c r="BG6" s="251">
        <f>SUM(AU6:BF6)</f>
        <v>0</v>
      </c>
      <c r="BH6" s="439"/>
      <c r="BI6" s="249"/>
      <c r="BJ6" s="249"/>
      <c r="BK6" s="249"/>
      <c r="BL6" s="249"/>
      <c r="BM6" s="249"/>
      <c r="BN6" s="249"/>
      <c r="BO6" s="249"/>
      <c r="BP6" s="249"/>
      <c r="BQ6" s="249"/>
      <c r="BR6" s="249"/>
      <c r="BS6" s="250"/>
      <c r="BT6" s="251">
        <f>SUM(BH6:BS6)</f>
        <v>0</v>
      </c>
      <c r="BU6" s="309">
        <f>T6+AG6+AT6+G6+BG6+BT6</f>
        <v>0</v>
      </c>
    </row>
    <row r="7" spans="1:73" s="584" customFormat="1">
      <c r="A7" s="1070"/>
      <c r="B7" s="1081"/>
      <c r="C7" s="628">
        <f t="shared" ref="C7:C10" si="0">IF(B7=0,C6,B7)</f>
        <v>0</v>
      </c>
      <c r="D7" s="1081"/>
      <c r="E7" s="437" t="s">
        <v>6</v>
      </c>
      <c r="F7" s="691" t="s">
        <v>1990</v>
      </c>
      <c r="G7" s="310"/>
      <c r="H7" s="440"/>
      <c r="I7" s="252"/>
      <c r="J7" s="252"/>
      <c r="K7" s="252"/>
      <c r="L7" s="252"/>
      <c r="M7" s="252"/>
      <c r="N7" s="252"/>
      <c r="O7" s="252"/>
      <c r="P7" s="252"/>
      <c r="Q7" s="252"/>
      <c r="R7" s="252"/>
      <c r="S7" s="253"/>
      <c r="T7" s="254">
        <f t="shared" ref="T7:T10" si="1">SUM(H7:S7)</f>
        <v>0</v>
      </c>
      <c r="U7" s="440"/>
      <c r="V7" s="252"/>
      <c r="W7" s="252"/>
      <c r="X7" s="252"/>
      <c r="Y7" s="252"/>
      <c r="Z7" s="252"/>
      <c r="AA7" s="252"/>
      <c r="AB7" s="252"/>
      <c r="AC7" s="252"/>
      <c r="AD7" s="252"/>
      <c r="AE7" s="252"/>
      <c r="AF7" s="253"/>
      <c r="AG7" s="254">
        <f t="shared" ref="AG7:AG10" si="2">SUM(U7:AF7)</f>
        <v>0</v>
      </c>
      <c r="AH7" s="440"/>
      <c r="AI7" s="252"/>
      <c r="AJ7" s="252"/>
      <c r="AK7" s="252"/>
      <c r="AL7" s="252"/>
      <c r="AM7" s="252"/>
      <c r="AN7" s="252"/>
      <c r="AO7" s="252"/>
      <c r="AP7" s="252"/>
      <c r="AQ7" s="252"/>
      <c r="AR7" s="252"/>
      <c r="AS7" s="253"/>
      <c r="AT7" s="254">
        <f t="shared" ref="AT7:AT10" si="3">SUM(AH7:AS7)</f>
        <v>0</v>
      </c>
      <c r="AU7" s="440"/>
      <c r="AV7" s="252"/>
      <c r="AW7" s="252"/>
      <c r="AX7" s="252"/>
      <c r="AY7" s="252"/>
      <c r="AZ7" s="252"/>
      <c r="BA7" s="252"/>
      <c r="BB7" s="252"/>
      <c r="BC7" s="252"/>
      <c r="BD7" s="252"/>
      <c r="BE7" s="252"/>
      <c r="BF7" s="253"/>
      <c r="BG7" s="254">
        <f t="shared" ref="BG7:BG10" si="4">SUM(AU7:BF7)</f>
        <v>0</v>
      </c>
      <c r="BH7" s="440"/>
      <c r="BI7" s="252"/>
      <c r="BJ7" s="252"/>
      <c r="BK7" s="252"/>
      <c r="BL7" s="252"/>
      <c r="BM7" s="252"/>
      <c r="BN7" s="252"/>
      <c r="BO7" s="252"/>
      <c r="BP7" s="252"/>
      <c r="BQ7" s="252"/>
      <c r="BR7" s="252"/>
      <c r="BS7" s="253"/>
      <c r="BT7" s="254">
        <f t="shared" ref="BT7:BT10" si="5">SUM(BH7:BS7)</f>
        <v>0</v>
      </c>
      <c r="BU7" s="310">
        <f t="shared" ref="BU7:BU15" si="6">T7+AG7+AT7+G7+BG7+BT7</f>
        <v>0</v>
      </c>
    </row>
    <row r="8" spans="1:73" s="584" customFormat="1">
      <c r="A8" s="1070"/>
      <c r="B8" s="1081"/>
      <c r="C8" s="628">
        <f t="shared" si="0"/>
        <v>0</v>
      </c>
      <c r="D8" s="1081"/>
      <c r="E8" s="437" t="s">
        <v>7</v>
      </c>
      <c r="F8" s="691" t="s">
        <v>1990</v>
      </c>
      <c r="G8" s="310"/>
      <c r="H8" s="440"/>
      <c r="I8" s="252"/>
      <c r="J8" s="252"/>
      <c r="K8" s="252"/>
      <c r="L8" s="252"/>
      <c r="M8" s="252"/>
      <c r="N8" s="252"/>
      <c r="O8" s="252"/>
      <c r="P8" s="252"/>
      <c r="Q8" s="252"/>
      <c r="R8" s="252"/>
      <c r="S8" s="253"/>
      <c r="T8" s="254">
        <f t="shared" si="1"/>
        <v>0</v>
      </c>
      <c r="U8" s="440"/>
      <c r="V8" s="252"/>
      <c r="W8" s="252"/>
      <c r="X8" s="252"/>
      <c r="Y8" s="252"/>
      <c r="Z8" s="252"/>
      <c r="AA8" s="252"/>
      <c r="AB8" s="252"/>
      <c r="AC8" s="252"/>
      <c r="AD8" s="252"/>
      <c r="AE8" s="252"/>
      <c r="AF8" s="253"/>
      <c r="AG8" s="254">
        <f t="shared" si="2"/>
        <v>0</v>
      </c>
      <c r="AH8" s="440"/>
      <c r="AI8" s="252"/>
      <c r="AJ8" s="252"/>
      <c r="AK8" s="252"/>
      <c r="AL8" s="252"/>
      <c r="AM8" s="252"/>
      <c r="AN8" s="252"/>
      <c r="AO8" s="252"/>
      <c r="AP8" s="252"/>
      <c r="AQ8" s="252"/>
      <c r="AR8" s="252"/>
      <c r="AS8" s="253"/>
      <c r="AT8" s="254">
        <f t="shared" si="3"/>
        <v>0</v>
      </c>
      <c r="AU8" s="440"/>
      <c r="AV8" s="252"/>
      <c r="AW8" s="252"/>
      <c r="AX8" s="252"/>
      <c r="AY8" s="252"/>
      <c r="AZ8" s="252"/>
      <c r="BA8" s="252"/>
      <c r="BB8" s="252"/>
      <c r="BC8" s="252"/>
      <c r="BD8" s="252"/>
      <c r="BE8" s="252"/>
      <c r="BF8" s="253"/>
      <c r="BG8" s="254">
        <f t="shared" si="4"/>
        <v>0</v>
      </c>
      <c r="BH8" s="440"/>
      <c r="BI8" s="252"/>
      <c r="BJ8" s="252"/>
      <c r="BK8" s="252"/>
      <c r="BL8" s="252"/>
      <c r="BM8" s="252"/>
      <c r="BN8" s="252"/>
      <c r="BO8" s="252"/>
      <c r="BP8" s="252"/>
      <c r="BQ8" s="252"/>
      <c r="BR8" s="252"/>
      <c r="BS8" s="253"/>
      <c r="BT8" s="254">
        <f t="shared" si="5"/>
        <v>0</v>
      </c>
      <c r="BU8" s="310">
        <f t="shared" si="6"/>
        <v>0</v>
      </c>
    </row>
    <row r="9" spans="1:73" s="584" customFormat="1">
      <c r="A9" s="1070"/>
      <c r="B9" s="1081"/>
      <c r="C9" s="628">
        <f t="shared" si="0"/>
        <v>0</v>
      </c>
      <c r="D9" s="1081"/>
      <c r="E9" s="437" t="s">
        <v>8</v>
      </c>
      <c r="F9" s="691" t="s">
        <v>1990</v>
      </c>
      <c r="G9" s="310"/>
      <c r="H9" s="440"/>
      <c r="I9" s="252"/>
      <c r="J9" s="252"/>
      <c r="K9" s="252"/>
      <c r="L9" s="252"/>
      <c r="M9" s="252"/>
      <c r="N9" s="252"/>
      <c r="O9" s="252"/>
      <c r="P9" s="252"/>
      <c r="Q9" s="252"/>
      <c r="R9" s="252"/>
      <c r="S9" s="253"/>
      <c r="T9" s="254">
        <f t="shared" si="1"/>
        <v>0</v>
      </c>
      <c r="U9" s="440"/>
      <c r="V9" s="252"/>
      <c r="W9" s="252"/>
      <c r="X9" s="252"/>
      <c r="Y9" s="252"/>
      <c r="Z9" s="252"/>
      <c r="AA9" s="252"/>
      <c r="AB9" s="252"/>
      <c r="AC9" s="252"/>
      <c r="AD9" s="252"/>
      <c r="AE9" s="252"/>
      <c r="AF9" s="253"/>
      <c r="AG9" s="254">
        <f t="shared" si="2"/>
        <v>0</v>
      </c>
      <c r="AH9" s="440"/>
      <c r="AI9" s="252"/>
      <c r="AJ9" s="252"/>
      <c r="AK9" s="252"/>
      <c r="AL9" s="252"/>
      <c r="AM9" s="252"/>
      <c r="AN9" s="252"/>
      <c r="AO9" s="252"/>
      <c r="AP9" s="252"/>
      <c r="AQ9" s="252"/>
      <c r="AR9" s="252"/>
      <c r="AS9" s="253"/>
      <c r="AT9" s="254">
        <f t="shared" si="3"/>
        <v>0</v>
      </c>
      <c r="AU9" s="440"/>
      <c r="AV9" s="252"/>
      <c r="AW9" s="252"/>
      <c r="AX9" s="252"/>
      <c r="AY9" s="252"/>
      <c r="AZ9" s="252"/>
      <c r="BA9" s="252"/>
      <c r="BB9" s="252"/>
      <c r="BC9" s="252"/>
      <c r="BD9" s="252"/>
      <c r="BE9" s="252"/>
      <c r="BF9" s="253"/>
      <c r="BG9" s="254">
        <f t="shared" si="4"/>
        <v>0</v>
      </c>
      <c r="BH9" s="440"/>
      <c r="BI9" s="252"/>
      <c r="BJ9" s="252"/>
      <c r="BK9" s="252"/>
      <c r="BL9" s="252"/>
      <c r="BM9" s="252"/>
      <c r="BN9" s="252"/>
      <c r="BO9" s="252"/>
      <c r="BP9" s="252"/>
      <c r="BQ9" s="252"/>
      <c r="BR9" s="252"/>
      <c r="BS9" s="253"/>
      <c r="BT9" s="254">
        <f t="shared" si="5"/>
        <v>0</v>
      </c>
      <c r="BU9" s="310">
        <f t="shared" si="6"/>
        <v>0</v>
      </c>
    </row>
    <row r="10" spans="1:73" s="584" customFormat="1" ht="13.5" thickBot="1">
      <c r="A10" s="1071"/>
      <c r="B10" s="1082"/>
      <c r="C10" s="629">
        <f t="shared" si="0"/>
        <v>0</v>
      </c>
      <c r="D10" s="1082"/>
      <c r="E10" s="438" t="s">
        <v>1694</v>
      </c>
      <c r="F10" s="691" t="s">
        <v>1990</v>
      </c>
      <c r="G10" s="443"/>
      <c r="H10" s="441"/>
      <c r="I10" s="255"/>
      <c r="J10" s="255"/>
      <c r="K10" s="255"/>
      <c r="L10" s="255"/>
      <c r="M10" s="255"/>
      <c r="N10" s="255"/>
      <c r="O10" s="255"/>
      <c r="P10" s="255"/>
      <c r="Q10" s="255"/>
      <c r="R10" s="255"/>
      <c r="S10" s="256"/>
      <c r="T10" s="257">
        <f t="shared" si="1"/>
        <v>0</v>
      </c>
      <c r="U10" s="441"/>
      <c r="V10" s="255"/>
      <c r="W10" s="255"/>
      <c r="X10" s="255"/>
      <c r="Y10" s="255"/>
      <c r="Z10" s="255"/>
      <c r="AA10" s="255"/>
      <c r="AB10" s="255"/>
      <c r="AC10" s="255"/>
      <c r="AD10" s="255"/>
      <c r="AE10" s="255"/>
      <c r="AF10" s="256"/>
      <c r="AG10" s="257">
        <f t="shared" si="2"/>
        <v>0</v>
      </c>
      <c r="AH10" s="441"/>
      <c r="AI10" s="255"/>
      <c r="AJ10" s="255"/>
      <c r="AK10" s="255"/>
      <c r="AL10" s="255"/>
      <c r="AM10" s="255"/>
      <c r="AN10" s="255"/>
      <c r="AO10" s="255"/>
      <c r="AP10" s="255"/>
      <c r="AQ10" s="255"/>
      <c r="AR10" s="255"/>
      <c r="AS10" s="256"/>
      <c r="AT10" s="257">
        <f t="shared" si="3"/>
        <v>0</v>
      </c>
      <c r="AU10" s="441"/>
      <c r="AV10" s="255"/>
      <c r="AW10" s="255"/>
      <c r="AX10" s="255"/>
      <c r="AY10" s="255"/>
      <c r="AZ10" s="255"/>
      <c r="BA10" s="255"/>
      <c r="BB10" s="255"/>
      <c r="BC10" s="255"/>
      <c r="BD10" s="255"/>
      <c r="BE10" s="255"/>
      <c r="BF10" s="256"/>
      <c r="BG10" s="257">
        <f t="shared" si="4"/>
        <v>0</v>
      </c>
      <c r="BH10" s="441"/>
      <c r="BI10" s="255"/>
      <c r="BJ10" s="255"/>
      <c r="BK10" s="255"/>
      <c r="BL10" s="255"/>
      <c r="BM10" s="255"/>
      <c r="BN10" s="255"/>
      <c r="BO10" s="255"/>
      <c r="BP10" s="255"/>
      <c r="BQ10" s="255"/>
      <c r="BR10" s="255"/>
      <c r="BS10" s="256"/>
      <c r="BT10" s="257">
        <f t="shared" si="5"/>
        <v>0</v>
      </c>
      <c r="BU10" s="310">
        <f t="shared" si="6"/>
        <v>0</v>
      </c>
    </row>
    <row r="11" spans="1:73" s="584" customFormat="1">
      <c r="A11" s="1079"/>
      <c r="B11" s="1083"/>
      <c r="C11" s="627">
        <f>B11</f>
        <v>0</v>
      </c>
      <c r="D11" s="1080"/>
      <c r="E11" s="436" t="s">
        <v>5</v>
      </c>
      <c r="F11" s="691" t="s">
        <v>1990</v>
      </c>
      <c r="G11" s="309"/>
      <c r="H11" s="439"/>
      <c r="I11" s="249"/>
      <c r="J11" s="249"/>
      <c r="K11" s="249"/>
      <c r="L11" s="249"/>
      <c r="M11" s="249"/>
      <c r="N11" s="249"/>
      <c r="O11" s="249"/>
      <c r="P11" s="249"/>
      <c r="Q11" s="249"/>
      <c r="R11" s="249"/>
      <c r="S11" s="250"/>
      <c r="T11" s="251">
        <f t="shared" ref="T11:T15" si="7">SUM(H11:S11)</f>
        <v>0</v>
      </c>
      <c r="U11" s="439"/>
      <c r="V11" s="249"/>
      <c r="W11" s="249"/>
      <c r="X11" s="249"/>
      <c r="Y11" s="249"/>
      <c r="Z11" s="249"/>
      <c r="AA11" s="249"/>
      <c r="AB11" s="249"/>
      <c r="AC11" s="249"/>
      <c r="AD11" s="249"/>
      <c r="AE11" s="249"/>
      <c r="AF11" s="250"/>
      <c r="AG11" s="251">
        <f t="shared" ref="AG11:AG15" si="8">SUM(U11:AF11)</f>
        <v>0</v>
      </c>
      <c r="AH11" s="439"/>
      <c r="AI11" s="249"/>
      <c r="AJ11" s="249"/>
      <c r="AK11" s="249"/>
      <c r="AL11" s="249"/>
      <c r="AM11" s="249"/>
      <c r="AN11" s="249"/>
      <c r="AO11" s="249"/>
      <c r="AP11" s="249"/>
      <c r="AQ11" s="249"/>
      <c r="AR11" s="249"/>
      <c r="AS11" s="250"/>
      <c r="AT11" s="251">
        <f t="shared" ref="AT11:AT15" si="9">SUM(AH11:AS11)</f>
        <v>0</v>
      </c>
      <c r="AU11" s="439"/>
      <c r="AV11" s="249"/>
      <c r="AW11" s="249"/>
      <c r="AX11" s="249"/>
      <c r="AY11" s="249"/>
      <c r="AZ11" s="249"/>
      <c r="BA11" s="249"/>
      <c r="BB11" s="249"/>
      <c r="BC11" s="249"/>
      <c r="BD11" s="249"/>
      <c r="BE11" s="249"/>
      <c r="BF11" s="250"/>
      <c r="BG11" s="251">
        <f t="shared" ref="BG11:BG15" si="10">SUM(AU11:BF11)</f>
        <v>0</v>
      </c>
      <c r="BH11" s="439"/>
      <c r="BI11" s="249"/>
      <c r="BJ11" s="249"/>
      <c r="BK11" s="249"/>
      <c r="BL11" s="249"/>
      <c r="BM11" s="249"/>
      <c r="BN11" s="249"/>
      <c r="BO11" s="249"/>
      <c r="BP11" s="249"/>
      <c r="BQ11" s="249"/>
      <c r="BR11" s="249"/>
      <c r="BS11" s="250"/>
      <c r="BT11" s="251">
        <f t="shared" ref="BT11:BT15" si="11">SUM(BH11:BS11)</f>
        <v>0</v>
      </c>
      <c r="BU11" s="309">
        <f t="shared" si="6"/>
        <v>0</v>
      </c>
    </row>
    <row r="12" spans="1:73" s="584" customFormat="1">
      <c r="A12" s="1070"/>
      <c r="B12" s="1084"/>
      <c r="C12" s="628">
        <f t="shared" ref="C12:C15" si="12">IF(B12=0,C11,B12)</f>
        <v>0</v>
      </c>
      <c r="D12" s="1081"/>
      <c r="E12" s="437" t="s">
        <v>6</v>
      </c>
      <c r="F12" s="691" t="s">
        <v>1990</v>
      </c>
      <c r="G12" s="310"/>
      <c r="H12" s="440"/>
      <c r="I12" s="252"/>
      <c r="J12" s="252"/>
      <c r="K12" s="252"/>
      <c r="L12" s="252"/>
      <c r="M12" s="252"/>
      <c r="N12" s="252"/>
      <c r="O12" s="252"/>
      <c r="P12" s="252"/>
      <c r="Q12" s="252"/>
      <c r="R12" s="252"/>
      <c r="S12" s="253"/>
      <c r="T12" s="254">
        <f t="shared" si="7"/>
        <v>0</v>
      </c>
      <c r="U12" s="440"/>
      <c r="V12" s="252"/>
      <c r="W12" s="252"/>
      <c r="X12" s="252"/>
      <c r="Y12" s="252"/>
      <c r="Z12" s="252"/>
      <c r="AA12" s="252"/>
      <c r="AB12" s="252"/>
      <c r="AC12" s="252"/>
      <c r="AD12" s="252"/>
      <c r="AE12" s="252"/>
      <c r="AF12" s="253"/>
      <c r="AG12" s="254">
        <f t="shared" si="8"/>
        <v>0</v>
      </c>
      <c r="AH12" s="440"/>
      <c r="AI12" s="252"/>
      <c r="AJ12" s="252"/>
      <c r="AK12" s="252"/>
      <c r="AL12" s="252"/>
      <c r="AM12" s="252"/>
      <c r="AN12" s="252"/>
      <c r="AO12" s="252"/>
      <c r="AP12" s="252"/>
      <c r="AQ12" s="252"/>
      <c r="AR12" s="252"/>
      <c r="AS12" s="253"/>
      <c r="AT12" s="254">
        <f t="shared" si="9"/>
        <v>0</v>
      </c>
      <c r="AU12" s="440"/>
      <c r="AV12" s="252"/>
      <c r="AW12" s="252"/>
      <c r="AX12" s="252"/>
      <c r="AY12" s="252"/>
      <c r="AZ12" s="252"/>
      <c r="BA12" s="252"/>
      <c r="BB12" s="252"/>
      <c r="BC12" s="252"/>
      <c r="BD12" s="252"/>
      <c r="BE12" s="252"/>
      <c r="BF12" s="253"/>
      <c r="BG12" s="254">
        <f t="shared" si="10"/>
        <v>0</v>
      </c>
      <c r="BH12" s="440"/>
      <c r="BI12" s="252"/>
      <c r="BJ12" s="252"/>
      <c r="BK12" s="252"/>
      <c r="BL12" s="252"/>
      <c r="BM12" s="252"/>
      <c r="BN12" s="252"/>
      <c r="BO12" s="252"/>
      <c r="BP12" s="252"/>
      <c r="BQ12" s="252"/>
      <c r="BR12" s="252"/>
      <c r="BS12" s="253"/>
      <c r="BT12" s="254">
        <f t="shared" si="11"/>
        <v>0</v>
      </c>
      <c r="BU12" s="310">
        <f t="shared" si="6"/>
        <v>0</v>
      </c>
    </row>
    <row r="13" spans="1:73" s="584" customFormat="1">
      <c r="A13" s="1070"/>
      <c r="B13" s="1084"/>
      <c r="C13" s="628">
        <f t="shared" si="12"/>
        <v>0</v>
      </c>
      <c r="D13" s="1081"/>
      <c r="E13" s="437" t="s">
        <v>7</v>
      </c>
      <c r="F13" s="691" t="s">
        <v>1990</v>
      </c>
      <c r="G13" s="310"/>
      <c r="H13" s="440"/>
      <c r="I13" s="252"/>
      <c r="J13" s="252"/>
      <c r="K13" s="252"/>
      <c r="L13" s="252"/>
      <c r="M13" s="252"/>
      <c r="N13" s="252"/>
      <c r="O13" s="252"/>
      <c r="P13" s="252"/>
      <c r="Q13" s="252"/>
      <c r="R13" s="252"/>
      <c r="S13" s="253"/>
      <c r="T13" s="254">
        <f t="shared" si="7"/>
        <v>0</v>
      </c>
      <c r="U13" s="440"/>
      <c r="V13" s="252"/>
      <c r="W13" s="252"/>
      <c r="X13" s="252"/>
      <c r="Y13" s="252"/>
      <c r="Z13" s="252"/>
      <c r="AA13" s="252"/>
      <c r="AB13" s="252"/>
      <c r="AC13" s="252"/>
      <c r="AD13" s="252"/>
      <c r="AE13" s="252"/>
      <c r="AF13" s="253"/>
      <c r="AG13" s="254">
        <f t="shared" si="8"/>
        <v>0</v>
      </c>
      <c r="AH13" s="440"/>
      <c r="AI13" s="252"/>
      <c r="AJ13" s="252"/>
      <c r="AK13" s="252"/>
      <c r="AL13" s="252"/>
      <c r="AM13" s="252"/>
      <c r="AN13" s="252"/>
      <c r="AO13" s="252"/>
      <c r="AP13" s="252"/>
      <c r="AQ13" s="252"/>
      <c r="AR13" s="252"/>
      <c r="AS13" s="253"/>
      <c r="AT13" s="254">
        <f t="shared" si="9"/>
        <v>0</v>
      </c>
      <c r="AU13" s="440"/>
      <c r="AV13" s="252"/>
      <c r="AW13" s="252"/>
      <c r="AX13" s="252"/>
      <c r="AY13" s="252"/>
      <c r="AZ13" s="252"/>
      <c r="BA13" s="252"/>
      <c r="BB13" s="252"/>
      <c r="BC13" s="252"/>
      <c r="BD13" s="252"/>
      <c r="BE13" s="252"/>
      <c r="BF13" s="253"/>
      <c r="BG13" s="254">
        <f t="shared" si="10"/>
        <v>0</v>
      </c>
      <c r="BH13" s="440"/>
      <c r="BI13" s="252"/>
      <c r="BJ13" s="252"/>
      <c r="BK13" s="252"/>
      <c r="BL13" s="252"/>
      <c r="BM13" s="252"/>
      <c r="BN13" s="252"/>
      <c r="BO13" s="252"/>
      <c r="BP13" s="252"/>
      <c r="BQ13" s="252"/>
      <c r="BR13" s="252"/>
      <c r="BS13" s="253"/>
      <c r="BT13" s="254">
        <f t="shared" si="11"/>
        <v>0</v>
      </c>
      <c r="BU13" s="310">
        <f t="shared" si="6"/>
        <v>0</v>
      </c>
    </row>
    <row r="14" spans="1:73" s="584" customFormat="1">
      <c r="A14" s="1070"/>
      <c r="B14" s="1084"/>
      <c r="C14" s="628">
        <f t="shared" si="12"/>
        <v>0</v>
      </c>
      <c r="D14" s="1081"/>
      <c r="E14" s="437" t="s">
        <v>8</v>
      </c>
      <c r="F14" s="691" t="s">
        <v>1990</v>
      </c>
      <c r="G14" s="310"/>
      <c r="H14" s="440"/>
      <c r="I14" s="252"/>
      <c r="J14" s="252"/>
      <c r="K14" s="252"/>
      <c r="L14" s="252"/>
      <c r="M14" s="252"/>
      <c r="N14" s="252"/>
      <c r="O14" s="252"/>
      <c r="P14" s="252"/>
      <c r="Q14" s="252"/>
      <c r="R14" s="252"/>
      <c r="S14" s="253"/>
      <c r="T14" s="254">
        <f t="shared" si="7"/>
        <v>0</v>
      </c>
      <c r="U14" s="440"/>
      <c r="V14" s="252"/>
      <c r="W14" s="252"/>
      <c r="X14" s="252"/>
      <c r="Y14" s="252"/>
      <c r="Z14" s="252"/>
      <c r="AA14" s="252"/>
      <c r="AB14" s="252"/>
      <c r="AC14" s="252"/>
      <c r="AD14" s="252"/>
      <c r="AE14" s="252"/>
      <c r="AF14" s="253"/>
      <c r="AG14" s="254">
        <f t="shared" si="8"/>
        <v>0</v>
      </c>
      <c r="AH14" s="440"/>
      <c r="AI14" s="252"/>
      <c r="AJ14" s="252"/>
      <c r="AK14" s="252"/>
      <c r="AL14" s="252"/>
      <c r="AM14" s="252"/>
      <c r="AN14" s="252"/>
      <c r="AO14" s="252"/>
      <c r="AP14" s="252"/>
      <c r="AQ14" s="252"/>
      <c r="AR14" s="252"/>
      <c r="AS14" s="253"/>
      <c r="AT14" s="254">
        <f t="shared" si="9"/>
        <v>0</v>
      </c>
      <c r="AU14" s="440"/>
      <c r="AV14" s="252"/>
      <c r="AW14" s="252"/>
      <c r="AX14" s="252"/>
      <c r="AY14" s="252"/>
      <c r="AZ14" s="252"/>
      <c r="BA14" s="252"/>
      <c r="BB14" s="252"/>
      <c r="BC14" s="252"/>
      <c r="BD14" s="252"/>
      <c r="BE14" s="252"/>
      <c r="BF14" s="253"/>
      <c r="BG14" s="254">
        <f t="shared" si="10"/>
        <v>0</v>
      </c>
      <c r="BH14" s="440"/>
      <c r="BI14" s="252"/>
      <c r="BJ14" s="252"/>
      <c r="BK14" s="252"/>
      <c r="BL14" s="252"/>
      <c r="BM14" s="252"/>
      <c r="BN14" s="252"/>
      <c r="BO14" s="252"/>
      <c r="BP14" s="252"/>
      <c r="BQ14" s="252"/>
      <c r="BR14" s="252"/>
      <c r="BS14" s="253"/>
      <c r="BT14" s="254">
        <f t="shared" si="11"/>
        <v>0</v>
      </c>
      <c r="BU14" s="310">
        <f t="shared" si="6"/>
        <v>0</v>
      </c>
    </row>
    <row r="15" spans="1:73" s="584" customFormat="1" ht="13.5" thickBot="1">
      <c r="A15" s="1071"/>
      <c r="B15" s="1085"/>
      <c r="C15" s="629">
        <f t="shared" si="12"/>
        <v>0</v>
      </c>
      <c r="D15" s="1082"/>
      <c r="E15" s="438" t="s">
        <v>1694</v>
      </c>
      <c r="F15" s="691" t="s">
        <v>1990</v>
      </c>
      <c r="G15" s="444"/>
      <c r="H15" s="442"/>
      <c r="I15" s="258"/>
      <c r="J15" s="258"/>
      <c r="K15" s="258"/>
      <c r="L15" s="258"/>
      <c r="M15" s="258"/>
      <c r="N15" s="258"/>
      <c r="O15" s="258"/>
      <c r="P15" s="258"/>
      <c r="Q15" s="258"/>
      <c r="R15" s="258"/>
      <c r="S15" s="259"/>
      <c r="T15" s="260">
        <f t="shared" si="7"/>
        <v>0</v>
      </c>
      <c r="U15" s="442"/>
      <c r="V15" s="258"/>
      <c r="W15" s="258"/>
      <c r="X15" s="258"/>
      <c r="Y15" s="258"/>
      <c r="Z15" s="258"/>
      <c r="AA15" s="258"/>
      <c r="AB15" s="258"/>
      <c r="AC15" s="258"/>
      <c r="AD15" s="258"/>
      <c r="AE15" s="258"/>
      <c r="AF15" s="259"/>
      <c r="AG15" s="260">
        <f t="shared" si="8"/>
        <v>0</v>
      </c>
      <c r="AH15" s="442"/>
      <c r="AI15" s="258"/>
      <c r="AJ15" s="258"/>
      <c r="AK15" s="258"/>
      <c r="AL15" s="258"/>
      <c r="AM15" s="258"/>
      <c r="AN15" s="258"/>
      <c r="AO15" s="258"/>
      <c r="AP15" s="258"/>
      <c r="AQ15" s="258"/>
      <c r="AR15" s="258"/>
      <c r="AS15" s="259"/>
      <c r="AT15" s="260">
        <f t="shared" si="9"/>
        <v>0</v>
      </c>
      <c r="AU15" s="442"/>
      <c r="AV15" s="258"/>
      <c r="AW15" s="258"/>
      <c r="AX15" s="258"/>
      <c r="AY15" s="258"/>
      <c r="AZ15" s="258"/>
      <c r="BA15" s="258"/>
      <c r="BB15" s="258"/>
      <c r="BC15" s="258"/>
      <c r="BD15" s="258"/>
      <c r="BE15" s="258"/>
      <c r="BF15" s="259"/>
      <c r="BG15" s="260">
        <f t="shared" si="10"/>
        <v>0</v>
      </c>
      <c r="BH15" s="442"/>
      <c r="BI15" s="258"/>
      <c r="BJ15" s="258"/>
      <c r="BK15" s="258"/>
      <c r="BL15" s="258"/>
      <c r="BM15" s="258"/>
      <c r="BN15" s="258"/>
      <c r="BO15" s="258"/>
      <c r="BP15" s="258"/>
      <c r="BQ15" s="258"/>
      <c r="BR15" s="258"/>
      <c r="BS15" s="259"/>
      <c r="BT15" s="260">
        <f t="shared" si="11"/>
        <v>0</v>
      </c>
      <c r="BU15" s="310">
        <f t="shared" si="6"/>
        <v>0</v>
      </c>
    </row>
    <row r="16" spans="1:73" ht="12.75" customHeight="1" thickBot="1">
      <c r="A16" s="1094" t="s">
        <v>17</v>
      </c>
      <c r="B16" s="1095"/>
      <c r="C16" s="1095"/>
      <c r="D16" s="1095"/>
      <c r="E16" s="1095"/>
      <c r="F16" s="653"/>
      <c r="G16" s="303">
        <f>SUM(G6:G15)</f>
        <v>0</v>
      </c>
      <c r="H16" s="303">
        <f t="shared" ref="H16:S16" si="13">SUM(H6:H15)</f>
        <v>0</v>
      </c>
      <c r="I16" s="303">
        <f t="shared" si="13"/>
        <v>0</v>
      </c>
      <c r="J16" s="303">
        <f t="shared" si="13"/>
        <v>0</v>
      </c>
      <c r="K16" s="303">
        <f t="shared" si="13"/>
        <v>0</v>
      </c>
      <c r="L16" s="303">
        <f t="shared" si="13"/>
        <v>0</v>
      </c>
      <c r="M16" s="303">
        <f t="shared" si="13"/>
        <v>0</v>
      </c>
      <c r="N16" s="303">
        <f t="shared" si="13"/>
        <v>0</v>
      </c>
      <c r="O16" s="303">
        <f t="shared" si="13"/>
        <v>0</v>
      </c>
      <c r="P16" s="303">
        <f t="shared" si="13"/>
        <v>0</v>
      </c>
      <c r="Q16" s="303">
        <f t="shared" si="13"/>
        <v>0</v>
      </c>
      <c r="R16" s="303">
        <f t="shared" si="13"/>
        <v>0</v>
      </c>
      <c r="S16" s="303">
        <f t="shared" si="13"/>
        <v>0</v>
      </c>
      <c r="T16" s="304">
        <f>SUM(T6:T15)</f>
        <v>0</v>
      </c>
      <c r="U16" s="303">
        <f>SUM(U6:U15)</f>
        <v>0</v>
      </c>
      <c r="V16" s="303">
        <f t="shared" ref="V16:AF16" si="14">SUM(V6:V15)</f>
        <v>0</v>
      </c>
      <c r="W16" s="303">
        <f t="shared" si="14"/>
        <v>0</v>
      </c>
      <c r="X16" s="303">
        <f t="shared" si="14"/>
        <v>0</v>
      </c>
      <c r="Y16" s="303">
        <f t="shared" si="14"/>
        <v>0</v>
      </c>
      <c r="Z16" s="303">
        <f t="shared" si="14"/>
        <v>0</v>
      </c>
      <c r="AA16" s="303">
        <f t="shared" si="14"/>
        <v>0</v>
      </c>
      <c r="AB16" s="303">
        <f t="shared" si="14"/>
        <v>0</v>
      </c>
      <c r="AC16" s="303">
        <f t="shared" si="14"/>
        <v>0</v>
      </c>
      <c r="AD16" s="303">
        <f t="shared" si="14"/>
        <v>0</v>
      </c>
      <c r="AE16" s="303">
        <f t="shared" si="14"/>
        <v>0</v>
      </c>
      <c r="AF16" s="303">
        <f t="shared" si="14"/>
        <v>0</v>
      </c>
      <c r="AG16" s="303">
        <f t="shared" ref="AG16" si="15">SUM(AG6:AG15)</f>
        <v>0</v>
      </c>
      <c r="AH16" s="303">
        <f t="shared" ref="AH16" si="16">SUM(AH6:AH15)</f>
        <v>0</v>
      </c>
      <c r="AI16" s="303">
        <f t="shared" ref="AI16" si="17">SUM(AI6:AI15)</f>
        <v>0</v>
      </c>
      <c r="AJ16" s="303">
        <f t="shared" ref="AJ16" si="18">SUM(AJ6:AJ15)</f>
        <v>0</v>
      </c>
      <c r="AK16" s="303">
        <f t="shared" ref="AK16" si="19">SUM(AK6:AK15)</f>
        <v>0</v>
      </c>
      <c r="AL16" s="303">
        <f t="shared" ref="AL16" si="20">SUM(AL6:AL15)</f>
        <v>0</v>
      </c>
      <c r="AM16" s="303">
        <f t="shared" ref="AM16" si="21">SUM(AM6:AM15)</f>
        <v>0</v>
      </c>
      <c r="AN16" s="303">
        <f t="shared" ref="AN16" si="22">SUM(AN6:AN15)</f>
        <v>0</v>
      </c>
      <c r="AO16" s="303">
        <f t="shared" ref="AO16" si="23">SUM(AO6:AO15)</f>
        <v>0</v>
      </c>
      <c r="AP16" s="303">
        <f t="shared" ref="AP16" si="24">SUM(AP6:AP15)</f>
        <v>0</v>
      </c>
      <c r="AQ16" s="303">
        <f t="shared" ref="AQ16" si="25">SUM(AQ6:AQ15)</f>
        <v>0</v>
      </c>
      <c r="AR16" s="303">
        <f t="shared" ref="AR16" si="26">SUM(AR6:AR15)</f>
        <v>0</v>
      </c>
      <c r="AS16" s="303">
        <f t="shared" ref="AS16" si="27">SUM(AS6:AS15)</f>
        <v>0</v>
      </c>
      <c r="AT16" s="303">
        <f t="shared" ref="AT16" si="28">SUM(AT6:AT15)</f>
        <v>0</v>
      </c>
      <c r="AU16" s="303">
        <f t="shared" ref="AU16" si="29">SUM(AU6:AU15)</f>
        <v>0</v>
      </c>
      <c r="AV16" s="303">
        <f t="shared" ref="AV16" si="30">SUM(AV6:AV15)</f>
        <v>0</v>
      </c>
      <c r="AW16" s="303">
        <f t="shared" ref="AW16" si="31">SUM(AW6:AW15)</f>
        <v>0</v>
      </c>
      <c r="AX16" s="303">
        <f t="shared" ref="AX16" si="32">SUM(AX6:AX15)</f>
        <v>0</v>
      </c>
      <c r="AY16" s="303">
        <f t="shared" ref="AY16" si="33">SUM(AY6:AY15)</f>
        <v>0</v>
      </c>
      <c r="AZ16" s="303">
        <f t="shared" ref="AZ16" si="34">SUM(AZ6:AZ15)</f>
        <v>0</v>
      </c>
      <c r="BA16" s="303">
        <f t="shared" ref="BA16" si="35">SUM(BA6:BA15)</f>
        <v>0</v>
      </c>
      <c r="BB16" s="303">
        <f t="shared" ref="BB16" si="36">SUM(BB6:BB15)</f>
        <v>0</v>
      </c>
      <c r="BC16" s="303">
        <f t="shared" ref="BC16" si="37">SUM(BC6:BC15)</f>
        <v>0</v>
      </c>
      <c r="BD16" s="303">
        <f t="shared" ref="BD16" si="38">SUM(BD6:BD15)</f>
        <v>0</v>
      </c>
      <c r="BE16" s="303">
        <f t="shared" ref="BE16" si="39">SUM(BE6:BE15)</f>
        <v>0</v>
      </c>
      <c r="BF16" s="303">
        <f t="shared" ref="BF16" si="40">SUM(BF6:BF15)</f>
        <v>0</v>
      </c>
      <c r="BG16" s="303">
        <f t="shared" ref="BG16" si="41">SUM(BG6:BG15)</f>
        <v>0</v>
      </c>
      <c r="BH16" s="303">
        <f t="shared" ref="BH16" si="42">SUM(BH6:BH15)</f>
        <v>0</v>
      </c>
      <c r="BI16" s="303">
        <f t="shared" ref="BI16" si="43">SUM(BI6:BI15)</f>
        <v>0</v>
      </c>
      <c r="BJ16" s="303">
        <f t="shared" ref="BJ16" si="44">SUM(BJ6:BJ15)</f>
        <v>0</v>
      </c>
      <c r="BK16" s="303">
        <f t="shared" ref="BK16" si="45">SUM(BK6:BK15)</f>
        <v>0</v>
      </c>
      <c r="BL16" s="303">
        <f t="shared" ref="BL16" si="46">SUM(BL6:BL15)</f>
        <v>0</v>
      </c>
      <c r="BM16" s="303">
        <f t="shared" ref="BM16" si="47">SUM(BM6:BM15)</f>
        <v>0</v>
      </c>
      <c r="BN16" s="303">
        <f t="shared" ref="BN16" si="48">SUM(BN6:BN15)</f>
        <v>0</v>
      </c>
      <c r="BO16" s="303">
        <f t="shared" ref="BO16" si="49">SUM(BO6:BO15)</f>
        <v>0</v>
      </c>
      <c r="BP16" s="303">
        <f t="shared" ref="BP16" si="50">SUM(BP6:BP15)</f>
        <v>0</v>
      </c>
      <c r="BQ16" s="303">
        <f t="shared" ref="BQ16" si="51">SUM(BQ6:BQ15)</f>
        <v>0</v>
      </c>
      <c r="BR16" s="303">
        <f t="shared" ref="BR16" si="52">SUM(BR6:BR15)</f>
        <v>0</v>
      </c>
      <c r="BS16" s="303">
        <f t="shared" ref="BS16" si="53">SUM(BS6:BS15)</f>
        <v>0</v>
      </c>
      <c r="BT16" s="303">
        <f t="shared" ref="BT16" si="54">SUM(BT6:BT15)</f>
        <v>0</v>
      </c>
      <c r="BU16" s="303">
        <f t="shared" ref="BU16" si="55">SUM(BU6:BU15)</f>
        <v>0</v>
      </c>
    </row>
    <row r="17" spans="1:73" s="588" customFormat="1" ht="19.5" customHeight="1" thickBot="1">
      <c r="A17" s="1086" t="str">
        <f>'Работы - НН-ОЦО'!B14</f>
        <v xml:space="preserve">Фаза 1. Инициирование. Этап № 2. Выбор </v>
      </c>
      <c r="B17" s="1087"/>
      <c r="C17" s="1087"/>
      <c r="D17" s="1087"/>
      <c r="E17" s="1087"/>
      <c r="F17" s="1087"/>
      <c r="G17" s="1087"/>
      <c r="H17" s="1087"/>
      <c r="I17" s="1087"/>
      <c r="J17" s="1087"/>
      <c r="K17" s="1087"/>
      <c r="L17" s="1087"/>
      <c r="M17" s="1087"/>
      <c r="N17" s="1087"/>
      <c r="O17" s="1087"/>
      <c r="P17" s="1087"/>
      <c r="Q17" s="1087"/>
      <c r="R17" s="1087"/>
      <c r="S17" s="1087"/>
      <c r="T17" s="1087"/>
      <c r="U17" s="1087"/>
      <c r="V17" s="1087"/>
      <c r="W17" s="1087"/>
      <c r="X17" s="1087"/>
      <c r="Y17" s="1087"/>
      <c r="Z17" s="1087"/>
      <c r="AA17" s="1087"/>
      <c r="AB17" s="1087"/>
      <c r="AC17" s="1087"/>
      <c r="AD17" s="1087"/>
      <c r="AE17" s="1087"/>
      <c r="AF17" s="1087"/>
      <c r="AG17" s="1088"/>
      <c r="AH17" s="397"/>
      <c r="AI17" s="397"/>
      <c r="AJ17" s="397"/>
      <c r="AK17" s="397"/>
      <c r="AL17" s="397"/>
      <c r="AM17" s="397"/>
      <c r="AN17" s="397"/>
      <c r="AO17" s="397"/>
      <c r="AP17" s="397"/>
      <c r="AQ17" s="397"/>
      <c r="AR17" s="397"/>
      <c r="AS17" s="397"/>
      <c r="AT17" s="397"/>
      <c r="AU17" s="397"/>
      <c r="AV17" s="397"/>
      <c r="AW17" s="397"/>
      <c r="AX17" s="397"/>
      <c r="AY17" s="397"/>
      <c r="AZ17" s="397"/>
      <c r="BA17" s="397"/>
      <c r="BB17" s="397"/>
      <c r="BC17" s="397"/>
      <c r="BD17" s="397"/>
      <c r="BE17" s="397"/>
      <c r="BF17" s="397"/>
      <c r="BG17" s="397"/>
      <c r="BH17" s="397"/>
      <c r="BI17" s="397"/>
      <c r="BJ17" s="397"/>
      <c r="BK17" s="397"/>
      <c r="BL17" s="397"/>
      <c r="BM17" s="397"/>
      <c r="BN17" s="397"/>
      <c r="BO17" s="397"/>
      <c r="BP17" s="397"/>
      <c r="BQ17" s="397"/>
      <c r="BR17" s="397"/>
      <c r="BS17" s="397"/>
      <c r="BT17" s="397"/>
      <c r="BU17" s="587"/>
    </row>
    <row r="18" spans="1:73" s="584" customFormat="1">
      <c r="A18" s="1079"/>
      <c r="B18" s="1083"/>
      <c r="C18" s="583">
        <f>B18</f>
        <v>0</v>
      </c>
      <c r="D18" s="1080"/>
      <c r="E18" s="436" t="s">
        <v>5</v>
      </c>
      <c r="F18" s="691" t="s">
        <v>1990</v>
      </c>
      <c r="G18" s="309"/>
      <c r="H18" s="439"/>
      <c r="I18" s="249"/>
      <c r="J18" s="249"/>
      <c r="K18" s="249"/>
      <c r="L18" s="249"/>
      <c r="M18" s="249"/>
      <c r="N18" s="249"/>
      <c r="O18" s="249"/>
      <c r="P18" s="249"/>
      <c r="Q18" s="249"/>
      <c r="R18" s="249"/>
      <c r="S18" s="250"/>
      <c r="T18" s="251">
        <f t="shared" ref="T18:T22" si="56">SUM(H18:S18)</f>
        <v>0</v>
      </c>
      <c r="U18" s="439"/>
      <c r="V18" s="249"/>
      <c r="W18" s="249"/>
      <c r="X18" s="249"/>
      <c r="Y18" s="249"/>
      <c r="Z18" s="249"/>
      <c r="AA18" s="249"/>
      <c r="AB18" s="249"/>
      <c r="AC18" s="249"/>
      <c r="AD18" s="249"/>
      <c r="AE18" s="249"/>
      <c r="AF18" s="250"/>
      <c r="AG18" s="251">
        <f t="shared" ref="AG18:AG22" si="57">SUM(U18:AF18)</f>
        <v>0</v>
      </c>
      <c r="AH18" s="439"/>
      <c r="AI18" s="249"/>
      <c r="AJ18" s="249"/>
      <c r="AK18" s="249"/>
      <c r="AL18" s="249"/>
      <c r="AM18" s="249"/>
      <c r="AN18" s="249"/>
      <c r="AO18" s="249"/>
      <c r="AP18" s="249"/>
      <c r="AQ18" s="249"/>
      <c r="AR18" s="249"/>
      <c r="AS18" s="250"/>
      <c r="AT18" s="251">
        <f t="shared" ref="AT18:AT27" si="58">SUM(AH18:AS18)</f>
        <v>0</v>
      </c>
      <c r="AU18" s="439"/>
      <c r="AV18" s="249"/>
      <c r="AW18" s="249"/>
      <c r="AX18" s="249"/>
      <c r="AY18" s="249"/>
      <c r="AZ18" s="249"/>
      <c r="BA18" s="249"/>
      <c r="BB18" s="249"/>
      <c r="BC18" s="249"/>
      <c r="BD18" s="249"/>
      <c r="BE18" s="249"/>
      <c r="BF18" s="250"/>
      <c r="BG18" s="251">
        <f t="shared" ref="BG18:BG27" si="59">SUM(AU18:BF18)</f>
        <v>0</v>
      </c>
      <c r="BH18" s="439"/>
      <c r="BI18" s="249"/>
      <c r="BJ18" s="249"/>
      <c r="BK18" s="249"/>
      <c r="BL18" s="249"/>
      <c r="BM18" s="249"/>
      <c r="BN18" s="249"/>
      <c r="BO18" s="249"/>
      <c r="BP18" s="249"/>
      <c r="BQ18" s="249"/>
      <c r="BR18" s="249"/>
      <c r="BS18" s="250"/>
      <c r="BT18" s="251">
        <f t="shared" ref="BT18:BT27" si="60">SUM(BH18:BS18)</f>
        <v>0</v>
      </c>
      <c r="BU18" s="309">
        <f t="shared" ref="BU18:BU27" si="61">T18+AG18+AT18+G18+BG18+BT18</f>
        <v>0</v>
      </c>
    </row>
    <row r="19" spans="1:73" s="584" customFormat="1">
      <c r="A19" s="1070"/>
      <c r="B19" s="1084"/>
      <c r="C19" s="585">
        <f t="shared" ref="C19:C22" si="62">IF(B19=0,C18,B19)</f>
        <v>0</v>
      </c>
      <c r="D19" s="1081"/>
      <c r="E19" s="437" t="s">
        <v>6</v>
      </c>
      <c r="F19" s="691" t="s">
        <v>1990</v>
      </c>
      <c r="G19" s="445"/>
      <c r="H19" s="440"/>
      <c r="I19" s="252"/>
      <c r="J19" s="252"/>
      <c r="K19" s="252"/>
      <c r="L19" s="252"/>
      <c r="M19" s="252"/>
      <c r="N19" s="252"/>
      <c r="O19" s="252"/>
      <c r="P19" s="252"/>
      <c r="Q19" s="252"/>
      <c r="R19" s="252"/>
      <c r="S19" s="253"/>
      <c r="T19" s="254">
        <f t="shared" si="56"/>
        <v>0</v>
      </c>
      <c r="U19" s="440"/>
      <c r="V19" s="252"/>
      <c r="W19" s="252"/>
      <c r="X19" s="252"/>
      <c r="Y19" s="252"/>
      <c r="Z19" s="252"/>
      <c r="AA19" s="252"/>
      <c r="AB19" s="252"/>
      <c r="AC19" s="252"/>
      <c r="AD19" s="252"/>
      <c r="AE19" s="252"/>
      <c r="AF19" s="253"/>
      <c r="AG19" s="254">
        <f t="shared" si="57"/>
        <v>0</v>
      </c>
      <c r="AH19" s="440"/>
      <c r="AI19" s="252"/>
      <c r="AJ19" s="252"/>
      <c r="AK19" s="252"/>
      <c r="AL19" s="252"/>
      <c r="AM19" s="252"/>
      <c r="AN19" s="252"/>
      <c r="AO19" s="252"/>
      <c r="AP19" s="252"/>
      <c r="AQ19" s="252"/>
      <c r="AR19" s="252"/>
      <c r="AS19" s="253"/>
      <c r="AT19" s="254">
        <f t="shared" si="58"/>
        <v>0</v>
      </c>
      <c r="AU19" s="440"/>
      <c r="AV19" s="252"/>
      <c r="AW19" s="252"/>
      <c r="AX19" s="252"/>
      <c r="AY19" s="252"/>
      <c r="AZ19" s="252"/>
      <c r="BA19" s="252"/>
      <c r="BB19" s="252"/>
      <c r="BC19" s="252"/>
      <c r="BD19" s="252"/>
      <c r="BE19" s="252"/>
      <c r="BF19" s="253"/>
      <c r="BG19" s="254">
        <f t="shared" si="59"/>
        <v>0</v>
      </c>
      <c r="BH19" s="440"/>
      <c r="BI19" s="252"/>
      <c r="BJ19" s="252"/>
      <c r="BK19" s="252"/>
      <c r="BL19" s="252"/>
      <c r="BM19" s="252"/>
      <c r="BN19" s="252"/>
      <c r="BO19" s="252"/>
      <c r="BP19" s="252"/>
      <c r="BQ19" s="252"/>
      <c r="BR19" s="252"/>
      <c r="BS19" s="253"/>
      <c r="BT19" s="254">
        <f t="shared" si="60"/>
        <v>0</v>
      </c>
      <c r="BU19" s="310">
        <f t="shared" si="61"/>
        <v>0</v>
      </c>
    </row>
    <row r="20" spans="1:73" s="584" customFormat="1">
      <c r="A20" s="1070"/>
      <c r="B20" s="1084"/>
      <c r="C20" s="585">
        <f t="shared" si="62"/>
        <v>0</v>
      </c>
      <c r="D20" s="1081"/>
      <c r="E20" s="437" t="s">
        <v>7</v>
      </c>
      <c r="F20" s="691" t="s">
        <v>1990</v>
      </c>
      <c r="G20" s="445"/>
      <c r="H20" s="440"/>
      <c r="I20" s="252"/>
      <c r="J20" s="252"/>
      <c r="K20" s="252"/>
      <c r="L20" s="252"/>
      <c r="M20" s="252"/>
      <c r="N20" s="252"/>
      <c r="O20" s="252"/>
      <c r="P20" s="252"/>
      <c r="Q20" s="252"/>
      <c r="R20" s="252"/>
      <c r="S20" s="253"/>
      <c r="T20" s="254">
        <f t="shared" si="56"/>
        <v>0</v>
      </c>
      <c r="U20" s="440"/>
      <c r="V20" s="252"/>
      <c r="W20" s="252"/>
      <c r="X20" s="252"/>
      <c r="Y20" s="252"/>
      <c r="Z20" s="252"/>
      <c r="AA20" s="252"/>
      <c r="AB20" s="252"/>
      <c r="AC20" s="252"/>
      <c r="AD20" s="252"/>
      <c r="AE20" s="252"/>
      <c r="AF20" s="253"/>
      <c r="AG20" s="254">
        <f t="shared" si="57"/>
        <v>0</v>
      </c>
      <c r="AH20" s="440"/>
      <c r="AI20" s="252"/>
      <c r="AJ20" s="252"/>
      <c r="AK20" s="252"/>
      <c r="AL20" s="252"/>
      <c r="AM20" s="252"/>
      <c r="AN20" s="252"/>
      <c r="AO20" s="252"/>
      <c r="AP20" s="252"/>
      <c r="AQ20" s="252"/>
      <c r="AR20" s="252"/>
      <c r="AS20" s="253"/>
      <c r="AT20" s="254">
        <f t="shared" si="58"/>
        <v>0</v>
      </c>
      <c r="AU20" s="440"/>
      <c r="AV20" s="252"/>
      <c r="AW20" s="252"/>
      <c r="AX20" s="252"/>
      <c r="AY20" s="252"/>
      <c r="AZ20" s="252"/>
      <c r="BA20" s="252"/>
      <c r="BB20" s="252"/>
      <c r="BC20" s="252"/>
      <c r="BD20" s="252"/>
      <c r="BE20" s="252"/>
      <c r="BF20" s="253"/>
      <c r="BG20" s="254">
        <f t="shared" si="59"/>
        <v>0</v>
      </c>
      <c r="BH20" s="440"/>
      <c r="BI20" s="252"/>
      <c r="BJ20" s="252"/>
      <c r="BK20" s="252"/>
      <c r="BL20" s="252"/>
      <c r="BM20" s="252"/>
      <c r="BN20" s="252"/>
      <c r="BO20" s="252"/>
      <c r="BP20" s="252"/>
      <c r="BQ20" s="252"/>
      <c r="BR20" s="252"/>
      <c r="BS20" s="253"/>
      <c r="BT20" s="254">
        <f t="shared" si="60"/>
        <v>0</v>
      </c>
      <c r="BU20" s="310">
        <f t="shared" si="61"/>
        <v>0</v>
      </c>
    </row>
    <row r="21" spans="1:73" s="584" customFormat="1">
      <c r="A21" s="1070"/>
      <c r="B21" s="1084"/>
      <c r="C21" s="585">
        <f t="shared" si="62"/>
        <v>0</v>
      </c>
      <c r="D21" s="1081"/>
      <c r="E21" s="437" t="s">
        <v>8</v>
      </c>
      <c r="F21" s="691" t="s">
        <v>1990</v>
      </c>
      <c r="G21" s="445"/>
      <c r="H21" s="440"/>
      <c r="I21" s="252"/>
      <c r="J21" s="252"/>
      <c r="K21" s="252"/>
      <c r="L21" s="252"/>
      <c r="M21" s="252"/>
      <c r="N21" s="252"/>
      <c r="O21" s="252"/>
      <c r="P21" s="252"/>
      <c r="Q21" s="252"/>
      <c r="R21" s="252"/>
      <c r="S21" s="253"/>
      <c r="T21" s="254">
        <f t="shared" si="56"/>
        <v>0</v>
      </c>
      <c r="U21" s="440"/>
      <c r="V21" s="252"/>
      <c r="W21" s="252"/>
      <c r="X21" s="252"/>
      <c r="Y21" s="252"/>
      <c r="Z21" s="252"/>
      <c r="AA21" s="252"/>
      <c r="AB21" s="252"/>
      <c r="AC21" s="252"/>
      <c r="AD21" s="252"/>
      <c r="AE21" s="252"/>
      <c r="AF21" s="253"/>
      <c r="AG21" s="254">
        <f t="shared" si="57"/>
        <v>0</v>
      </c>
      <c r="AH21" s="440"/>
      <c r="AI21" s="252"/>
      <c r="AJ21" s="252"/>
      <c r="AK21" s="252"/>
      <c r="AL21" s="252"/>
      <c r="AM21" s="252"/>
      <c r="AN21" s="252"/>
      <c r="AO21" s="252"/>
      <c r="AP21" s="252"/>
      <c r="AQ21" s="252"/>
      <c r="AR21" s="252"/>
      <c r="AS21" s="253"/>
      <c r="AT21" s="254">
        <f t="shared" si="58"/>
        <v>0</v>
      </c>
      <c r="AU21" s="440"/>
      <c r="AV21" s="252"/>
      <c r="AW21" s="252"/>
      <c r="AX21" s="252"/>
      <c r="AY21" s="252"/>
      <c r="AZ21" s="252"/>
      <c r="BA21" s="252"/>
      <c r="BB21" s="252"/>
      <c r="BC21" s="252"/>
      <c r="BD21" s="252"/>
      <c r="BE21" s="252"/>
      <c r="BF21" s="253"/>
      <c r="BG21" s="254">
        <f t="shared" si="59"/>
        <v>0</v>
      </c>
      <c r="BH21" s="440"/>
      <c r="BI21" s="252"/>
      <c r="BJ21" s="252"/>
      <c r="BK21" s="252"/>
      <c r="BL21" s="252"/>
      <c r="BM21" s="252"/>
      <c r="BN21" s="252"/>
      <c r="BO21" s="252"/>
      <c r="BP21" s="252"/>
      <c r="BQ21" s="252"/>
      <c r="BR21" s="252"/>
      <c r="BS21" s="253"/>
      <c r="BT21" s="254">
        <f t="shared" si="60"/>
        <v>0</v>
      </c>
      <c r="BU21" s="310">
        <f t="shared" si="61"/>
        <v>0</v>
      </c>
    </row>
    <row r="22" spans="1:73" s="584" customFormat="1" ht="13.5" thickBot="1">
      <c r="A22" s="1071"/>
      <c r="B22" s="1085"/>
      <c r="C22" s="586">
        <f t="shared" si="62"/>
        <v>0</v>
      </c>
      <c r="D22" s="1082"/>
      <c r="E22" s="438" t="s">
        <v>1694</v>
      </c>
      <c r="F22" s="691" t="s">
        <v>1990</v>
      </c>
      <c r="G22" s="444"/>
      <c r="H22" s="441"/>
      <c r="I22" s="255"/>
      <c r="J22" s="255"/>
      <c r="K22" s="255"/>
      <c r="L22" s="255"/>
      <c r="M22" s="255"/>
      <c r="N22" s="255"/>
      <c r="O22" s="255"/>
      <c r="P22" s="255"/>
      <c r="Q22" s="255"/>
      <c r="R22" s="255"/>
      <c r="S22" s="256"/>
      <c r="T22" s="257">
        <f t="shared" si="56"/>
        <v>0</v>
      </c>
      <c r="U22" s="441"/>
      <c r="V22" s="255"/>
      <c r="W22" s="255"/>
      <c r="X22" s="255"/>
      <c r="Y22" s="255"/>
      <c r="Z22" s="255"/>
      <c r="AA22" s="255"/>
      <c r="AB22" s="255"/>
      <c r="AC22" s="255"/>
      <c r="AD22" s="255"/>
      <c r="AE22" s="255"/>
      <c r="AF22" s="256"/>
      <c r="AG22" s="257">
        <f t="shared" si="57"/>
        <v>0</v>
      </c>
      <c r="AH22" s="441"/>
      <c r="AI22" s="255"/>
      <c r="AJ22" s="255"/>
      <c r="AK22" s="255"/>
      <c r="AL22" s="255"/>
      <c r="AM22" s="255"/>
      <c r="AN22" s="255"/>
      <c r="AO22" s="255"/>
      <c r="AP22" s="255"/>
      <c r="AQ22" s="255"/>
      <c r="AR22" s="255"/>
      <c r="AS22" s="256"/>
      <c r="AT22" s="257">
        <f t="shared" si="58"/>
        <v>0</v>
      </c>
      <c r="AU22" s="441"/>
      <c r="AV22" s="255"/>
      <c r="AW22" s="255"/>
      <c r="AX22" s="255"/>
      <c r="AY22" s="255"/>
      <c r="AZ22" s="255"/>
      <c r="BA22" s="255"/>
      <c r="BB22" s="255"/>
      <c r="BC22" s="255"/>
      <c r="BD22" s="255"/>
      <c r="BE22" s="255"/>
      <c r="BF22" s="256"/>
      <c r="BG22" s="257">
        <f t="shared" si="59"/>
        <v>0</v>
      </c>
      <c r="BH22" s="441"/>
      <c r="BI22" s="255"/>
      <c r="BJ22" s="255"/>
      <c r="BK22" s="255"/>
      <c r="BL22" s="255"/>
      <c r="BM22" s="255"/>
      <c r="BN22" s="255"/>
      <c r="BO22" s="255"/>
      <c r="BP22" s="255"/>
      <c r="BQ22" s="255"/>
      <c r="BR22" s="255"/>
      <c r="BS22" s="256"/>
      <c r="BT22" s="257">
        <f t="shared" si="60"/>
        <v>0</v>
      </c>
      <c r="BU22" s="310">
        <f t="shared" si="61"/>
        <v>0</v>
      </c>
    </row>
    <row r="23" spans="1:73" s="584" customFormat="1">
      <c r="A23" s="1079"/>
      <c r="B23" s="1083"/>
      <c r="C23" s="583">
        <f>B23</f>
        <v>0</v>
      </c>
      <c r="D23" s="1080"/>
      <c r="E23" s="436" t="s">
        <v>5</v>
      </c>
      <c r="F23" s="691" t="s">
        <v>1990</v>
      </c>
      <c r="G23" s="309"/>
      <c r="H23" s="439"/>
      <c r="I23" s="249"/>
      <c r="J23" s="249"/>
      <c r="K23" s="249"/>
      <c r="L23" s="249"/>
      <c r="M23" s="249"/>
      <c r="N23" s="249"/>
      <c r="O23" s="249"/>
      <c r="P23" s="249"/>
      <c r="Q23" s="249"/>
      <c r="R23" s="249"/>
      <c r="S23" s="250"/>
      <c r="T23" s="251">
        <f t="shared" ref="T23:T27" si="63">SUM(H23:S23)</f>
        <v>0</v>
      </c>
      <c r="U23" s="439"/>
      <c r="V23" s="249"/>
      <c r="W23" s="249"/>
      <c r="X23" s="249"/>
      <c r="Y23" s="249"/>
      <c r="Z23" s="249"/>
      <c r="AA23" s="249"/>
      <c r="AB23" s="249"/>
      <c r="AC23" s="249"/>
      <c r="AD23" s="249"/>
      <c r="AE23" s="249"/>
      <c r="AF23" s="250"/>
      <c r="AG23" s="251">
        <f t="shared" ref="AG23:AG27" si="64">SUM(U23:AF23)</f>
        <v>0</v>
      </c>
      <c r="AH23" s="439"/>
      <c r="AI23" s="249"/>
      <c r="AJ23" s="249"/>
      <c r="AK23" s="249"/>
      <c r="AL23" s="249"/>
      <c r="AM23" s="249"/>
      <c r="AN23" s="249"/>
      <c r="AO23" s="249"/>
      <c r="AP23" s="249"/>
      <c r="AQ23" s="249"/>
      <c r="AR23" s="249"/>
      <c r="AS23" s="250"/>
      <c r="AT23" s="251">
        <f t="shared" si="58"/>
        <v>0</v>
      </c>
      <c r="AU23" s="439"/>
      <c r="AV23" s="249"/>
      <c r="AW23" s="249"/>
      <c r="AX23" s="249"/>
      <c r="AY23" s="249"/>
      <c r="AZ23" s="249"/>
      <c r="BA23" s="249"/>
      <c r="BB23" s="249"/>
      <c r="BC23" s="249"/>
      <c r="BD23" s="249"/>
      <c r="BE23" s="249"/>
      <c r="BF23" s="250"/>
      <c r="BG23" s="251">
        <f t="shared" si="59"/>
        <v>0</v>
      </c>
      <c r="BH23" s="439"/>
      <c r="BI23" s="249"/>
      <c r="BJ23" s="249"/>
      <c r="BK23" s="249"/>
      <c r="BL23" s="249"/>
      <c r="BM23" s="249"/>
      <c r="BN23" s="249"/>
      <c r="BO23" s="249"/>
      <c r="BP23" s="249"/>
      <c r="BQ23" s="249"/>
      <c r="BR23" s="249"/>
      <c r="BS23" s="250"/>
      <c r="BT23" s="251">
        <f t="shared" si="60"/>
        <v>0</v>
      </c>
      <c r="BU23" s="309">
        <f t="shared" si="61"/>
        <v>0</v>
      </c>
    </row>
    <row r="24" spans="1:73" s="584" customFormat="1">
      <c r="A24" s="1070"/>
      <c r="B24" s="1084"/>
      <c r="C24" s="585">
        <f t="shared" ref="C24:C27" si="65">IF(B24=0,C23,B24)</f>
        <v>0</v>
      </c>
      <c r="D24" s="1081"/>
      <c r="E24" s="437" t="s">
        <v>6</v>
      </c>
      <c r="F24" s="691" t="s">
        <v>1990</v>
      </c>
      <c r="G24" s="445"/>
      <c r="H24" s="440"/>
      <c r="I24" s="252"/>
      <c r="J24" s="252"/>
      <c r="K24" s="252"/>
      <c r="L24" s="252"/>
      <c r="M24" s="252"/>
      <c r="N24" s="252"/>
      <c r="O24" s="252"/>
      <c r="P24" s="252"/>
      <c r="Q24" s="252"/>
      <c r="R24" s="252"/>
      <c r="S24" s="253"/>
      <c r="T24" s="254">
        <f t="shared" si="63"/>
        <v>0</v>
      </c>
      <c r="U24" s="440"/>
      <c r="V24" s="252"/>
      <c r="W24" s="252"/>
      <c r="X24" s="252"/>
      <c r="Y24" s="252"/>
      <c r="Z24" s="252"/>
      <c r="AA24" s="252"/>
      <c r="AB24" s="252"/>
      <c r="AC24" s="252"/>
      <c r="AD24" s="252"/>
      <c r="AE24" s="252"/>
      <c r="AF24" s="253"/>
      <c r="AG24" s="254">
        <f t="shared" si="64"/>
        <v>0</v>
      </c>
      <c r="AH24" s="440"/>
      <c r="AI24" s="252"/>
      <c r="AJ24" s="252"/>
      <c r="AK24" s="252"/>
      <c r="AL24" s="252"/>
      <c r="AM24" s="252"/>
      <c r="AN24" s="252"/>
      <c r="AO24" s="252"/>
      <c r="AP24" s="252"/>
      <c r="AQ24" s="252"/>
      <c r="AR24" s="252"/>
      <c r="AS24" s="253"/>
      <c r="AT24" s="254">
        <f t="shared" si="58"/>
        <v>0</v>
      </c>
      <c r="AU24" s="440"/>
      <c r="AV24" s="252"/>
      <c r="AW24" s="252"/>
      <c r="AX24" s="252"/>
      <c r="AY24" s="252"/>
      <c r="AZ24" s="252"/>
      <c r="BA24" s="252"/>
      <c r="BB24" s="252"/>
      <c r="BC24" s="252"/>
      <c r="BD24" s="252"/>
      <c r="BE24" s="252"/>
      <c r="BF24" s="253"/>
      <c r="BG24" s="254">
        <f t="shared" si="59"/>
        <v>0</v>
      </c>
      <c r="BH24" s="440"/>
      <c r="BI24" s="252"/>
      <c r="BJ24" s="252"/>
      <c r="BK24" s="252"/>
      <c r="BL24" s="252"/>
      <c r="BM24" s="252"/>
      <c r="BN24" s="252"/>
      <c r="BO24" s="252"/>
      <c r="BP24" s="252"/>
      <c r="BQ24" s="252"/>
      <c r="BR24" s="252"/>
      <c r="BS24" s="253"/>
      <c r="BT24" s="254">
        <f t="shared" si="60"/>
        <v>0</v>
      </c>
      <c r="BU24" s="310">
        <f t="shared" si="61"/>
        <v>0</v>
      </c>
    </row>
    <row r="25" spans="1:73" s="584" customFormat="1">
      <c r="A25" s="1070"/>
      <c r="B25" s="1084"/>
      <c r="C25" s="585">
        <f t="shared" si="65"/>
        <v>0</v>
      </c>
      <c r="D25" s="1081"/>
      <c r="E25" s="437" t="s">
        <v>7</v>
      </c>
      <c r="F25" s="691" t="s">
        <v>1990</v>
      </c>
      <c r="G25" s="445"/>
      <c r="H25" s="440"/>
      <c r="I25" s="252"/>
      <c r="J25" s="252"/>
      <c r="K25" s="252"/>
      <c r="L25" s="252"/>
      <c r="M25" s="252"/>
      <c r="N25" s="252"/>
      <c r="O25" s="252"/>
      <c r="P25" s="252"/>
      <c r="Q25" s="252"/>
      <c r="R25" s="252"/>
      <c r="S25" s="253"/>
      <c r="T25" s="254">
        <f t="shared" si="63"/>
        <v>0</v>
      </c>
      <c r="U25" s="440"/>
      <c r="V25" s="252"/>
      <c r="W25" s="252"/>
      <c r="X25" s="252"/>
      <c r="Y25" s="252"/>
      <c r="Z25" s="252"/>
      <c r="AA25" s="252"/>
      <c r="AB25" s="252"/>
      <c r="AC25" s="252"/>
      <c r="AD25" s="252"/>
      <c r="AE25" s="252"/>
      <c r="AF25" s="253"/>
      <c r="AG25" s="254">
        <f t="shared" si="64"/>
        <v>0</v>
      </c>
      <c r="AH25" s="440"/>
      <c r="AI25" s="252"/>
      <c r="AJ25" s="252"/>
      <c r="AK25" s="252"/>
      <c r="AL25" s="252"/>
      <c r="AM25" s="252"/>
      <c r="AN25" s="252"/>
      <c r="AO25" s="252"/>
      <c r="AP25" s="252"/>
      <c r="AQ25" s="252"/>
      <c r="AR25" s="252"/>
      <c r="AS25" s="253"/>
      <c r="AT25" s="254">
        <f t="shared" si="58"/>
        <v>0</v>
      </c>
      <c r="AU25" s="440"/>
      <c r="AV25" s="252"/>
      <c r="AW25" s="252"/>
      <c r="AX25" s="252"/>
      <c r="AY25" s="252"/>
      <c r="AZ25" s="252"/>
      <c r="BA25" s="252"/>
      <c r="BB25" s="252"/>
      <c r="BC25" s="252"/>
      <c r="BD25" s="252"/>
      <c r="BE25" s="252"/>
      <c r="BF25" s="253"/>
      <c r="BG25" s="254">
        <f t="shared" si="59"/>
        <v>0</v>
      </c>
      <c r="BH25" s="440"/>
      <c r="BI25" s="252"/>
      <c r="BJ25" s="252"/>
      <c r="BK25" s="252"/>
      <c r="BL25" s="252"/>
      <c r="BM25" s="252"/>
      <c r="BN25" s="252"/>
      <c r="BO25" s="252"/>
      <c r="BP25" s="252"/>
      <c r="BQ25" s="252"/>
      <c r="BR25" s="252"/>
      <c r="BS25" s="253"/>
      <c r="BT25" s="254">
        <f t="shared" si="60"/>
        <v>0</v>
      </c>
      <c r="BU25" s="310">
        <f t="shared" si="61"/>
        <v>0</v>
      </c>
    </row>
    <row r="26" spans="1:73" s="584" customFormat="1">
      <c r="A26" s="1070"/>
      <c r="B26" s="1084"/>
      <c r="C26" s="585">
        <f t="shared" si="65"/>
        <v>0</v>
      </c>
      <c r="D26" s="1081"/>
      <c r="E26" s="437" t="s">
        <v>8</v>
      </c>
      <c r="F26" s="691" t="s">
        <v>1990</v>
      </c>
      <c r="G26" s="445"/>
      <c r="H26" s="440"/>
      <c r="I26" s="252"/>
      <c r="J26" s="252"/>
      <c r="K26" s="252"/>
      <c r="L26" s="252"/>
      <c r="M26" s="252"/>
      <c r="N26" s="252"/>
      <c r="O26" s="252"/>
      <c r="P26" s="252"/>
      <c r="Q26" s="252"/>
      <c r="R26" s="252"/>
      <c r="S26" s="253"/>
      <c r="T26" s="254">
        <f t="shared" si="63"/>
        <v>0</v>
      </c>
      <c r="U26" s="440"/>
      <c r="V26" s="252"/>
      <c r="W26" s="252"/>
      <c r="X26" s="252"/>
      <c r="Y26" s="252"/>
      <c r="Z26" s="252"/>
      <c r="AA26" s="252"/>
      <c r="AB26" s="252"/>
      <c r="AC26" s="252"/>
      <c r="AD26" s="252"/>
      <c r="AE26" s="252"/>
      <c r="AF26" s="253"/>
      <c r="AG26" s="254">
        <f t="shared" si="64"/>
        <v>0</v>
      </c>
      <c r="AH26" s="440"/>
      <c r="AI26" s="252"/>
      <c r="AJ26" s="252"/>
      <c r="AK26" s="252"/>
      <c r="AL26" s="252"/>
      <c r="AM26" s="252"/>
      <c r="AN26" s="252"/>
      <c r="AO26" s="252"/>
      <c r="AP26" s="252"/>
      <c r="AQ26" s="252"/>
      <c r="AR26" s="252"/>
      <c r="AS26" s="253"/>
      <c r="AT26" s="254">
        <f t="shared" si="58"/>
        <v>0</v>
      </c>
      <c r="AU26" s="440"/>
      <c r="AV26" s="252"/>
      <c r="AW26" s="252"/>
      <c r="AX26" s="252"/>
      <c r="AY26" s="252"/>
      <c r="AZ26" s="252"/>
      <c r="BA26" s="252"/>
      <c r="BB26" s="252"/>
      <c r="BC26" s="252"/>
      <c r="BD26" s="252"/>
      <c r="BE26" s="252"/>
      <c r="BF26" s="253"/>
      <c r="BG26" s="254">
        <f t="shared" si="59"/>
        <v>0</v>
      </c>
      <c r="BH26" s="440"/>
      <c r="BI26" s="252"/>
      <c r="BJ26" s="252"/>
      <c r="BK26" s="252"/>
      <c r="BL26" s="252"/>
      <c r="BM26" s="252"/>
      <c r="BN26" s="252"/>
      <c r="BO26" s="252"/>
      <c r="BP26" s="252"/>
      <c r="BQ26" s="252"/>
      <c r="BR26" s="252"/>
      <c r="BS26" s="253"/>
      <c r="BT26" s="254">
        <f t="shared" si="60"/>
        <v>0</v>
      </c>
      <c r="BU26" s="310">
        <f t="shared" si="61"/>
        <v>0</v>
      </c>
    </row>
    <row r="27" spans="1:73" s="584" customFormat="1" ht="13.5" thickBot="1">
      <c r="A27" s="1071"/>
      <c r="B27" s="1085"/>
      <c r="C27" s="586">
        <f t="shared" si="65"/>
        <v>0</v>
      </c>
      <c r="D27" s="1082"/>
      <c r="E27" s="438" t="s">
        <v>1694</v>
      </c>
      <c r="F27" s="691" t="s">
        <v>1990</v>
      </c>
      <c r="G27" s="444"/>
      <c r="H27" s="442"/>
      <c r="I27" s="258"/>
      <c r="J27" s="258"/>
      <c r="K27" s="258"/>
      <c r="L27" s="258"/>
      <c r="M27" s="258"/>
      <c r="N27" s="258"/>
      <c r="O27" s="258"/>
      <c r="P27" s="258"/>
      <c r="Q27" s="258"/>
      <c r="R27" s="258"/>
      <c r="S27" s="259"/>
      <c r="T27" s="260">
        <f t="shared" si="63"/>
        <v>0</v>
      </c>
      <c r="U27" s="442"/>
      <c r="V27" s="258"/>
      <c r="W27" s="258"/>
      <c r="X27" s="258"/>
      <c r="Y27" s="258"/>
      <c r="Z27" s="258"/>
      <c r="AA27" s="258"/>
      <c r="AB27" s="258"/>
      <c r="AC27" s="258"/>
      <c r="AD27" s="258"/>
      <c r="AE27" s="258"/>
      <c r="AF27" s="259"/>
      <c r="AG27" s="260">
        <f t="shared" si="64"/>
        <v>0</v>
      </c>
      <c r="AH27" s="442"/>
      <c r="AI27" s="258"/>
      <c r="AJ27" s="258"/>
      <c r="AK27" s="258"/>
      <c r="AL27" s="258"/>
      <c r="AM27" s="258"/>
      <c r="AN27" s="258"/>
      <c r="AO27" s="258"/>
      <c r="AP27" s="258"/>
      <c r="AQ27" s="258"/>
      <c r="AR27" s="258"/>
      <c r="AS27" s="259"/>
      <c r="AT27" s="260">
        <f t="shared" si="58"/>
        <v>0</v>
      </c>
      <c r="AU27" s="442"/>
      <c r="AV27" s="258"/>
      <c r="AW27" s="258"/>
      <c r="AX27" s="258"/>
      <c r="AY27" s="258"/>
      <c r="AZ27" s="258"/>
      <c r="BA27" s="258"/>
      <c r="BB27" s="258"/>
      <c r="BC27" s="258"/>
      <c r="BD27" s="258"/>
      <c r="BE27" s="258"/>
      <c r="BF27" s="259"/>
      <c r="BG27" s="260">
        <f t="shared" si="59"/>
        <v>0</v>
      </c>
      <c r="BH27" s="442"/>
      <c r="BI27" s="258"/>
      <c r="BJ27" s="258"/>
      <c r="BK27" s="258"/>
      <c r="BL27" s="258"/>
      <c r="BM27" s="258"/>
      <c r="BN27" s="258"/>
      <c r="BO27" s="258"/>
      <c r="BP27" s="258"/>
      <c r="BQ27" s="258"/>
      <c r="BR27" s="258"/>
      <c r="BS27" s="259"/>
      <c r="BT27" s="260">
        <f t="shared" si="60"/>
        <v>0</v>
      </c>
      <c r="BU27" s="310">
        <f t="shared" si="61"/>
        <v>0</v>
      </c>
    </row>
    <row r="28" spans="1:73" ht="13.5" thickBot="1">
      <c r="A28" s="1094" t="s">
        <v>27</v>
      </c>
      <c r="B28" s="1095"/>
      <c r="C28" s="1095"/>
      <c r="D28" s="1095"/>
      <c r="E28" s="1095"/>
      <c r="F28" s="653"/>
      <c r="G28" s="303">
        <f>SUM(G18:G27)</f>
        <v>0</v>
      </c>
      <c r="H28" s="303">
        <f t="shared" ref="H28:BS28" si="66">SUM(H18:H27)</f>
        <v>0</v>
      </c>
      <c r="I28" s="303">
        <f t="shared" si="66"/>
        <v>0</v>
      </c>
      <c r="J28" s="303">
        <f t="shared" si="66"/>
        <v>0</v>
      </c>
      <c r="K28" s="303">
        <f t="shared" si="66"/>
        <v>0</v>
      </c>
      <c r="L28" s="303">
        <f t="shared" si="66"/>
        <v>0</v>
      </c>
      <c r="M28" s="303">
        <f t="shared" si="66"/>
        <v>0</v>
      </c>
      <c r="N28" s="303">
        <f t="shared" si="66"/>
        <v>0</v>
      </c>
      <c r="O28" s="303">
        <f t="shared" si="66"/>
        <v>0</v>
      </c>
      <c r="P28" s="303">
        <f t="shared" si="66"/>
        <v>0</v>
      </c>
      <c r="Q28" s="303">
        <f t="shared" si="66"/>
        <v>0</v>
      </c>
      <c r="R28" s="303">
        <f t="shared" si="66"/>
        <v>0</v>
      </c>
      <c r="S28" s="303">
        <f t="shared" si="66"/>
        <v>0</v>
      </c>
      <c r="T28" s="303">
        <f t="shared" si="66"/>
        <v>0</v>
      </c>
      <c r="U28" s="303">
        <f t="shared" si="66"/>
        <v>0</v>
      </c>
      <c r="V28" s="303">
        <f t="shared" si="66"/>
        <v>0</v>
      </c>
      <c r="W28" s="303">
        <f t="shared" si="66"/>
        <v>0</v>
      </c>
      <c r="X28" s="303">
        <f t="shared" si="66"/>
        <v>0</v>
      </c>
      <c r="Y28" s="303">
        <f t="shared" si="66"/>
        <v>0</v>
      </c>
      <c r="Z28" s="303">
        <f t="shared" si="66"/>
        <v>0</v>
      </c>
      <c r="AA28" s="303">
        <f t="shared" si="66"/>
        <v>0</v>
      </c>
      <c r="AB28" s="303">
        <f t="shared" si="66"/>
        <v>0</v>
      </c>
      <c r="AC28" s="303">
        <f t="shared" si="66"/>
        <v>0</v>
      </c>
      <c r="AD28" s="303">
        <f t="shared" si="66"/>
        <v>0</v>
      </c>
      <c r="AE28" s="303">
        <f t="shared" si="66"/>
        <v>0</v>
      </c>
      <c r="AF28" s="303">
        <f t="shared" si="66"/>
        <v>0</v>
      </c>
      <c r="AG28" s="303">
        <f t="shared" si="66"/>
        <v>0</v>
      </c>
      <c r="AH28" s="303">
        <f t="shared" si="66"/>
        <v>0</v>
      </c>
      <c r="AI28" s="303">
        <f t="shared" si="66"/>
        <v>0</v>
      </c>
      <c r="AJ28" s="303">
        <f t="shared" si="66"/>
        <v>0</v>
      </c>
      <c r="AK28" s="303">
        <f t="shared" si="66"/>
        <v>0</v>
      </c>
      <c r="AL28" s="303">
        <f t="shared" si="66"/>
        <v>0</v>
      </c>
      <c r="AM28" s="303">
        <f t="shared" si="66"/>
        <v>0</v>
      </c>
      <c r="AN28" s="303">
        <f t="shared" si="66"/>
        <v>0</v>
      </c>
      <c r="AO28" s="303">
        <f t="shared" si="66"/>
        <v>0</v>
      </c>
      <c r="AP28" s="303">
        <f t="shared" si="66"/>
        <v>0</v>
      </c>
      <c r="AQ28" s="303">
        <f t="shared" si="66"/>
        <v>0</v>
      </c>
      <c r="AR28" s="303">
        <f t="shared" si="66"/>
        <v>0</v>
      </c>
      <c r="AS28" s="303">
        <f t="shared" si="66"/>
        <v>0</v>
      </c>
      <c r="AT28" s="303">
        <f t="shared" si="66"/>
        <v>0</v>
      </c>
      <c r="AU28" s="303">
        <f t="shared" si="66"/>
        <v>0</v>
      </c>
      <c r="AV28" s="303">
        <f t="shared" si="66"/>
        <v>0</v>
      </c>
      <c r="AW28" s="303">
        <f t="shared" si="66"/>
        <v>0</v>
      </c>
      <c r="AX28" s="303">
        <f t="shared" si="66"/>
        <v>0</v>
      </c>
      <c r="AY28" s="303">
        <f t="shared" si="66"/>
        <v>0</v>
      </c>
      <c r="AZ28" s="303">
        <f t="shared" si="66"/>
        <v>0</v>
      </c>
      <c r="BA28" s="303">
        <f t="shared" si="66"/>
        <v>0</v>
      </c>
      <c r="BB28" s="303">
        <f t="shared" si="66"/>
        <v>0</v>
      </c>
      <c r="BC28" s="303">
        <f t="shared" si="66"/>
        <v>0</v>
      </c>
      <c r="BD28" s="303">
        <f t="shared" si="66"/>
        <v>0</v>
      </c>
      <c r="BE28" s="303">
        <f t="shared" si="66"/>
        <v>0</v>
      </c>
      <c r="BF28" s="303">
        <f t="shared" si="66"/>
        <v>0</v>
      </c>
      <c r="BG28" s="303">
        <f t="shared" si="66"/>
        <v>0</v>
      </c>
      <c r="BH28" s="303">
        <f t="shared" si="66"/>
        <v>0</v>
      </c>
      <c r="BI28" s="303">
        <f t="shared" si="66"/>
        <v>0</v>
      </c>
      <c r="BJ28" s="303">
        <f t="shared" si="66"/>
        <v>0</v>
      </c>
      <c r="BK28" s="303">
        <f t="shared" si="66"/>
        <v>0</v>
      </c>
      <c r="BL28" s="303">
        <f t="shared" si="66"/>
        <v>0</v>
      </c>
      <c r="BM28" s="303">
        <f t="shared" si="66"/>
        <v>0</v>
      </c>
      <c r="BN28" s="303">
        <f t="shared" si="66"/>
        <v>0</v>
      </c>
      <c r="BO28" s="303">
        <f t="shared" si="66"/>
        <v>0</v>
      </c>
      <c r="BP28" s="303">
        <f t="shared" si="66"/>
        <v>0</v>
      </c>
      <c r="BQ28" s="303">
        <f t="shared" si="66"/>
        <v>0</v>
      </c>
      <c r="BR28" s="303">
        <f t="shared" si="66"/>
        <v>0</v>
      </c>
      <c r="BS28" s="303">
        <f t="shared" si="66"/>
        <v>0</v>
      </c>
      <c r="BT28" s="303">
        <f t="shared" ref="BT28:BU28" si="67">SUM(BT18:BT27)</f>
        <v>0</v>
      </c>
      <c r="BU28" s="303">
        <f t="shared" si="67"/>
        <v>0</v>
      </c>
    </row>
    <row r="29" spans="1:73" s="588" customFormat="1" ht="19.5" customHeight="1" thickBot="1">
      <c r="A29" s="1086" t="str">
        <f>'Работы - НН-ОЦО'!B34</f>
        <v xml:space="preserve">Фаза 2. Планирование. Этап № 3.Изучение и детализация </v>
      </c>
      <c r="B29" s="1087"/>
      <c r="C29" s="1087"/>
      <c r="D29" s="1087"/>
      <c r="E29" s="1087"/>
      <c r="F29" s="1087"/>
      <c r="G29" s="1087"/>
      <c r="H29" s="1087"/>
      <c r="I29" s="1087"/>
      <c r="J29" s="1087"/>
      <c r="K29" s="1087"/>
      <c r="L29" s="1087"/>
      <c r="M29" s="1087"/>
      <c r="N29" s="1087"/>
      <c r="O29" s="1087"/>
      <c r="P29" s="1087"/>
      <c r="Q29" s="1087"/>
      <c r="R29" s="1087"/>
      <c r="S29" s="1087"/>
      <c r="T29" s="1087"/>
      <c r="U29" s="1087"/>
      <c r="V29" s="1087"/>
      <c r="W29" s="1087"/>
      <c r="X29" s="1087"/>
      <c r="Y29" s="1087"/>
      <c r="Z29" s="1087"/>
      <c r="AA29" s="1087"/>
      <c r="AB29" s="1087"/>
      <c r="AC29" s="1087"/>
      <c r="AD29" s="1087"/>
      <c r="AE29" s="1087"/>
      <c r="AF29" s="1087"/>
      <c r="AG29" s="1088"/>
      <c r="AH29" s="397"/>
      <c r="AI29" s="397"/>
      <c r="AJ29" s="397"/>
      <c r="AK29" s="397"/>
      <c r="AL29" s="397"/>
      <c r="AM29" s="397"/>
      <c r="AN29" s="397"/>
      <c r="AO29" s="397"/>
      <c r="AP29" s="397"/>
      <c r="AQ29" s="397"/>
      <c r="AR29" s="397"/>
      <c r="AS29" s="397"/>
      <c r="AT29" s="397"/>
      <c r="AU29" s="397"/>
      <c r="AV29" s="397"/>
      <c r="AW29" s="397"/>
      <c r="AX29" s="397"/>
      <c r="AY29" s="397"/>
      <c r="AZ29" s="397"/>
      <c r="BA29" s="397"/>
      <c r="BB29" s="397"/>
      <c r="BC29" s="397"/>
      <c r="BD29" s="397"/>
      <c r="BE29" s="397"/>
      <c r="BF29" s="397"/>
      <c r="BG29" s="397"/>
      <c r="BH29" s="397"/>
      <c r="BI29" s="397"/>
      <c r="BJ29" s="397"/>
      <c r="BK29" s="397"/>
      <c r="BL29" s="397"/>
      <c r="BM29" s="397"/>
      <c r="BN29" s="397"/>
      <c r="BO29" s="397"/>
      <c r="BP29" s="397"/>
      <c r="BQ29" s="397"/>
      <c r="BR29" s="397"/>
      <c r="BS29" s="397"/>
      <c r="BT29" s="397"/>
      <c r="BU29" s="587"/>
    </row>
    <row r="30" spans="1:73" s="584" customFormat="1" ht="12.75" customHeight="1">
      <c r="A30" s="1079"/>
      <c r="B30" s="1080"/>
      <c r="C30" s="583">
        <f>B30</f>
        <v>0</v>
      </c>
      <c r="D30" s="1080"/>
      <c r="E30" s="436" t="s">
        <v>5</v>
      </c>
      <c r="F30" s="691" t="s">
        <v>1990</v>
      </c>
      <c r="G30" s="309"/>
      <c r="H30" s="439"/>
      <c r="I30" s="249"/>
      <c r="J30" s="249"/>
      <c r="K30" s="249"/>
      <c r="L30" s="249"/>
      <c r="M30" s="249"/>
      <c r="N30" s="249"/>
      <c r="O30" s="249"/>
      <c r="P30" s="249"/>
      <c r="Q30" s="249"/>
      <c r="R30" s="249"/>
      <c r="S30" s="250"/>
      <c r="T30" s="251">
        <f>SUM(H30:S30)</f>
        <v>0</v>
      </c>
      <c r="U30" s="439"/>
      <c r="V30" s="249"/>
      <c r="W30" s="249"/>
      <c r="X30" s="249"/>
      <c r="Y30" s="249"/>
      <c r="Z30" s="249"/>
      <c r="AA30" s="249"/>
      <c r="AB30" s="249"/>
      <c r="AC30" s="249"/>
      <c r="AD30" s="249"/>
      <c r="AE30" s="249"/>
      <c r="AF30" s="250"/>
      <c r="AG30" s="251">
        <f>SUM(U30:AF30)</f>
        <v>0</v>
      </c>
      <c r="AH30" s="439"/>
      <c r="AI30" s="249"/>
      <c r="AJ30" s="249"/>
      <c r="AK30" s="249"/>
      <c r="AL30" s="249"/>
      <c r="AM30" s="249"/>
      <c r="AN30" s="249"/>
      <c r="AO30" s="249"/>
      <c r="AP30" s="249"/>
      <c r="AQ30" s="249"/>
      <c r="AR30" s="249"/>
      <c r="AS30" s="250"/>
      <c r="AT30" s="251">
        <f>SUM(AH30:AS30)</f>
        <v>0</v>
      </c>
      <c r="AU30" s="439"/>
      <c r="AV30" s="249"/>
      <c r="AW30" s="249"/>
      <c r="AX30" s="249"/>
      <c r="AY30" s="249"/>
      <c r="AZ30" s="249"/>
      <c r="BA30" s="249"/>
      <c r="BB30" s="249"/>
      <c r="BC30" s="249"/>
      <c r="BD30" s="249"/>
      <c r="BE30" s="249"/>
      <c r="BF30" s="250"/>
      <c r="BG30" s="251">
        <f>SUM(AU30:BF30)</f>
        <v>0</v>
      </c>
      <c r="BH30" s="439"/>
      <c r="BI30" s="249"/>
      <c r="BJ30" s="249"/>
      <c r="BK30" s="249"/>
      <c r="BL30" s="249"/>
      <c r="BM30" s="249"/>
      <c r="BN30" s="249"/>
      <c r="BO30" s="249"/>
      <c r="BP30" s="249"/>
      <c r="BQ30" s="249"/>
      <c r="BR30" s="249"/>
      <c r="BS30" s="250"/>
      <c r="BT30" s="251">
        <f>SUM(BH30:BS30)</f>
        <v>0</v>
      </c>
      <c r="BU30" s="309">
        <f t="shared" ref="BU30:BU39" si="68">T30+AG30+AT30+G30+BG30+BT30</f>
        <v>0</v>
      </c>
    </row>
    <row r="31" spans="1:73" s="584" customFormat="1">
      <c r="A31" s="1070"/>
      <c r="B31" s="1081"/>
      <c r="C31" s="585">
        <f t="shared" ref="C31:C34" si="69">IF(B31=0,C30,B31)</f>
        <v>0</v>
      </c>
      <c r="D31" s="1081"/>
      <c r="E31" s="437" t="s">
        <v>6</v>
      </c>
      <c r="F31" s="691" t="s">
        <v>1990</v>
      </c>
      <c r="G31" s="445"/>
      <c r="H31" s="440"/>
      <c r="I31" s="252"/>
      <c r="J31" s="252"/>
      <c r="K31" s="252"/>
      <c r="L31" s="252"/>
      <c r="M31" s="252"/>
      <c r="N31" s="252"/>
      <c r="O31" s="252"/>
      <c r="P31" s="252"/>
      <c r="Q31" s="252"/>
      <c r="R31" s="252"/>
      <c r="S31" s="253"/>
      <c r="T31" s="254">
        <f t="shared" ref="T31:T34" si="70">SUM(H31:S31)</f>
        <v>0</v>
      </c>
      <c r="U31" s="440"/>
      <c r="V31" s="252"/>
      <c r="W31" s="252"/>
      <c r="X31" s="252"/>
      <c r="Y31" s="252"/>
      <c r="Z31" s="252"/>
      <c r="AA31" s="252"/>
      <c r="AB31" s="252"/>
      <c r="AC31" s="252"/>
      <c r="AD31" s="252"/>
      <c r="AE31" s="252"/>
      <c r="AF31" s="253"/>
      <c r="AG31" s="254">
        <f t="shared" ref="AG31:AG34" si="71">SUM(U31:AF31)</f>
        <v>0</v>
      </c>
      <c r="AH31" s="440"/>
      <c r="AI31" s="252"/>
      <c r="AJ31" s="252"/>
      <c r="AK31" s="252"/>
      <c r="AL31" s="252"/>
      <c r="AM31" s="252"/>
      <c r="AN31" s="252"/>
      <c r="AO31" s="252"/>
      <c r="AP31" s="252"/>
      <c r="AQ31" s="252"/>
      <c r="AR31" s="252"/>
      <c r="AS31" s="253"/>
      <c r="AT31" s="254">
        <f t="shared" ref="AT31:AT34" si="72">SUM(AH31:AS31)</f>
        <v>0</v>
      </c>
      <c r="AU31" s="440"/>
      <c r="AV31" s="252"/>
      <c r="AW31" s="252"/>
      <c r="AX31" s="252"/>
      <c r="AY31" s="252"/>
      <c r="AZ31" s="252"/>
      <c r="BA31" s="252"/>
      <c r="BB31" s="252"/>
      <c r="BC31" s="252"/>
      <c r="BD31" s="252"/>
      <c r="BE31" s="252"/>
      <c r="BF31" s="253"/>
      <c r="BG31" s="254">
        <f t="shared" ref="BG31:BG34" si="73">SUM(AU31:BF31)</f>
        <v>0</v>
      </c>
      <c r="BH31" s="440"/>
      <c r="BI31" s="252"/>
      <c r="BJ31" s="252"/>
      <c r="BK31" s="252"/>
      <c r="BL31" s="252"/>
      <c r="BM31" s="252"/>
      <c r="BN31" s="252"/>
      <c r="BO31" s="252"/>
      <c r="BP31" s="252"/>
      <c r="BQ31" s="252"/>
      <c r="BR31" s="252"/>
      <c r="BS31" s="253"/>
      <c r="BT31" s="254">
        <f t="shared" ref="BT31:BT34" si="74">SUM(BH31:BS31)</f>
        <v>0</v>
      </c>
      <c r="BU31" s="310">
        <f t="shared" si="68"/>
        <v>0</v>
      </c>
    </row>
    <row r="32" spans="1:73" s="584" customFormat="1">
      <c r="A32" s="1070"/>
      <c r="B32" s="1081"/>
      <c r="C32" s="585">
        <f t="shared" si="69"/>
        <v>0</v>
      </c>
      <c r="D32" s="1081"/>
      <c r="E32" s="437" t="s">
        <v>7</v>
      </c>
      <c r="F32" s="691" t="s">
        <v>1990</v>
      </c>
      <c r="G32" s="445"/>
      <c r="H32" s="440"/>
      <c r="I32" s="252"/>
      <c r="J32" s="252"/>
      <c r="K32" s="252"/>
      <c r="L32" s="252"/>
      <c r="M32" s="252"/>
      <c r="N32" s="252"/>
      <c r="O32" s="252"/>
      <c r="P32" s="252"/>
      <c r="Q32" s="252"/>
      <c r="R32" s="252"/>
      <c r="S32" s="253"/>
      <c r="T32" s="254">
        <f t="shared" si="70"/>
        <v>0</v>
      </c>
      <c r="U32" s="440"/>
      <c r="V32" s="252"/>
      <c r="W32" s="252"/>
      <c r="X32" s="252"/>
      <c r="Y32" s="252"/>
      <c r="Z32" s="252"/>
      <c r="AA32" s="252"/>
      <c r="AB32" s="252"/>
      <c r="AC32" s="252"/>
      <c r="AD32" s="252"/>
      <c r="AE32" s="252"/>
      <c r="AF32" s="253"/>
      <c r="AG32" s="254">
        <f t="shared" si="71"/>
        <v>0</v>
      </c>
      <c r="AH32" s="440"/>
      <c r="AI32" s="252"/>
      <c r="AJ32" s="252"/>
      <c r="AK32" s="252"/>
      <c r="AL32" s="252"/>
      <c r="AM32" s="252"/>
      <c r="AN32" s="252"/>
      <c r="AO32" s="252"/>
      <c r="AP32" s="252"/>
      <c r="AQ32" s="252"/>
      <c r="AR32" s="252"/>
      <c r="AS32" s="253"/>
      <c r="AT32" s="254">
        <f t="shared" si="72"/>
        <v>0</v>
      </c>
      <c r="AU32" s="440"/>
      <c r="AV32" s="252"/>
      <c r="AW32" s="252"/>
      <c r="AX32" s="252"/>
      <c r="AY32" s="252"/>
      <c r="AZ32" s="252"/>
      <c r="BA32" s="252"/>
      <c r="BB32" s="252"/>
      <c r="BC32" s="252"/>
      <c r="BD32" s="252"/>
      <c r="BE32" s="252"/>
      <c r="BF32" s="253"/>
      <c r="BG32" s="254">
        <f t="shared" si="73"/>
        <v>0</v>
      </c>
      <c r="BH32" s="440"/>
      <c r="BI32" s="252"/>
      <c r="BJ32" s="252"/>
      <c r="BK32" s="252"/>
      <c r="BL32" s="252"/>
      <c r="BM32" s="252"/>
      <c r="BN32" s="252"/>
      <c r="BO32" s="252"/>
      <c r="BP32" s="252"/>
      <c r="BQ32" s="252"/>
      <c r="BR32" s="252"/>
      <c r="BS32" s="253"/>
      <c r="BT32" s="254">
        <f t="shared" si="74"/>
        <v>0</v>
      </c>
      <c r="BU32" s="310">
        <f t="shared" si="68"/>
        <v>0</v>
      </c>
    </row>
    <row r="33" spans="1:73" s="584" customFormat="1">
      <c r="A33" s="1070"/>
      <c r="B33" s="1081"/>
      <c r="C33" s="585">
        <f t="shared" si="69"/>
        <v>0</v>
      </c>
      <c r="D33" s="1081"/>
      <c r="E33" s="437" t="s">
        <v>8</v>
      </c>
      <c r="F33" s="691" t="s">
        <v>1990</v>
      </c>
      <c r="G33" s="310"/>
      <c r="H33" s="440"/>
      <c r="I33" s="252"/>
      <c r="J33" s="252"/>
      <c r="K33" s="252"/>
      <c r="L33" s="252"/>
      <c r="M33" s="252"/>
      <c r="N33" s="252"/>
      <c r="O33" s="252"/>
      <c r="P33" s="252"/>
      <c r="Q33" s="252"/>
      <c r="R33" s="252"/>
      <c r="S33" s="253"/>
      <c r="T33" s="254">
        <f t="shared" si="70"/>
        <v>0</v>
      </c>
      <c r="U33" s="440"/>
      <c r="V33" s="252"/>
      <c r="W33" s="252"/>
      <c r="X33" s="252"/>
      <c r="Y33" s="252"/>
      <c r="Z33" s="252"/>
      <c r="AA33" s="252"/>
      <c r="AB33" s="252"/>
      <c r="AC33" s="252"/>
      <c r="AD33" s="252"/>
      <c r="AE33" s="252"/>
      <c r="AF33" s="253"/>
      <c r="AG33" s="254">
        <f t="shared" si="71"/>
        <v>0</v>
      </c>
      <c r="AH33" s="440"/>
      <c r="AI33" s="252"/>
      <c r="AJ33" s="252"/>
      <c r="AK33" s="252"/>
      <c r="AL33" s="252"/>
      <c r="AM33" s="252"/>
      <c r="AN33" s="252"/>
      <c r="AO33" s="252"/>
      <c r="AP33" s="252"/>
      <c r="AQ33" s="252"/>
      <c r="AR33" s="252"/>
      <c r="AS33" s="253"/>
      <c r="AT33" s="254">
        <f t="shared" si="72"/>
        <v>0</v>
      </c>
      <c r="AU33" s="440"/>
      <c r="AV33" s="252"/>
      <c r="AW33" s="252"/>
      <c r="AX33" s="252"/>
      <c r="AY33" s="252"/>
      <c r="AZ33" s="252"/>
      <c r="BA33" s="252"/>
      <c r="BB33" s="252"/>
      <c r="BC33" s="252"/>
      <c r="BD33" s="252"/>
      <c r="BE33" s="252"/>
      <c r="BF33" s="253"/>
      <c r="BG33" s="254">
        <f t="shared" si="73"/>
        <v>0</v>
      </c>
      <c r="BH33" s="440"/>
      <c r="BI33" s="252"/>
      <c r="BJ33" s="252"/>
      <c r="BK33" s="252"/>
      <c r="BL33" s="252"/>
      <c r="BM33" s="252"/>
      <c r="BN33" s="252"/>
      <c r="BO33" s="252"/>
      <c r="BP33" s="252"/>
      <c r="BQ33" s="252"/>
      <c r="BR33" s="252"/>
      <c r="BS33" s="253"/>
      <c r="BT33" s="254">
        <f t="shared" si="74"/>
        <v>0</v>
      </c>
      <c r="BU33" s="310">
        <f t="shared" si="68"/>
        <v>0</v>
      </c>
    </row>
    <row r="34" spans="1:73" s="584" customFormat="1" ht="13.5" thickBot="1">
      <c r="A34" s="1071"/>
      <c r="B34" s="1082"/>
      <c r="C34" s="586">
        <f t="shared" si="69"/>
        <v>0</v>
      </c>
      <c r="D34" s="1082"/>
      <c r="E34" s="438" t="s">
        <v>1694</v>
      </c>
      <c r="F34" s="691" t="s">
        <v>1990</v>
      </c>
      <c r="G34" s="443"/>
      <c r="H34" s="441"/>
      <c r="I34" s="255"/>
      <c r="J34" s="255"/>
      <c r="K34" s="255"/>
      <c r="L34" s="255"/>
      <c r="M34" s="255"/>
      <c r="N34" s="255"/>
      <c r="O34" s="255"/>
      <c r="P34" s="255"/>
      <c r="Q34" s="255"/>
      <c r="R34" s="255"/>
      <c r="S34" s="256"/>
      <c r="T34" s="257">
        <f t="shared" si="70"/>
        <v>0</v>
      </c>
      <c r="U34" s="441"/>
      <c r="V34" s="255"/>
      <c r="W34" s="255"/>
      <c r="X34" s="255"/>
      <c r="Y34" s="255"/>
      <c r="Z34" s="255"/>
      <c r="AA34" s="255"/>
      <c r="AB34" s="255"/>
      <c r="AC34" s="255"/>
      <c r="AD34" s="255"/>
      <c r="AE34" s="255"/>
      <c r="AF34" s="256"/>
      <c r="AG34" s="257">
        <f t="shared" si="71"/>
        <v>0</v>
      </c>
      <c r="AH34" s="441"/>
      <c r="AI34" s="255"/>
      <c r="AJ34" s="255"/>
      <c r="AK34" s="255"/>
      <c r="AL34" s="255"/>
      <c r="AM34" s="255"/>
      <c r="AN34" s="255"/>
      <c r="AO34" s="255"/>
      <c r="AP34" s="255"/>
      <c r="AQ34" s="255"/>
      <c r="AR34" s="255"/>
      <c r="AS34" s="256"/>
      <c r="AT34" s="257">
        <f t="shared" si="72"/>
        <v>0</v>
      </c>
      <c r="AU34" s="441"/>
      <c r="AV34" s="255"/>
      <c r="AW34" s="255"/>
      <c r="AX34" s="255"/>
      <c r="AY34" s="255"/>
      <c r="AZ34" s="255"/>
      <c r="BA34" s="255"/>
      <c r="BB34" s="255"/>
      <c r="BC34" s="255"/>
      <c r="BD34" s="255"/>
      <c r="BE34" s="255"/>
      <c r="BF34" s="256"/>
      <c r="BG34" s="257">
        <f t="shared" si="73"/>
        <v>0</v>
      </c>
      <c r="BH34" s="441"/>
      <c r="BI34" s="255"/>
      <c r="BJ34" s="255"/>
      <c r="BK34" s="255"/>
      <c r="BL34" s="255"/>
      <c r="BM34" s="255"/>
      <c r="BN34" s="255"/>
      <c r="BO34" s="255"/>
      <c r="BP34" s="255"/>
      <c r="BQ34" s="255"/>
      <c r="BR34" s="255"/>
      <c r="BS34" s="256"/>
      <c r="BT34" s="257">
        <f t="shared" si="74"/>
        <v>0</v>
      </c>
      <c r="BU34" s="310">
        <f t="shared" si="68"/>
        <v>0</v>
      </c>
    </row>
    <row r="35" spans="1:73" s="584" customFormat="1" ht="12.75" customHeight="1">
      <c r="A35" s="1079"/>
      <c r="B35" s="1080"/>
      <c r="C35" s="583">
        <f>B35</f>
        <v>0</v>
      </c>
      <c r="D35" s="1080"/>
      <c r="E35" s="436" t="s">
        <v>5</v>
      </c>
      <c r="F35" s="691" t="s">
        <v>1990</v>
      </c>
      <c r="G35" s="309"/>
      <c r="H35" s="439"/>
      <c r="I35" s="249"/>
      <c r="J35" s="249"/>
      <c r="K35" s="249"/>
      <c r="L35" s="249"/>
      <c r="M35" s="249"/>
      <c r="N35" s="249"/>
      <c r="O35" s="249"/>
      <c r="P35" s="249"/>
      <c r="Q35" s="249"/>
      <c r="R35" s="249"/>
      <c r="S35" s="250"/>
      <c r="T35" s="251">
        <f>SUM(H35:S35)</f>
        <v>0</v>
      </c>
      <c r="U35" s="439"/>
      <c r="V35" s="249"/>
      <c r="W35" s="249"/>
      <c r="X35" s="249"/>
      <c r="Y35" s="249"/>
      <c r="Z35" s="249"/>
      <c r="AA35" s="249"/>
      <c r="AB35" s="249"/>
      <c r="AC35" s="249"/>
      <c r="AD35" s="249"/>
      <c r="AE35" s="249"/>
      <c r="AF35" s="250"/>
      <c r="AG35" s="251">
        <f>SUM(U35:AF35)</f>
        <v>0</v>
      </c>
      <c r="AH35" s="439"/>
      <c r="AI35" s="249"/>
      <c r="AJ35" s="249"/>
      <c r="AK35" s="249"/>
      <c r="AL35" s="249"/>
      <c r="AM35" s="249"/>
      <c r="AN35" s="249"/>
      <c r="AO35" s="249"/>
      <c r="AP35" s="249"/>
      <c r="AQ35" s="249"/>
      <c r="AR35" s="249"/>
      <c r="AS35" s="250"/>
      <c r="AT35" s="251">
        <f>SUM(AH35:AS35)</f>
        <v>0</v>
      </c>
      <c r="AU35" s="439"/>
      <c r="AV35" s="249"/>
      <c r="AW35" s="249"/>
      <c r="AX35" s="249"/>
      <c r="AY35" s="249"/>
      <c r="AZ35" s="249"/>
      <c r="BA35" s="249"/>
      <c r="BB35" s="249"/>
      <c r="BC35" s="249"/>
      <c r="BD35" s="249"/>
      <c r="BE35" s="249"/>
      <c r="BF35" s="250"/>
      <c r="BG35" s="251">
        <f>SUM(AU35:BF35)</f>
        <v>0</v>
      </c>
      <c r="BH35" s="439"/>
      <c r="BI35" s="249"/>
      <c r="BJ35" s="249"/>
      <c r="BK35" s="249"/>
      <c r="BL35" s="249"/>
      <c r="BM35" s="249"/>
      <c r="BN35" s="249"/>
      <c r="BO35" s="249"/>
      <c r="BP35" s="249"/>
      <c r="BQ35" s="249"/>
      <c r="BR35" s="249"/>
      <c r="BS35" s="250"/>
      <c r="BT35" s="251">
        <f>SUM(BH35:BS35)</f>
        <v>0</v>
      </c>
      <c r="BU35" s="309">
        <f t="shared" si="68"/>
        <v>0</v>
      </c>
    </row>
    <row r="36" spans="1:73" s="584" customFormat="1">
      <c r="A36" s="1070"/>
      <c r="B36" s="1081"/>
      <c r="C36" s="585">
        <f t="shared" ref="C36:C39" si="75">IF(B36=0,C35,B36)</f>
        <v>0</v>
      </c>
      <c r="D36" s="1081"/>
      <c r="E36" s="437" t="s">
        <v>6</v>
      </c>
      <c r="F36" s="691" t="s">
        <v>1990</v>
      </c>
      <c r="G36" s="310"/>
      <c r="H36" s="440"/>
      <c r="I36" s="252"/>
      <c r="J36" s="252"/>
      <c r="K36" s="252"/>
      <c r="L36" s="252"/>
      <c r="M36" s="252"/>
      <c r="N36" s="252"/>
      <c r="O36" s="252"/>
      <c r="P36" s="252"/>
      <c r="Q36" s="252"/>
      <c r="R36" s="252"/>
      <c r="S36" s="253"/>
      <c r="T36" s="254">
        <f t="shared" ref="T36:T39" si="76">SUM(H36:S36)</f>
        <v>0</v>
      </c>
      <c r="U36" s="440"/>
      <c r="V36" s="252"/>
      <c r="W36" s="252"/>
      <c r="X36" s="252"/>
      <c r="Y36" s="252"/>
      <c r="Z36" s="252"/>
      <c r="AA36" s="252"/>
      <c r="AB36" s="252"/>
      <c r="AC36" s="252"/>
      <c r="AD36" s="252"/>
      <c r="AE36" s="252"/>
      <c r="AF36" s="253"/>
      <c r="AG36" s="254">
        <f t="shared" ref="AG36:AG39" si="77">SUM(U36:AF36)</f>
        <v>0</v>
      </c>
      <c r="AH36" s="440"/>
      <c r="AI36" s="252"/>
      <c r="AJ36" s="252"/>
      <c r="AK36" s="252"/>
      <c r="AL36" s="252"/>
      <c r="AM36" s="252"/>
      <c r="AN36" s="252"/>
      <c r="AO36" s="252"/>
      <c r="AP36" s="252"/>
      <c r="AQ36" s="252"/>
      <c r="AR36" s="252"/>
      <c r="AS36" s="253"/>
      <c r="AT36" s="254">
        <f t="shared" ref="AT36:AT39" si="78">SUM(AH36:AS36)</f>
        <v>0</v>
      </c>
      <c r="AU36" s="440"/>
      <c r="AV36" s="252"/>
      <c r="AW36" s="252"/>
      <c r="AX36" s="252"/>
      <c r="AY36" s="252"/>
      <c r="AZ36" s="252"/>
      <c r="BA36" s="252"/>
      <c r="BB36" s="252"/>
      <c r="BC36" s="252"/>
      <c r="BD36" s="252"/>
      <c r="BE36" s="252"/>
      <c r="BF36" s="253"/>
      <c r="BG36" s="254">
        <f t="shared" ref="BG36:BG39" si="79">SUM(AU36:BF36)</f>
        <v>0</v>
      </c>
      <c r="BH36" s="440"/>
      <c r="BI36" s="252"/>
      <c r="BJ36" s="252"/>
      <c r="BK36" s="252"/>
      <c r="BL36" s="252"/>
      <c r="BM36" s="252"/>
      <c r="BN36" s="252"/>
      <c r="BO36" s="252"/>
      <c r="BP36" s="252"/>
      <c r="BQ36" s="252"/>
      <c r="BR36" s="252"/>
      <c r="BS36" s="253"/>
      <c r="BT36" s="254">
        <f t="shared" ref="BT36:BT39" si="80">SUM(BH36:BS36)</f>
        <v>0</v>
      </c>
      <c r="BU36" s="310">
        <f t="shared" si="68"/>
        <v>0</v>
      </c>
    </row>
    <row r="37" spans="1:73" s="584" customFormat="1">
      <c r="A37" s="1070"/>
      <c r="B37" s="1081"/>
      <c r="C37" s="585">
        <f t="shared" si="75"/>
        <v>0</v>
      </c>
      <c r="D37" s="1081"/>
      <c r="E37" s="437" t="s">
        <v>7</v>
      </c>
      <c r="F37" s="691" t="s">
        <v>1990</v>
      </c>
      <c r="G37" s="310"/>
      <c r="H37" s="440"/>
      <c r="I37" s="252"/>
      <c r="J37" s="252"/>
      <c r="K37" s="252"/>
      <c r="L37" s="252"/>
      <c r="M37" s="252"/>
      <c r="N37" s="252"/>
      <c r="O37" s="252"/>
      <c r="P37" s="252"/>
      <c r="Q37" s="252"/>
      <c r="R37" s="252"/>
      <c r="S37" s="253"/>
      <c r="T37" s="254">
        <f t="shared" si="76"/>
        <v>0</v>
      </c>
      <c r="U37" s="440"/>
      <c r="V37" s="252"/>
      <c r="W37" s="252"/>
      <c r="X37" s="252"/>
      <c r="Y37" s="252"/>
      <c r="Z37" s="252"/>
      <c r="AA37" s="252"/>
      <c r="AB37" s="252"/>
      <c r="AC37" s="252"/>
      <c r="AD37" s="252"/>
      <c r="AE37" s="252"/>
      <c r="AF37" s="253"/>
      <c r="AG37" s="254">
        <f t="shared" si="77"/>
        <v>0</v>
      </c>
      <c r="AH37" s="440"/>
      <c r="AI37" s="252"/>
      <c r="AJ37" s="252"/>
      <c r="AK37" s="252"/>
      <c r="AL37" s="252"/>
      <c r="AM37" s="252"/>
      <c r="AN37" s="252"/>
      <c r="AO37" s="252"/>
      <c r="AP37" s="252"/>
      <c r="AQ37" s="252"/>
      <c r="AR37" s="252"/>
      <c r="AS37" s="253"/>
      <c r="AT37" s="254">
        <f t="shared" si="78"/>
        <v>0</v>
      </c>
      <c r="AU37" s="440"/>
      <c r="AV37" s="252"/>
      <c r="AW37" s="252"/>
      <c r="AX37" s="252"/>
      <c r="AY37" s="252"/>
      <c r="AZ37" s="252"/>
      <c r="BA37" s="252"/>
      <c r="BB37" s="252"/>
      <c r="BC37" s="252"/>
      <c r="BD37" s="252"/>
      <c r="BE37" s="252"/>
      <c r="BF37" s="253"/>
      <c r="BG37" s="254">
        <f t="shared" si="79"/>
        <v>0</v>
      </c>
      <c r="BH37" s="440"/>
      <c r="BI37" s="252"/>
      <c r="BJ37" s="252"/>
      <c r="BK37" s="252"/>
      <c r="BL37" s="252"/>
      <c r="BM37" s="252"/>
      <c r="BN37" s="252"/>
      <c r="BO37" s="252"/>
      <c r="BP37" s="252"/>
      <c r="BQ37" s="252"/>
      <c r="BR37" s="252"/>
      <c r="BS37" s="253"/>
      <c r="BT37" s="254">
        <f t="shared" si="80"/>
        <v>0</v>
      </c>
      <c r="BU37" s="310">
        <f t="shared" si="68"/>
        <v>0</v>
      </c>
    </row>
    <row r="38" spans="1:73" s="584" customFormat="1">
      <c r="A38" s="1070"/>
      <c r="B38" s="1081"/>
      <c r="C38" s="585">
        <f t="shared" si="75"/>
        <v>0</v>
      </c>
      <c r="D38" s="1081"/>
      <c r="E38" s="437" t="s">
        <v>8</v>
      </c>
      <c r="F38" s="691" t="s">
        <v>1990</v>
      </c>
      <c r="G38" s="310"/>
      <c r="H38" s="440"/>
      <c r="I38" s="252"/>
      <c r="J38" s="252"/>
      <c r="K38" s="252"/>
      <c r="L38" s="252"/>
      <c r="M38" s="252"/>
      <c r="N38" s="252"/>
      <c r="O38" s="252"/>
      <c r="P38" s="252"/>
      <c r="Q38" s="252"/>
      <c r="R38" s="252"/>
      <c r="S38" s="253"/>
      <c r="T38" s="254">
        <f t="shared" si="76"/>
        <v>0</v>
      </c>
      <c r="U38" s="440"/>
      <c r="V38" s="252"/>
      <c r="W38" s="252"/>
      <c r="X38" s="252"/>
      <c r="Y38" s="252"/>
      <c r="Z38" s="252"/>
      <c r="AA38" s="252"/>
      <c r="AB38" s="252"/>
      <c r="AC38" s="252"/>
      <c r="AD38" s="252"/>
      <c r="AE38" s="252"/>
      <c r="AF38" s="253"/>
      <c r="AG38" s="254">
        <f t="shared" si="77"/>
        <v>0</v>
      </c>
      <c r="AH38" s="440"/>
      <c r="AI38" s="252"/>
      <c r="AJ38" s="252"/>
      <c r="AK38" s="252"/>
      <c r="AL38" s="252"/>
      <c r="AM38" s="252"/>
      <c r="AN38" s="252"/>
      <c r="AO38" s="252"/>
      <c r="AP38" s="252"/>
      <c r="AQ38" s="252"/>
      <c r="AR38" s="252"/>
      <c r="AS38" s="253"/>
      <c r="AT38" s="254">
        <f t="shared" si="78"/>
        <v>0</v>
      </c>
      <c r="AU38" s="440"/>
      <c r="AV38" s="252"/>
      <c r="AW38" s="252"/>
      <c r="AX38" s="252"/>
      <c r="AY38" s="252"/>
      <c r="AZ38" s="252"/>
      <c r="BA38" s="252"/>
      <c r="BB38" s="252"/>
      <c r="BC38" s="252"/>
      <c r="BD38" s="252"/>
      <c r="BE38" s="252"/>
      <c r="BF38" s="253"/>
      <c r="BG38" s="254">
        <f t="shared" si="79"/>
        <v>0</v>
      </c>
      <c r="BH38" s="440"/>
      <c r="BI38" s="252"/>
      <c r="BJ38" s="252"/>
      <c r="BK38" s="252"/>
      <c r="BL38" s="252"/>
      <c r="BM38" s="252"/>
      <c r="BN38" s="252"/>
      <c r="BO38" s="252"/>
      <c r="BP38" s="252"/>
      <c r="BQ38" s="252"/>
      <c r="BR38" s="252"/>
      <c r="BS38" s="253"/>
      <c r="BT38" s="254">
        <f t="shared" si="80"/>
        <v>0</v>
      </c>
      <c r="BU38" s="310">
        <f t="shared" si="68"/>
        <v>0</v>
      </c>
    </row>
    <row r="39" spans="1:73" s="584" customFormat="1" ht="13.5" thickBot="1">
      <c r="A39" s="1071"/>
      <c r="B39" s="1082"/>
      <c r="C39" s="586">
        <f t="shared" si="75"/>
        <v>0</v>
      </c>
      <c r="D39" s="1082"/>
      <c r="E39" s="438" t="s">
        <v>1694</v>
      </c>
      <c r="F39" s="691" t="s">
        <v>1990</v>
      </c>
      <c r="G39" s="444"/>
      <c r="H39" s="442"/>
      <c r="I39" s="258"/>
      <c r="J39" s="258"/>
      <c r="K39" s="258"/>
      <c r="L39" s="258"/>
      <c r="M39" s="258"/>
      <c r="N39" s="258"/>
      <c r="O39" s="258"/>
      <c r="P39" s="258"/>
      <c r="Q39" s="258"/>
      <c r="R39" s="258"/>
      <c r="S39" s="259"/>
      <c r="T39" s="260">
        <f t="shared" si="76"/>
        <v>0</v>
      </c>
      <c r="U39" s="442"/>
      <c r="V39" s="258"/>
      <c r="W39" s="258"/>
      <c r="X39" s="258"/>
      <c r="Y39" s="258"/>
      <c r="Z39" s="258"/>
      <c r="AA39" s="258"/>
      <c r="AB39" s="258"/>
      <c r="AC39" s="258"/>
      <c r="AD39" s="258"/>
      <c r="AE39" s="258"/>
      <c r="AF39" s="259"/>
      <c r="AG39" s="260">
        <f t="shared" si="77"/>
        <v>0</v>
      </c>
      <c r="AH39" s="442"/>
      <c r="AI39" s="258"/>
      <c r="AJ39" s="258"/>
      <c r="AK39" s="258"/>
      <c r="AL39" s="258"/>
      <c r="AM39" s="258"/>
      <c r="AN39" s="258"/>
      <c r="AO39" s="258"/>
      <c r="AP39" s="258"/>
      <c r="AQ39" s="258"/>
      <c r="AR39" s="258"/>
      <c r="AS39" s="259"/>
      <c r="AT39" s="260">
        <f t="shared" si="78"/>
        <v>0</v>
      </c>
      <c r="AU39" s="442"/>
      <c r="AV39" s="258"/>
      <c r="AW39" s="258"/>
      <c r="AX39" s="258"/>
      <c r="AY39" s="258"/>
      <c r="AZ39" s="258"/>
      <c r="BA39" s="258"/>
      <c r="BB39" s="258"/>
      <c r="BC39" s="258"/>
      <c r="BD39" s="258"/>
      <c r="BE39" s="258"/>
      <c r="BF39" s="259"/>
      <c r="BG39" s="260">
        <f t="shared" si="79"/>
        <v>0</v>
      </c>
      <c r="BH39" s="442"/>
      <c r="BI39" s="258"/>
      <c r="BJ39" s="258"/>
      <c r="BK39" s="258"/>
      <c r="BL39" s="258"/>
      <c r="BM39" s="258"/>
      <c r="BN39" s="258"/>
      <c r="BO39" s="258"/>
      <c r="BP39" s="258"/>
      <c r="BQ39" s="258"/>
      <c r="BR39" s="258"/>
      <c r="BS39" s="259"/>
      <c r="BT39" s="260">
        <f t="shared" si="80"/>
        <v>0</v>
      </c>
      <c r="BU39" s="310">
        <f t="shared" si="68"/>
        <v>0</v>
      </c>
    </row>
    <row r="40" spans="1:73" ht="13.5" thickBot="1">
      <c r="A40" s="1094" t="s">
        <v>28</v>
      </c>
      <c r="B40" s="1095"/>
      <c r="C40" s="1095"/>
      <c r="D40" s="1095"/>
      <c r="E40" s="1095"/>
      <c r="F40" s="653"/>
      <c r="G40" s="303">
        <f>SUM(G30:G39)</f>
        <v>0</v>
      </c>
      <c r="H40" s="303">
        <f t="shared" ref="H40:BS40" si="81">SUM(H30:H39)</f>
        <v>0</v>
      </c>
      <c r="I40" s="303">
        <f t="shared" si="81"/>
        <v>0</v>
      </c>
      <c r="J40" s="303">
        <f t="shared" si="81"/>
        <v>0</v>
      </c>
      <c r="K40" s="303">
        <f t="shared" si="81"/>
        <v>0</v>
      </c>
      <c r="L40" s="303">
        <f t="shared" si="81"/>
        <v>0</v>
      </c>
      <c r="M40" s="303">
        <f t="shared" si="81"/>
        <v>0</v>
      </c>
      <c r="N40" s="303">
        <f t="shared" si="81"/>
        <v>0</v>
      </c>
      <c r="O40" s="303">
        <f t="shared" si="81"/>
        <v>0</v>
      </c>
      <c r="P40" s="303">
        <f t="shared" si="81"/>
        <v>0</v>
      </c>
      <c r="Q40" s="303">
        <f t="shared" si="81"/>
        <v>0</v>
      </c>
      <c r="R40" s="303">
        <f t="shared" si="81"/>
        <v>0</v>
      </c>
      <c r="S40" s="303">
        <f t="shared" si="81"/>
        <v>0</v>
      </c>
      <c r="T40" s="303">
        <f t="shared" si="81"/>
        <v>0</v>
      </c>
      <c r="U40" s="303">
        <f t="shared" si="81"/>
        <v>0</v>
      </c>
      <c r="V40" s="303">
        <f t="shared" si="81"/>
        <v>0</v>
      </c>
      <c r="W40" s="303">
        <f t="shared" si="81"/>
        <v>0</v>
      </c>
      <c r="X40" s="303">
        <f t="shared" si="81"/>
        <v>0</v>
      </c>
      <c r="Y40" s="303">
        <f t="shared" si="81"/>
        <v>0</v>
      </c>
      <c r="Z40" s="303">
        <f t="shared" si="81"/>
        <v>0</v>
      </c>
      <c r="AA40" s="303">
        <f t="shared" si="81"/>
        <v>0</v>
      </c>
      <c r="AB40" s="303">
        <f t="shared" si="81"/>
        <v>0</v>
      </c>
      <c r="AC40" s="303">
        <f t="shared" si="81"/>
        <v>0</v>
      </c>
      <c r="AD40" s="303">
        <f t="shared" si="81"/>
        <v>0</v>
      </c>
      <c r="AE40" s="303">
        <f t="shared" si="81"/>
        <v>0</v>
      </c>
      <c r="AF40" s="303">
        <f t="shared" si="81"/>
        <v>0</v>
      </c>
      <c r="AG40" s="303">
        <f t="shared" si="81"/>
        <v>0</v>
      </c>
      <c r="AH40" s="303">
        <f t="shared" si="81"/>
        <v>0</v>
      </c>
      <c r="AI40" s="303">
        <f t="shared" si="81"/>
        <v>0</v>
      </c>
      <c r="AJ40" s="303">
        <f t="shared" si="81"/>
        <v>0</v>
      </c>
      <c r="AK40" s="303">
        <f t="shared" si="81"/>
        <v>0</v>
      </c>
      <c r="AL40" s="303">
        <f t="shared" si="81"/>
        <v>0</v>
      </c>
      <c r="AM40" s="303">
        <f t="shared" si="81"/>
        <v>0</v>
      </c>
      <c r="AN40" s="303">
        <f t="shared" si="81"/>
        <v>0</v>
      </c>
      <c r="AO40" s="303">
        <f t="shared" si="81"/>
        <v>0</v>
      </c>
      <c r="AP40" s="303">
        <f t="shared" si="81"/>
        <v>0</v>
      </c>
      <c r="AQ40" s="303">
        <f t="shared" si="81"/>
        <v>0</v>
      </c>
      <c r="AR40" s="303">
        <f t="shared" si="81"/>
        <v>0</v>
      </c>
      <c r="AS40" s="303">
        <f t="shared" si="81"/>
        <v>0</v>
      </c>
      <c r="AT40" s="303">
        <f t="shared" si="81"/>
        <v>0</v>
      </c>
      <c r="AU40" s="303">
        <f t="shared" si="81"/>
        <v>0</v>
      </c>
      <c r="AV40" s="303">
        <f t="shared" si="81"/>
        <v>0</v>
      </c>
      <c r="AW40" s="303">
        <f t="shared" si="81"/>
        <v>0</v>
      </c>
      <c r="AX40" s="303">
        <f t="shared" si="81"/>
        <v>0</v>
      </c>
      <c r="AY40" s="303">
        <f t="shared" si="81"/>
        <v>0</v>
      </c>
      <c r="AZ40" s="303">
        <f t="shared" si="81"/>
        <v>0</v>
      </c>
      <c r="BA40" s="303">
        <f t="shared" si="81"/>
        <v>0</v>
      </c>
      <c r="BB40" s="303">
        <f t="shared" si="81"/>
        <v>0</v>
      </c>
      <c r="BC40" s="303">
        <f t="shared" si="81"/>
        <v>0</v>
      </c>
      <c r="BD40" s="303">
        <f t="shared" si="81"/>
        <v>0</v>
      </c>
      <c r="BE40" s="303">
        <f t="shared" si="81"/>
        <v>0</v>
      </c>
      <c r="BF40" s="303">
        <f t="shared" si="81"/>
        <v>0</v>
      </c>
      <c r="BG40" s="303">
        <f t="shared" si="81"/>
        <v>0</v>
      </c>
      <c r="BH40" s="303">
        <f t="shared" si="81"/>
        <v>0</v>
      </c>
      <c r="BI40" s="303">
        <f t="shared" si="81"/>
        <v>0</v>
      </c>
      <c r="BJ40" s="303">
        <f t="shared" si="81"/>
        <v>0</v>
      </c>
      <c r="BK40" s="303">
        <f t="shared" si="81"/>
        <v>0</v>
      </c>
      <c r="BL40" s="303">
        <f t="shared" si="81"/>
        <v>0</v>
      </c>
      <c r="BM40" s="303">
        <f t="shared" si="81"/>
        <v>0</v>
      </c>
      <c r="BN40" s="303">
        <f t="shared" si="81"/>
        <v>0</v>
      </c>
      <c r="BO40" s="303">
        <f t="shared" si="81"/>
        <v>0</v>
      </c>
      <c r="BP40" s="303">
        <f t="shared" si="81"/>
        <v>0</v>
      </c>
      <c r="BQ40" s="303">
        <f t="shared" si="81"/>
        <v>0</v>
      </c>
      <c r="BR40" s="303">
        <f t="shared" si="81"/>
        <v>0</v>
      </c>
      <c r="BS40" s="303">
        <f t="shared" si="81"/>
        <v>0</v>
      </c>
      <c r="BT40" s="303">
        <f t="shared" ref="BT40:BU40" si="82">SUM(BT30:BT39)</f>
        <v>0</v>
      </c>
      <c r="BU40" s="303">
        <f t="shared" si="82"/>
        <v>0</v>
      </c>
    </row>
    <row r="41" spans="1:73" s="588" customFormat="1" ht="19.5" customHeight="1" thickBot="1">
      <c r="A41" s="1086" t="str">
        <f>'Работы - НН-ОЦО'!B54</f>
        <v xml:space="preserve">Фаза 2. Планирование. Этап № 4. Подготовка к реализации </v>
      </c>
      <c r="B41" s="1087"/>
      <c r="C41" s="1087"/>
      <c r="D41" s="1087"/>
      <c r="E41" s="1087"/>
      <c r="F41" s="1087"/>
      <c r="G41" s="1087"/>
      <c r="H41" s="1087"/>
      <c r="I41" s="1087"/>
      <c r="J41" s="1087"/>
      <c r="K41" s="1087"/>
      <c r="L41" s="1087"/>
      <c r="M41" s="1087"/>
      <c r="N41" s="1087"/>
      <c r="O41" s="1087"/>
      <c r="P41" s="1087"/>
      <c r="Q41" s="1087"/>
      <c r="R41" s="1087"/>
      <c r="S41" s="1087"/>
      <c r="T41" s="1087"/>
      <c r="U41" s="1087"/>
      <c r="V41" s="1087"/>
      <c r="W41" s="1087"/>
      <c r="X41" s="1087"/>
      <c r="Y41" s="1087"/>
      <c r="Z41" s="1087"/>
      <c r="AA41" s="1087"/>
      <c r="AB41" s="1087"/>
      <c r="AC41" s="1087"/>
      <c r="AD41" s="1087"/>
      <c r="AE41" s="1087"/>
      <c r="AF41" s="1087"/>
      <c r="AG41" s="1088"/>
      <c r="AH41" s="397"/>
      <c r="AI41" s="397"/>
      <c r="AJ41" s="397"/>
      <c r="AK41" s="397"/>
      <c r="AL41" s="397"/>
      <c r="AM41" s="397"/>
      <c r="AN41" s="397"/>
      <c r="AO41" s="397"/>
      <c r="AP41" s="397"/>
      <c r="AQ41" s="397"/>
      <c r="AR41" s="397"/>
      <c r="AS41" s="397"/>
      <c r="AT41" s="397"/>
      <c r="AU41" s="397"/>
      <c r="AV41" s="397"/>
      <c r="AW41" s="397"/>
      <c r="AX41" s="397"/>
      <c r="AY41" s="397"/>
      <c r="AZ41" s="397"/>
      <c r="BA41" s="397"/>
      <c r="BB41" s="397"/>
      <c r="BC41" s="397"/>
      <c r="BD41" s="397"/>
      <c r="BE41" s="397"/>
      <c r="BF41" s="397"/>
      <c r="BG41" s="397"/>
      <c r="BH41" s="397"/>
      <c r="BI41" s="397"/>
      <c r="BJ41" s="397"/>
      <c r="BK41" s="397"/>
      <c r="BL41" s="397"/>
      <c r="BM41" s="397"/>
      <c r="BN41" s="397"/>
      <c r="BO41" s="397"/>
      <c r="BP41" s="397"/>
      <c r="BQ41" s="397"/>
      <c r="BR41" s="397"/>
      <c r="BS41" s="397"/>
      <c r="BT41" s="397"/>
      <c r="BU41" s="587"/>
    </row>
    <row r="42" spans="1:73" s="584" customFormat="1" ht="12.75" customHeight="1">
      <c r="A42" s="1079"/>
      <c r="B42" s="1080"/>
      <c r="C42" s="583">
        <f>B42</f>
        <v>0</v>
      </c>
      <c r="D42" s="1080"/>
      <c r="E42" s="436" t="s">
        <v>5</v>
      </c>
      <c r="F42" s="691" t="s">
        <v>1990</v>
      </c>
      <c r="G42" s="309"/>
      <c r="H42" s="439"/>
      <c r="I42" s="249"/>
      <c r="J42" s="249"/>
      <c r="K42" s="249"/>
      <c r="L42" s="249"/>
      <c r="M42" s="249"/>
      <c r="N42" s="249"/>
      <c r="O42" s="249"/>
      <c r="P42" s="249"/>
      <c r="Q42" s="249"/>
      <c r="R42" s="249"/>
      <c r="S42" s="250"/>
      <c r="T42" s="251">
        <f>SUM(H42:S42)</f>
        <v>0</v>
      </c>
      <c r="U42" s="439"/>
      <c r="V42" s="249"/>
      <c r="W42" s="249"/>
      <c r="X42" s="249"/>
      <c r="Y42" s="249"/>
      <c r="Z42" s="249"/>
      <c r="AA42" s="249"/>
      <c r="AB42" s="249"/>
      <c r="AC42" s="249"/>
      <c r="AD42" s="249"/>
      <c r="AE42" s="249"/>
      <c r="AF42" s="250"/>
      <c r="AG42" s="251">
        <f>SUM(U42:AF42)</f>
        <v>0</v>
      </c>
      <c r="AH42" s="439"/>
      <c r="AI42" s="249"/>
      <c r="AJ42" s="249"/>
      <c r="AK42" s="249"/>
      <c r="AL42" s="249"/>
      <c r="AM42" s="249"/>
      <c r="AN42" s="249"/>
      <c r="AO42" s="249"/>
      <c r="AP42" s="249"/>
      <c r="AQ42" s="249"/>
      <c r="AR42" s="249"/>
      <c r="AS42" s="250"/>
      <c r="AT42" s="251">
        <f>SUM(AH42:AS42)</f>
        <v>0</v>
      </c>
      <c r="AU42" s="439"/>
      <c r="AV42" s="249"/>
      <c r="AW42" s="249"/>
      <c r="AX42" s="249"/>
      <c r="AY42" s="249"/>
      <c r="AZ42" s="249"/>
      <c r="BA42" s="249"/>
      <c r="BB42" s="249"/>
      <c r="BC42" s="249"/>
      <c r="BD42" s="249"/>
      <c r="BE42" s="249"/>
      <c r="BF42" s="250"/>
      <c r="BG42" s="251">
        <f>SUM(AU42:BF42)</f>
        <v>0</v>
      </c>
      <c r="BH42" s="439"/>
      <c r="BI42" s="249"/>
      <c r="BJ42" s="249"/>
      <c r="BK42" s="249"/>
      <c r="BL42" s="249"/>
      <c r="BM42" s="249"/>
      <c r="BN42" s="249"/>
      <c r="BO42" s="249"/>
      <c r="BP42" s="249"/>
      <c r="BQ42" s="249"/>
      <c r="BR42" s="249"/>
      <c r="BS42" s="250"/>
      <c r="BT42" s="251">
        <f>SUM(BH42:BS42)</f>
        <v>0</v>
      </c>
      <c r="BU42" s="309">
        <f t="shared" ref="BU42:BU51" si="83">T42+AG42+AT42+G42+BG42+BT42</f>
        <v>0</v>
      </c>
    </row>
    <row r="43" spans="1:73" s="584" customFormat="1">
      <c r="A43" s="1070"/>
      <c r="B43" s="1081"/>
      <c r="C43" s="585">
        <f t="shared" ref="C43:C51" si="84">IF(B43=0,C42,B43)</f>
        <v>0</v>
      </c>
      <c r="D43" s="1081"/>
      <c r="E43" s="437" t="s">
        <v>6</v>
      </c>
      <c r="F43" s="691" t="s">
        <v>1990</v>
      </c>
      <c r="G43" s="310"/>
      <c r="H43" s="440"/>
      <c r="I43" s="252"/>
      <c r="J43" s="252"/>
      <c r="K43" s="252"/>
      <c r="L43" s="252"/>
      <c r="M43" s="252"/>
      <c r="N43" s="252"/>
      <c r="O43" s="252"/>
      <c r="P43" s="252"/>
      <c r="Q43" s="252"/>
      <c r="R43" s="252"/>
      <c r="S43" s="253"/>
      <c r="T43" s="254">
        <f t="shared" ref="T43:T46" si="85">SUM(H43:S43)</f>
        <v>0</v>
      </c>
      <c r="U43" s="440"/>
      <c r="V43" s="252"/>
      <c r="W43" s="252"/>
      <c r="X43" s="252"/>
      <c r="Y43" s="252"/>
      <c r="Z43" s="252"/>
      <c r="AA43" s="252"/>
      <c r="AB43" s="252"/>
      <c r="AC43" s="252"/>
      <c r="AD43" s="252"/>
      <c r="AE43" s="252"/>
      <c r="AF43" s="253"/>
      <c r="AG43" s="254">
        <f t="shared" ref="AG43:AG46" si="86">SUM(U43:AF43)</f>
        <v>0</v>
      </c>
      <c r="AH43" s="440"/>
      <c r="AI43" s="252"/>
      <c r="AJ43" s="252"/>
      <c r="AK43" s="252"/>
      <c r="AL43" s="252"/>
      <c r="AM43" s="252"/>
      <c r="AN43" s="252"/>
      <c r="AO43" s="252"/>
      <c r="AP43" s="252"/>
      <c r="AQ43" s="252"/>
      <c r="AR43" s="252"/>
      <c r="AS43" s="253"/>
      <c r="AT43" s="254">
        <f t="shared" ref="AT43:AT46" si="87">SUM(AH43:AS43)</f>
        <v>0</v>
      </c>
      <c r="AU43" s="440"/>
      <c r="AV43" s="252"/>
      <c r="AW43" s="252"/>
      <c r="AX43" s="252"/>
      <c r="AY43" s="252"/>
      <c r="AZ43" s="252"/>
      <c r="BA43" s="252"/>
      <c r="BB43" s="252"/>
      <c r="BC43" s="252"/>
      <c r="BD43" s="252"/>
      <c r="BE43" s="252"/>
      <c r="BF43" s="253"/>
      <c r="BG43" s="254">
        <f t="shared" ref="BG43" si="88">SUM(AU43:BF43)</f>
        <v>0</v>
      </c>
      <c r="BH43" s="440"/>
      <c r="BI43" s="252"/>
      <c r="BJ43" s="252"/>
      <c r="BK43" s="252"/>
      <c r="BL43" s="252"/>
      <c r="BM43" s="252"/>
      <c r="BN43" s="252"/>
      <c r="BO43" s="252"/>
      <c r="BP43" s="252"/>
      <c r="BQ43" s="252"/>
      <c r="BR43" s="252"/>
      <c r="BS43" s="253"/>
      <c r="BT43" s="254">
        <f t="shared" ref="BT43" si="89">SUM(BH43:BS43)</f>
        <v>0</v>
      </c>
      <c r="BU43" s="310">
        <f t="shared" si="83"/>
        <v>0</v>
      </c>
    </row>
    <row r="44" spans="1:73" s="584" customFormat="1">
      <c r="A44" s="1070"/>
      <c r="B44" s="1081"/>
      <c r="C44" s="585">
        <f t="shared" si="84"/>
        <v>0</v>
      </c>
      <c r="D44" s="1081"/>
      <c r="E44" s="437" t="s">
        <v>7</v>
      </c>
      <c r="F44" s="691" t="s">
        <v>1990</v>
      </c>
      <c r="G44" s="310"/>
      <c r="H44" s="440"/>
      <c r="I44" s="252"/>
      <c r="J44" s="252"/>
      <c r="K44" s="252"/>
      <c r="L44" s="252"/>
      <c r="M44" s="252"/>
      <c r="N44" s="252"/>
      <c r="O44" s="252"/>
      <c r="P44" s="252"/>
      <c r="Q44" s="252"/>
      <c r="R44" s="252"/>
      <c r="S44" s="253"/>
      <c r="T44" s="254">
        <f t="shared" si="85"/>
        <v>0</v>
      </c>
      <c r="U44" s="440"/>
      <c r="V44" s="252"/>
      <c r="W44" s="252"/>
      <c r="X44" s="252"/>
      <c r="Y44" s="252"/>
      <c r="Z44" s="252"/>
      <c r="AA44" s="252"/>
      <c r="AB44" s="252"/>
      <c r="AC44" s="252"/>
      <c r="AD44" s="252"/>
      <c r="AE44" s="252"/>
      <c r="AF44" s="253"/>
      <c r="AG44" s="254">
        <f t="shared" si="86"/>
        <v>0</v>
      </c>
      <c r="AH44" s="440"/>
      <c r="AI44" s="252"/>
      <c r="AJ44" s="252"/>
      <c r="AK44" s="252"/>
      <c r="AL44" s="252"/>
      <c r="AM44" s="252"/>
      <c r="AN44" s="252"/>
      <c r="AO44" s="252"/>
      <c r="AP44" s="252"/>
      <c r="AQ44" s="252"/>
      <c r="AR44" s="252"/>
      <c r="AS44" s="253"/>
      <c r="AT44" s="254">
        <f>SUM(AH44:AS44)</f>
        <v>0</v>
      </c>
      <c r="AU44" s="440"/>
      <c r="AV44" s="252"/>
      <c r="AW44" s="252"/>
      <c r="AX44" s="252"/>
      <c r="AY44" s="252"/>
      <c r="AZ44" s="252"/>
      <c r="BA44" s="252"/>
      <c r="BB44" s="252"/>
      <c r="BC44" s="252"/>
      <c r="BD44" s="252"/>
      <c r="BE44" s="252"/>
      <c r="BF44" s="253"/>
      <c r="BG44" s="254">
        <f>SUM(AU44:BF44)</f>
        <v>0</v>
      </c>
      <c r="BH44" s="440"/>
      <c r="BI44" s="252"/>
      <c r="BJ44" s="252"/>
      <c r="BK44" s="252"/>
      <c r="BL44" s="252"/>
      <c r="BM44" s="252"/>
      <c r="BN44" s="252"/>
      <c r="BO44" s="252"/>
      <c r="BP44" s="252"/>
      <c r="BQ44" s="252"/>
      <c r="BR44" s="252"/>
      <c r="BS44" s="253"/>
      <c r="BT44" s="254">
        <f>SUM(BH44:BS44)</f>
        <v>0</v>
      </c>
      <c r="BU44" s="310">
        <f t="shared" si="83"/>
        <v>0</v>
      </c>
    </row>
    <row r="45" spans="1:73" s="584" customFormat="1">
      <c r="A45" s="1070"/>
      <c r="B45" s="1081"/>
      <c r="C45" s="585">
        <f t="shared" si="84"/>
        <v>0</v>
      </c>
      <c r="D45" s="1081"/>
      <c r="E45" s="437" t="s">
        <v>8</v>
      </c>
      <c r="F45" s="691" t="s">
        <v>1990</v>
      </c>
      <c r="G45" s="310"/>
      <c r="H45" s="440"/>
      <c r="I45" s="252"/>
      <c r="J45" s="252"/>
      <c r="K45" s="252"/>
      <c r="L45" s="252"/>
      <c r="M45" s="252"/>
      <c r="N45" s="252"/>
      <c r="O45" s="252"/>
      <c r="P45" s="252"/>
      <c r="Q45" s="252"/>
      <c r="R45" s="252"/>
      <c r="S45" s="253"/>
      <c r="T45" s="254">
        <f t="shared" si="85"/>
        <v>0</v>
      </c>
      <c r="U45" s="440"/>
      <c r="V45" s="252"/>
      <c r="W45" s="252"/>
      <c r="X45" s="252"/>
      <c r="Y45" s="252"/>
      <c r="Z45" s="252"/>
      <c r="AA45" s="252"/>
      <c r="AB45" s="252"/>
      <c r="AC45" s="252"/>
      <c r="AD45" s="252"/>
      <c r="AE45" s="252"/>
      <c r="AF45" s="253"/>
      <c r="AG45" s="254">
        <f t="shared" si="86"/>
        <v>0</v>
      </c>
      <c r="AH45" s="440"/>
      <c r="AI45" s="252"/>
      <c r="AJ45" s="252"/>
      <c r="AK45" s="252"/>
      <c r="AL45" s="252"/>
      <c r="AM45" s="252"/>
      <c r="AN45" s="252"/>
      <c r="AO45" s="252"/>
      <c r="AP45" s="252"/>
      <c r="AQ45" s="252"/>
      <c r="AR45" s="252"/>
      <c r="AS45" s="253"/>
      <c r="AT45" s="254">
        <f t="shared" si="87"/>
        <v>0</v>
      </c>
      <c r="AU45" s="440"/>
      <c r="AV45" s="252"/>
      <c r="AW45" s="252"/>
      <c r="AX45" s="252"/>
      <c r="AY45" s="252"/>
      <c r="AZ45" s="252"/>
      <c r="BA45" s="252"/>
      <c r="BB45" s="252"/>
      <c r="BC45" s="252"/>
      <c r="BD45" s="252"/>
      <c r="BE45" s="252"/>
      <c r="BF45" s="253"/>
      <c r="BG45" s="254">
        <f t="shared" ref="BG45:BG46" si="90">SUM(AU45:BF45)</f>
        <v>0</v>
      </c>
      <c r="BH45" s="440"/>
      <c r="BI45" s="252"/>
      <c r="BJ45" s="252"/>
      <c r="BK45" s="252"/>
      <c r="BL45" s="252"/>
      <c r="BM45" s="252"/>
      <c r="BN45" s="252"/>
      <c r="BO45" s="252"/>
      <c r="BP45" s="252"/>
      <c r="BQ45" s="252"/>
      <c r="BR45" s="252"/>
      <c r="BS45" s="253"/>
      <c r="BT45" s="254">
        <f t="shared" ref="BT45:BT46" si="91">SUM(BH45:BS45)</f>
        <v>0</v>
      </c>
      <c r="BU45" s="310">
        <f t="shared" si="83"/>
        <v>0</v>
      </c>
    </row>
    <row r="46" spans="1:73" s="584" customFormat="1" ht="13.5" thickBot="1">
      <c r="A46" s="1071"/>
      <c r="B46" s="1082"/>
      <c r="C46" s="586">
        <f t="shared" si="84"/>
        <v>0</v>
      </c>
      <c r="D46" s="1082"/>
      <c r="E46" s="438" t="s">
        <v>1694</v>
      </c>
      <c r="F46" s="691" t="s">
        <v>1990</v>
      </c>
      <c r="G46" s="443"/>
      <c r="H46" s="441"/>
      <c r="I46" s="255"/>
      <c r="J46" s="255"/>
      <c r="K46" s="255"/>
      <c r="L46" s="255"/>
      <c r="M46" s="255"/>
      <c r="N46" s="255"/>
      <c r="O46" s="255"/>
      <c r="P46" s="255"/>
      <c r="Q46" s="255"/>
      <c r="R46" s="255"/>
      <c r="S46" s="256"/>
      <c r="T46" s="257">
        <f t="shared" si="85"/>
        <v>0</v>
      </c>
      <c r="U46" s="441"/>
      <c r="V46" s="255"/>
      <c r="W46" s="255"/>
      <c r="X46" s="255"/>
      <c r="Y46" s="255"/>
      <c r="Z46" s="255"/>
      <c r="AA46" s="255"/>
      <c r="AB46" s="255"/>
      <c r="AC46" s="255"/>
      <c r="AD46" s="255"/>
      <c r="AE46" s="255"/>
      <c r="AF46" s="256"/>
      <c r="AG46" s="257">
        <f t="shared" si="86"/>
        <v>0</v>
      </c>
      <c r="AH46" s="441"/>
      <c r="AI46" s="255"/>
      <c r="AJ46" s="255"/>
      <c r="AK46" s="255"/>
      <c r="AL46" s="255"/>
      <c r="AM46" s="255"/>
      <c r="AN46" s="255"/>
      <c r="AO46" s="255"/>
      <c r="AP46" s="255"/>
      <c r="AQ46" s="255"/>
      <c r="AR46" s="255"/>
      <c r="AS46" s="256"/>
      <c r="AT46" s="257">
        <f t="shared" si="87"/>
        <v>0</v>
      </c>
      <c r="AU46" s="441"/>
      <c r="AV46" s="255"/>
      <c r="AW46" s="255"/>
      <c r="AX46" s="255"/>
      <c r="AY46" s="255"/>
      <c r="AZ46" s="255"/>
      <c r="BA46" s="255"/>
      <c r="BB46" s="255"/>
      <c r="BC46" s="255"/>
      <c r="BD46" s="255"/>
      <c r="BE46" s="255"/>
      <c r="BF46" s="256"/>
      <c r="BG46" s="257">
        <f t="shared" si="90"/>
        <v>0</v>
      </c>
      <c r="BH46" s="441"/>
      <c r="BI46" s="255"/>
      <c r="BJ46" s="255"/>
      <c r="BK46" s="255"/>
      <c r="BL46" s="255"/>
      <c r="BM46" s="255"/>
      <c r="BN46" s="255"/>
      <c r="BO46" s="255"/>
      <c r="BP46" s="255"/>
      <c r="BQ46" s="255"/>
      <c r="BR46" s="255"/>
      <c r="BS46" s="256"/>
      <c r="BT46" s="257">
        <f t="shared" si="91"/>
        <v>0</v>
      </c>
      <c r="BU46" s="310">
        <f t="shared" si="83"/>
        <v>0</v>
      </c>
    </row>
    <row r="47" spans="1:73" s="584" customFormat="1" ht="12.75" customHeight="1">
      <c r="A47" s="1079"/>
      <c r="B47" s="1080"/>
      <c r="C47" s="583">
        <f>B47</f>
        <v>0</v>
      </c>
      <c r="D47" s="1080"/>
      <c r="E47" s="436" t="s">
        <v>5</v>
      </c>
      <c r="F47" s="691" t="s">
        <v>1990</v>
      </c>
      <c r="G47" s="309"/>
      <c r="H47" s="439"/>
      <c r="I47" s="249"/>
      <c r="J47" s="249"/>
      <c r="K47" s="249"/>
      <c r="L47" s="249"/>
      <c r="M47" s="249"/>
      <c r="N47" s="249"/>
      <c r="O47" s="249"/>
      <c r="P47" s="249"/>
      <c r="Q47" s="249"/>
      <c r="R47" s="249"/>
      <c r="S47" s="250"/>
      <c r="T47" s="251">
        <f>SUM(H47:S47)</f>
        <v>0</v>
      </c>
      <c r="U47" s="439"/>
      <c r="V47" s="249"/>
      <c r="W47" s="249"/>
      <c r="X47" s="249"/>
      <c r="Y47" s="249"/>
      <c r="Z47" s="249"/>
      <c r="AA47" s="249"/>
      <c r="AB47" s="249"/>
      <c r="AC47" s="249"/>
      <c r="AD47" s="249"/>
      <c r="AE47" s="249"/>
      <c r="AF47" s="250"/>
      <c r="AG47" s="251">
        <f>SUM(U47:AF47)</f>
        <v>0</v>
      </c>
      <c r="AH47" s="439"/>
      <c r="AI47" s="249"/>
      <c r="AJ47" s="249"/>
      <c r="AK47" s="249"/>
      <c r="AL47" s="249"/>
      <c r="AM47" s="249"/>
      <c r="AN47" s="249"/>
      <c r="AO47" s="249"/>
      <c r="AP47" s="249"/>
      <c r="AQ47" s="249"/>
      <c r="AR47" s="249"/>
      <c r="AS47" s="250"/>
      <c r="AT47" s="251">
        <f>SUM(AH47:AS47)</f>
        <v>0</v>
      </c>
      <c r="AU47" s="439"/>
      <c r="AV47" s="249"/>
      <c r="AW47" s="249"/>
      <c r="AX47" s="249"/>
      <c r="AY47" s="249"/>
      <c r="AZ47" s="249"/>
      <c r="BA47" s="249"/>
      <c r="BB47" s="249"/>
      <c r="BC47" s="249"/>
      <c r="BD47" s="249"/>
      <c r="BE47" s="249"/>
      <c r="BF47" s="250"/>
      <c r="BG47" s="251">
        <f>SUM(AU47:BF47)</f>
        <v>0</v>
      </c>
      <c r="BH47" s="439"/>
      <c r="BI47" s="249"/>
      <c r="BJ47" s="249"/>
      <c r="BK47" s="249"/>
      <c r="BL47" s="249"/>
      <c r="BM47" s="249"/>
      <c r="BN47" s="249"/>
      <c r="BO47" s="249"/>
      <c r="BP47" s="249"/>
      <c r="BQ47" s="249"/>
      <c r="BR47" s="249"/>
      <c r="BS47" s="250"/>
      <c r="BT47" s="251">
        <f>SUM(BH47:BS47)</f>
        <v>0</v>
      </c>
      <c r="BU47" s="309">
        <f t="shared" si="83"/>
        <v>0</v>
      </c>
    </row>
    <row r="48" spans="1:73" s="584" customFormat="1">
      <c r="A48" s="1070"/>
      <c r="B48" s="1081"/>
      <c r="C48" s="585">
        <f t="shared" si="84"/>
        <v>0</v>
      </c>
      <c r="D48" s="1081"/>
      <c r="E48" s="437" t="s">
        <v>6</v>
      </c>
      <c r="F48" s="691" t="s">
        <v>1990</v>
      </c>
      <c r="G48" s="310"/>
      <c r="H48" s="440"/>
      <c r="I48" s="252"/>
      <c r="J48" s="252"/>
      <c r="K48" s="252"/>
      <c r="L48" s="252"/>
      <c r="M48" s="252"/>
      <c r="N48" s="252"/>
      <c r="O48" s="252"/>
      <c r="P48" s="252"/>
      <c r="Q48" s="252"/>
      <c r="R48" s="252"/>
      <c r="S48" s="253"/>
      <c r="T48" s="254">
        <f t="shared" ref="T48:T51" si="92">SUM(H48:S48)</f>
        <v>0</v>
      </c>
      <c r="U48" s="440"/>
      <c r="V48" s="252"/>
      <c r="W48" s="252"/>
      <c r="X48" s="252"/>
      <c r="Y48" s="252"/>
      <c r="Z48" s="252"/>
      <c r="AA48" s="252"/>
      <c r="AB48" s="252"/>
      <c r="AC48" s="252"/>
      <c r="AD48" s="252"/>
      <c r="AE48" s="252"/>
      <c r="AF48" s="253"/>
      <c r="AG48" s="254">
        <f t="shared" ref="AG48:AG51" si="93">SUM(U48:AF48)</f>
        <v>0</v>
      </c>
      <c r="AH48" s="440"/>
      <c r="AI48" s="252"/>
      <c r="AJ48" s="252"/>
      <c r="AK48" s="252"/>
      <c r="AL48" s="252"/>
      <c r="AM48" s="252"/>
      <c r="AN48" s="252"/>
      <c r="AO48" s="252"/>
      <c r="AP48" s="252"/>
      <c r="AQ48" s="252"/>
      <c r="AR48" s="252"/>
      <c r="AS48" s="253"/>
      <c r="AT48" s="254">
        <f t="shared" ref="AT48:AT51" si="94">SUM(AH48:AS48)</f>
        <v>0</v>
      </c>
      <c r="AU48" s="440"/>
      <c r="AV48" s="252"/>
      <c r="AW48" s="252"/>
      <c r="AX48" s="252"/>
      <c r="AY48" s="252"/>
      <c r="AZ48" s="252"/>
      <c r="BA48" s="252"/>
      <c r="BB48" s="252"/>
      <c r="BC48" s="252"/>
      <c r="BD48" s="252"/>
      <c r="BE48" s="252"/>
      <c r="BF48" s="253"/>
      <c r="BG48" s="254">
        <f t="shared" ref="BG48:BG51" si="95">SUM(AU48:BF48)</f>
        <v>0</v>
      </c>
      <c r="BH48" s="440"/>
      <c r="BI48" s="252"/>
      <c r="BJ48" s="252"/>
      <c r="BK48" s="252"/>
      <c r="BL48" s="252"/>
      <c r="BM48" s="252"/>
      <c r="BN48" s="252"/>
      <c r="BO48" s="252"/>
      <c r="BP48" s="252"/>
      <c r="BQ48" s="252"/>
      <c r="BR48" s="252"/>
      <c r="BS48" s="253"/>
      <c r="BT48" s="254">
        <f t="shared" ref="BT48:BT51" si="96">SUM(BH48:BS48)</f>
        <v>0</v>
      </c>
      <c r="BU48" s="310">
        <f t="shared" si="83"/>
        <v>0</v>
      </c>
    </row>
    <row r="49" spans="1:73" s="584" customFormat="1">
      <c r="A49" s="1070"/>
      <c r="B49" s="1081"/>
      <c r="C49" s="585">
        <f t="shared" si="84"/>
        <v>0</v>
      </c>
      <c r="D49" s="1081"/>
      <c r="E49" s="437" t="s">
        <v>7</v>
      </c>
      <c r="F49" s="691" t="s">
        <v>1990</v>
      </c>
      <c r="G49" s="310"/>
      <c r="H49" s="440"/>
      <c r="I49" s="252"/>
      <c r="J49" s="252"/>
      <c r="K49" s="252"/>
      <c r="L49" s="252"/>
      <c r="M49" s="252"/>
      <c r="N49" s="252"/>
      <c r="O49" s="252"/>
      <c r="P49" s="252"/>
      <c r="Q49" s="252"/>
      <c r="R49" s="252"/>
      <c r="S49" s="253"/>
      <c r="T49" s="254">
        <f t="shared" si="92"/>
        <v>0</v>
      </c>
      <c r="U49" s="440"/>
      <c r="V49" s="252"/>
      <c r="W49" s="252"/>
      <c r="X49" s="252"/>
      <c r="Y49" s="252"/>
      <c r="Z49" s="252"/>
      <c r="AA49" s="252"/>
      <c r="AB49" s="252"/>
      <c r="AC49" s="252"/>
      <c r="AD49" s="252"/>
      <c r="AE49" s="252"/>
      <c r="AF49" s="253"/>
      <c r="AG49" s="254">
        <f t="shared" si="93"/>
        <v>0</v>
      </c>
      <c r="AH49" s="440"/>
      <c r="AI49" s="252"/>
      <c r="AJ49" s="252"/>
      <c r="AK49" s="252"/>
      <c r="AL49" s="252"/>
      <c r="AM49" s="252"/>
      <c r="AN49" s="252"/>
      <c r="AO49" s="252"/>
      <c r="AP49" s="252"/>
      <c r="AQ49" s="252"/>
      <c r="AR49" s="252"/>
      <c r="AS49" s="253"/>
      <c r="AT49" s="254">
        <f t="shared" si="94"/>
        <v>0</v>
      </c>
      <c r="AU49" s="440"/>
      <c r="AV49" s="252"/>
      <c r="AW49" s="252"/>
      <c r="AX49" s="252"/>
      <c r="AY49" s="252"/>
      <c r="AZ49" s="252"/>
      <c r="BA49" s="252"/>
      <c r="BB49" s="252"/>
      <c r="BC49" s="252"/>
      <c r="BD49" s="252"/>
      <c r="BE49" s="252"/>
      <c r="BF49" s="253"/>
      <c r="BG49" s="254">
        <f t="shared" si="95"/>
        <v>0</v>
      </c>
      <c r="BH49" s="440"/>
      <c r="BI49" s="252"/>
      <c r="BJ49" s="252"/>
      <c r="BK49" s="252"/>
      <c r="BL49" s="252"/>
      <c r="BM49" s="252"/>
      <c r="BN49" s="252"/>
      <c r="BO49" s="252"/>
      <c r="BP49" s="252"/>
      <c r="BQ49" s="252"/>
      <c r="BR49" s="252"/>
      <c r="BS49" s="253"/>
      <c r="BT49" s="254">
        <f t="shared" si="96"/>
        <v>0</v>
      </c>
      <c r="BU49" s="310">
        <f t="shared" si="83"/>
        <v>0</v>
      </c>
    </row>
    <row r="50" spans="1:73" s="584" customFormat="1">
      <c r="A50" s="1070"/>
      <c r="B50" s="1081"/>
      <c r="C50" s="585">
        <f t="shared" si="84"/>
        <v>0</v>
      </c>
      <c r="D50" s="1081"/>
      <c r="E50" s="437" t="s">
        <v>8</v>
      </c>
      <c r="F50" s="691" t="s">
        <v>1990</v>
      </c>
      <c r="G50" s="310"/>
      <c r="H50" s="440"/>
      <c r="I50" s="252"/>
      <c r="J50" s="252"/>
      <c r="K50" s="252"/>
      <c r="L50" s="252"/>
      <c r="M50" s="252"/>
      <c r="N50" s="252"/>
      <c r="O50" s="252"/>
      <c r="P50" s="252"/>
      <c r="Q50" s="252"/>
      <c r="R50" s="252"/>
      <c r="S50" s="253"/>
      <c r="T50" s="254">
        <f t="shared" si="92"/>
        <v>0</v>
      </c>
      <c r="U50" s="440"/>
      <c r="V50" s="252"/>
      <c r="W50" s="252"/>
      <c r="X50" s="252"/>
      <c r="Y50" s="252"/>
      <c r="Z50" s="252"/>
      <c r="AA50" s="252"/>
      <c r="AB50" s="252"/>
      <c r="AC50" s="252"/>
      <c r="AD50" s="252"/>
      <c r="AE50" s="252"/>
      <c r="AF50" s="253"/>
      <c r="AG50" s="254">
        <f t="shared" si="93"/>
        <v>0</v>
      </c>
      <c r="AH50" s="440"/>
      <c r="AI50" s="252"/>
      <c r="AJ50" s="252"/>
      <c r="AK50" s="252"/>
      <c r="AL50" s="252"/>
      <c r="AM50" s="252"/>
      <c r="AN50" s="252"/>
      <c r="AO50" s="252"/>
      <c r="AP50" s="252"/>
      <c r="AQ50" s="252"/>
      <c r="AR50" s="252"/>
      <c r="AS50" s="253"/>
      <c r="AT50" s="254">
        <f t="shared" si="94"/>
        <v>0</v>
      </c>
      <c r="AU50" s="440"/>
      <c r="AV50" s="252"/>
      <c r="AW50" s="252"/>
      <c r="AX50" s="252"/>
      <c r="AY50" s="252"/>
      <c r="AZ50" s="252"/>
      <c r="BA50" s="252"/>
      <c r="BB50" s="252"/>
      <c r="BC50" s="252"/>
      <c r="BD50" s="252"/>
      <c r="BE50" s="252"/>
      <c r="BF50" s="253"/>
      <c r="BG50" s="254">
        <f t="shared" si="95"/>
        <v>0</v>
      </c>
      <c r="BH50" s="440"/>
      <c r="BI50" s="252"/>
      <c r="BJ50" s="252"/>
      <c r="BK50" s="252"/>
      <c r="BL50" s="252"/>
      <c r="BM50" s="252"/>
      <c r="BN50" s="252"/>
      <c r="BO50" s="252"/>
      <c r="BP50" s="252"/>
      <c r="BQ50" s="252"/>
      <c r="BR50" s="252"/>
      <c r="BS50" s="253"/>
      <c r="BT50" s="254">
        <f t="shared" si="96"/>
        <v>0</v>
      </c>
      <c r="BU50" s="310">
        <f t="shared" si="83"/>
        <v>0</v>
      </c>
    </row>
    <row r="51" spans="1:73" s="584" customFormat="1" ht="13.5" thickBot="1">
      <c r="A51" s="1071"/>
      <c r="B51" s="1082"/>
      <c r="C51" s="586">
        <f t="shared" si="84"/>
        <v>0</v>
      </c>
      <c r="D51" s="1082"/>
      <c r="E51" s="438" t="s">
        <v>1694</v>
      </c>
      <c r="F51" s="691" t="s">
        <v>1990</v>
      </c>
      <c r="G51" s="444"/>
      <c r="H51" s="442"/>
      <c r="I51" s="258"/>
      <c r="J51" s="258"/>
      <c r="K51" s="258"/>
      <c r="L51" s="258"/>
      <c r="M51" s="258"/>
      <c r="N51" s="258"/>
      <c r="O51" s="258"/>
      <c r="P51" s="258"/>
      <c r="Q51" s="258"/>
      <c r="R51" s="258"/>
      <c r="S51" s="259"/>
      <c r="T51" s="260">
        <f t="shared" si="92"/>
        <v>0</v>
      </c>
      <c r="U51" s="442"/>
      <c r="V51" s="258"/>
      <c r="W51" s="258"/>
      <c r="X51" s="258"/>
      <c r="Y51" s="258"/>
      <c r="Z51" s="258"/>
      <c r="AA51" s="258"/>
      <c r="AB51" s="258"/>
      <c r="AC51" s="258"/>
      <c r="AD51" s="258"/>
      <c r="AE51" s="258"/>
      <c r="AF51" s="259"/>
      <c r="AG51" s="260">
        <f t="shared" si="93"/>
        <v>0</v>
      </c>
      <c r="AH51" s="442"/>
      <c r="AI51" s="258"/>
      <c r="AJ51" s="258"/>
      <c r="AK51" s="258"/>
      <c r="AL51" s="258"/>
      <c r="AM51" s="258"/>
      <c r="AN51" s="258"/>
      <c r="AO51" s="258"/>
      <c r="AP51" s="258"/>
      <c r="AQ51" s="258"/>
      <c r="AR51" s="258"/>
      <c r="AS51" s="259"/>
      <c r="AT51" s="260">
        <f t="shared" si="94"/>
        <v>0</v>
      </c>
      <c r="AU51" s="442"/>
      <c r="AV51" s="258"/>
      <c r="AW51" s="258"/>
      <c r="AX51" s="258"/>
      <c r="AY51" s="258"/>
      <c r="AZ51" s="258"/>
      <c r="BA51" s="258"/>
      <c r="BB51" s="258"/>
      <c r="BC51" s="258"/>
      <c r="BD51" s="258"/>
      <c r="BE51" s="258"/>
      <c r="BF51" s="259"/>
      <c r="BG51" s="260">
        <f t="shared" si="95"/>
        <v>0</v>
      </c>
      <c r="BH51" s="442"/>
      <c r="BI51" s="258"/>
      <c r="BJ51" s="258"/>
      <c r="BK51" s="258"/>
      <c r="BL51" s="258"/>
      <c r="BM51" s="258"/>
      <c r="BN51" s="258"/>
      <c r="BO51" s="258"/>
      <c r="BP51" s="258"/>
      <c r="BQ51" s="258"/>
      <c r="BR51" s="258"/>
      <c r="BS51" s="259"/>
      <c r="BT51" s="260">
        <f t="shared" si="96"/>
        <v>0</v>
      </c>
      <c r="BU51" s="310">
        <f t="shared" si="83"/>
        <v>0</v>
      </c>
    </row>
    <row r="52" spans="1:73" ht="13.5" thickBot="1">
      <c r="A52" s="1094" t="s">
        <v>71</v>
      </c>
      <c r="B52" s="1095"/>
      <c r="C52" s="1095"/>
      <c r="D52" s="1095"/>
      <c r="E52" s="1095"/>
      <c r="F52" s="653"/>
      <c r="G52" s="303">
        <f>SUM(G42:G51)</f>
        <v>0</v>
      </c>
      <c r="H52" s="303">
        <f t="shared" ref="H52:BS52" si="97">SUM(H42:H51)</f>
        <v>0</v>
      </c>
      <c r="I52" s="303">
        <f t="shared" si="97"/>
        <v>0</v>
      </c>
      <c r="J52" s="303">
        <f t="shared" si="97"/>
        <v>0</v>
      </c>
      <c r="K52" s="303">
        <f t="shared" si="97"/>
        <v>0</v>
      </c>
      <c r="L52" s="303">
        <f t="shared" si="97"/>
        <v>0</v>
      </c>
      <c r="M52" s="303">
        <f t="shared" si="97"/>
        <v>0</v>
      </c>
      <c r="N52" s="303">
        <f t="shared" si="97"/>
        <v>0</v>
      </c>
      <c r="O52" s="303">
        <f t="shared" si="97"/>
        <v>0</v>
      </c>
      <c r="P52" s="303">
        <f t="shared" si="97"/>
        <v>0</v>
      </c>
      <c r="Q52" s="303">
        <f t="shared" si="97"/>
        <v>0</v>
      </c>
      <c r="R52" s="303">
        <f t="shared" si="97"/>
        <v>0</v>
      </c>
      <c r="S52" s="303">
        <f t="shared" si="97"/>
        <v>0</v>
      </c>
      <c r="T52" s="303">
        <f t="shared" si="97"/>
        <v>0</v>
      </c>
      <c r="U52" s="303">
        <f t="shared" si="97"/>
        <v>0</v>
      </c>
      <c r="V52" s="303">
        <f t="shared" si="97"/>
        <v>0</v>
      </c>
      <c r="W52" s="303">
        <f t="shared" si="97"/>
        <v>0</v>
      </c>
      <c r="X52" s="303">
        <f t="shared" si="97"/>
        <v>0</v>
      </c>
      <c r="Y52" s="303">
        <f t="shared" si="97"/>
        <v>0</v>
      </c>
      <c r="Z52" s="303">
        <f t="shared" si="97"/>
        <v>0</v>
      </c>
      <c r="AA52" s="303">
        <f t="shared" si="97"/>
        <v>0</v>
      </c>
      <c r="AB52" s="303">
        <f t="shared" si="97"/>
        <v>0</v>
      </c>
      <c r="AC52" s="303">
        <f t="shared" si="97"/>
        <v>0</v>
      </c>
      <c r="AD52" s="303">
        <f t="shared" si="97"/>
        <v>0</v>
      </c>
      <c r="AE52" s="303">
        <f t="shared" si="97"/>
        <v>0</v>
      </c>
      <c r="AF52" s="303">
        <f t="shared" si="97"/>
        <v>0</v>
      </c>
      <c r="AG52" s="303">
        <f t="shared" si="97"/>
        <v>0</v>
      </c>
      <c r="AH52" s="303">
        <f t="shared" si="97"/>
        <v>0</v>
      </c>
      <c r="AI52" s="303">
        <f t="shared" si="97"/>
        <v>0</v>
      </c>
      <c r="AJ52" s="303">
        <f t="shared" si="97"/>
        <v>0</v>
      </c>
      <c r="AK52" s="303">
        <f t="shared" si="97"/>
        <v>0</v>
      </c>
      <c r="AL52" s="303">
        <f t="shared" si="97"/>
        <v>0</v>
      </c>
      <c r="AM52" s="303">
        <f t="shared" si="97"/>
        <v>0</v>
      </c>
      <c r="AN52" s="303">
        <f t="shared" si="97"/>
        <v>0</v>
      </c>
      <c r="AO52" s="303">
        <f t="shared" si="97"/>
        <v>0</v>
      </c>
      <c r="AP52" s="303">
        <f t="shared" si="97"/>
        <v>0</v>
      </c>
      <c r="AQ52" s="303">
        <f t="shared" si="97"/>
        <v>0</v>
      </c>
      <c r="AR52" s="303">
        <f t="shared" si="97"/>
        <v>0</v>
      </c>
      <c r="AS52" s="303">
        <f t="shared" si="97"/>
        <v>0</v>
      </c>
      <c r="AT52" s="303">
        <f t="shared" si="97"/>
        <v>0</v>
      </c>
      <c r="AU52" s="303">
        <f t="shared" si="97"/>
        <v>0</v>
      </c>
      <c r="AV52" s="303">
        <f t="shared" si="97"/>
        <v>0</v>
      </c>
      <c r="AW52" s="303">
        <f t="shared" si="97"/>
        <v>0</v>
      </c>
      <c r="AX52" s="303">
        <f t="shared" si="97"/>
        <v>0</v>
      </c>
      <c r="AY52" s="303">
        <f t="shared" si="97"/>
        <v>0</v>
      </c>
      <c r="AZ52" s="303">
        <f t="shared" si="97"/>
        <v>0</v>
      </c>
      <c r="BA52" s="303">
        <f t="shared" si="97"/>
        <v>0</v>
      </c>
      <c r="BB52" s="303">
        <f t="shared" si="97"/>
        <v>0</v>
      </c>
      <c r="BC52" s="303">
        <f t="shared" si="97"/>
        <v>0</v>
      </c>
      <c r="BD52" s="303">
        <f t="shared" si="97"/>
        <v>0</v>
      </c>
      <c r="BE52" s="303">
        <f t="shared" si="97"/>
        <v>0</v>
      </c>
      <c r="BF52" s="303">
        <f t="shared" si="97"/>
        <v>0</v>
      </c>
      <c r="BG52" s="303">
        <f t="shared" si="97"/>
        <v>0</v>
      </c>
      <c r="BH52" s="303">
        <f t="shared" si="97"/>
        <v>0</v>
      </c>
      <c r="BI52" s="303">
        <f t="shared" si="97"/>
        <v>0</v>
      </c>
      <c r="BJ52" s="303">
        <f t="shared" si="97"/>
        <v>0</v>
      </c>
      <c r="BK52" s="303">
        <f t="shared" si="97"/>
        <v>0</v>
      </c>
      <c r="BL52" s="303">
        <f t="shared" si="97"/>
        <v>0</v>
      </c>
      <c r="BM52" s="303">
        <f t="shared" si="97"/>
        <v>0</v>
      </c>
      <c r="BN52" s="303">
        <f t="shared" si="97"/>
        <v>0</v>
      </c>
      <c r="BO52" s="303">
        <f t="shared" si="97"/>
        <v>0</v>
      </c>
      <c r="BP52" s="303">
        <f t="shared" si="97"/>
        <v>0</v>
      </c>
      <c r="BQ52" s="303">
        <f t="shared" si="97"/>
        <v>0</v>
      </c>
      <c r="BR52" s="303">
        <f t="shared" si="97"/>
        <v>0</v>
      </c>
      <c r="BS52" s="303">
        <f t="shared" si="97"/>
        <v>0</v>
      </c>
      <c r="BT52" s="303">
        <f t="shared" ref="BT52:BU52" si="98">SUM(BT42:BT51)</f>
        <v>0</v>
      </c>
      <c r="BU52" s="303">
        <f t="shared" si="98"/>
        <v>0</v>
      </c>
    </row>
    <row r="53" spans="1:73" s="588" customFormat="1" ht="19.5" customHeight="1" thickBot="1">
      <c r="A53" s="1086" t="str">
        <f>'Работы - НН-ОЦО'!B80</f>
        <v xml:space="preserve">Фаза  3. Реализация.  Этап № 5. Реализация  </v>
      </c>
      <c r="B53" s="1087"/>
      <c r="C53" s="1087"/>
      <c r="D53" s="1087"/>
      <c r="E53" s="1087"/>
      <c r="F53" s="1087"/>
      <c r="G53" s="1087"/>
      <c r="H53" s="1087"/>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8"/>
      <c r="AH53" s="397"/>
      <c r="AI53" s="397"/>
      <c r="AJ53" s="397"/>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397"/>
      <c r="BJ53" s="397"/>
      <c r="BK53" s="397"/>
      <c r="BL53" s="397"/>
      <c r="BM53" s="397"/>
      <c r="BN53" s="397"/>
      <c r="BO53" s="397"/>
      <c r="BP53" s="397"/>
      <c r="BQ53" s="397"/>
      <c r="BR53" s="397"/>
      <c r="BS53" s="397"/>
      <c r="BT53" s="397"/>
      <c r="BU53" s="587"/>
    </row>
    <row r="54" spans="1:73" s="584" customFormat="1" ht="12.75" customHeight="1">
      <c r="A54" s="1069" t="s">
        <v>1578</v>
      </c>
      <c r="B54" s="1075" t="s">
        <v>1765</v>
      </c>
      <c r="C54" s="583" t="str">
        <f>B54</f>
        <v>Capex</v>
      </c>
      <c r="D54" s="1075"/>
      <c r="E54" s="436" t="s">
        <v>5</v>
      </c>
      <c r="F54" s="691" t="s">
        <v>1990</v>
      </c>
      <c r="G54" s="763"/>
      <c r="H54" s="775"/>
      <c r="I54" s="767"/>
      <c r="J54" s="767"/>
      <c r="K54" s="767"/>
      <c r="L54" s="767"/>
      <c r="M54" s="767"/>
      <c r="N54" s="767"/>
      <c r="O54" s="767"/>
      <c r="P54" s="767"/>
      <c r="Q54" s="767"/>
      <c r="R54" s="767"/>
      <c r="S54" s="768"/>
      <c r="T54" s="251">
        <f>SUM(H54:S54)</f>
        <v>0</v>
      </c>
      <c r="U54" s="787"/>
      <c r="V54" s="779"/>
      <c r="W54" s="779"/>
      <c r="X54" s="779"/>
      <c r="Y54" s="779"/>
      <c r="Z54" s="779"/>
      <c r="AA54" s="779"/>
      <c r="AB54" s="779"/>
      <c r="AC54" s="779"/>
      <c r="AD54" s="779"/>
      <c r="AE54" s="779"/>
      <c r="AF54" s="780"/>
      <c r="AG54" s="251">
        <f>SUM(U54:AF54)</f>
        <v>0</v>
      </c>
      <c r="AH54" s="802"/>
      <c r="AI54" s="794"/>
      <c r="AJ54" s="794"/>
      <c r="AK54" s="794"/>
      <c r="AL54" s="794"/>
      <c r="AM54" s="794"/>
      <c r="AN54" s="794"/>
      <c r="AO54" s="794"/>
      <c r="AP54" s="794"/>
      <c r="AQ54" s="794"/>
      <c r="AR54" s="794"/>
      <c r="AS54" s="795"/>
      <c r="AT54" s="251">
        <f>SUM(AH54:AS54)</f>
        <v>0</v>
      </c>
      <c r="AU54" s="439"/>
      <c r="AV54" s="249"/>
      <c r="AW54" s="249"/>
      <c r="AX54" s="249"/>
      <c r="AY54" s="249"/>
      <c r="AZ54" s="249"/>
      <c r="BA54" s="249"/>
      <c r="BB54" s="249"/>
      <c r="BC54" s="249"/>
      <c r="BD54" s="249"/>
      <c r="BE54" s="249"/>
      <c r="BF54" s="250"/>
      <c r="BG54" s="251">
        <f>SUM(AU54:BF54)</f>
        <v>0</v>
      </c>
      <c r="BH54" s="439"/>
      <c r="BI54" s="249"/>
      <c r="BJ54" s="249"/>
      <c r="BK54" s="249"/>
      <c r="BL54" s="249"/>
      <c r="BM54" s="249"/>
      <c r="BN54" s="249"/>
      <c r="BO54" s="249"/>
      <c r="BP54" s="249"/>
      <c r="BQ54" s="249"/>
      <c r="BR54" s="249"/>
      <c r="BS54" s="250"/>
      <c r="BT54" s="251">
        <f>SUM(BH54:BS54)</f>
        <v>0</v>
      </c>
      <c r="BU54" s="309">
        <f t="shared" ref="BU54:BU68" si="99">T54+AG54+AT54+G54+BG54+BT54</f>
        <v>0</v>
      </c>
    </row>
    <row r="55" spans="1:73" s="584" customFormat="1">
      <c r="A55" s="1070"/>
      <c r="B55" s="1076"/>
      <c r="C55" s="585" t="str">
        <f t="shared" ref="C55:C68" si="100">IF(B55=0,C54,B55)</f>
        <v>Capex</v>
      </c>
      <c r="D55" s="1076"/>
      <c r="E55" s="437" t="s">
        <v>6</v>
      </c>
      <c r="F55" s="691" t="s">
        <v>1990</v>
      </c>
      <c r="G55" s="764"/>
      <c r="H55" s="776"/>
      <c r="I55" s="769"/>
      <c r="J55" s="769"/>
      <c r="K55" s="769"/>
      <c r="L55" s="769"/>
      <c r="M55" s="769"/>
      <c r="N55" s="769"/>
      <c r="O55" s="769"/>
      <c r="P55" s="769"/>
      <c r="Q55" s="769"/>
      <c r="R55" s="769"/>
      <c r="S55" s="770"/>
      <c r="T55" s="254">
        <f t="shared" ref="T55:T68" si="101">SUM(H55:S55)</f>
        <v>0</v>
      </c>
      <c r="U55" s="788"/>
      <c r="V55" s="781"/>
      <c r="W55" s="781"/>
      <c r="X55" s="781"/>
      <c r="Y55" s="781"/>
      <c r="Z55" s="781"/>
      <c r="AA55" s="781"/>
      <c r="AB55" s="781"/>
      <c r="AC55" s="781"/>
      <c r="AD55" s="781"/>
      <c r="AE55" s="781"/>
      <c r="AF55" s="782"/>
      <c r="AG55" s="254">
        <f t="shared" ref="AG55:AG68" si="102">SUM(U55:AF55)</f>
        <v>0</v>
      </c>
      <c r="AH55" s="803"/>
      <c r="AI55" s="796"/>
      <c r="AJ55" s="796"/>
      <c r="AK55" s="796"/>
      <c r="AL55" s="796"/>
      <c r="AM55" s="796"/>
      <c r="AN55" s="796"/>
      <c r="AO55" s="796"/>
      <c r="AP55" s="796"/>
      <c r="AQ55" s="796"/>
      <c r="AR55" s="796"/>
      <c r="AS55" s="797"/>
      <c r="AT55" s="254">
        <f t="shared" ref="AT55:AT68" si="103">SUM(AH55:AS55)</f>
        <v>0</v>
      </c>
      <c r="AU55" s="440"/>
      <c r="AV55" s="252"/>
      <c r="AW55" s="252"/>
      <c r="AX55" s="252"/>
      <c r="AY55" s="252"/>
      <c r="AZ55" s="252"/>
      <c r="BA55" s="252"/>
      <c r="BB55" s="252"/>
      <c r="BC55" s="252"/>
      <c r="BD55" s="252"/>
      <c r="BE55" s="252"/>
      <c r="BF55" s="253"/>
      <c r="BG55" s="254">
        <f t="shared" ref="BG55:BG68" si="104">SUM(AU55:BF55)</f>
        <v>0</v>
      </c>
      <c r="BH55" s="440"/>
      <c r="BI55" s="252"/>
      <c r="BJ55" s="252"/>
      <c r="BK55" s="252"/>
      <c r="BL55" s="252"/>
      <c r="BM55" s="252"/>
      <c r="BN55" s="252"/>
      <c r="BO55" s="252"/>
      <c r="BP55" s="252"/>
      <c r="BQ55" s="252"/>
      <c r="BR55" s="252"/>
      <c r="BS55" s="253"/>
      <c r="BT55" s="254">
        <f t="shared" ref="BT55:BT68" si="105">SUM(BH55:BS55)</f>
        <v>0</v>
      </c>
      <c r="BU55" s="310">
        <f t="shared" si="99"/>
        <v>0</v>
      </c>
    </row>
    <row r="56" spans="1:73" s="584" customFormat="1">
      <c r="A56" s="1070"/>
      <c r="B56" s="1076"/>
      <c r="C56" s="585" t="str">
        <f t="shared" si="100"/>
        <v>Capex</v>
      </c>
      <c r="D56" s="1076"/>
      <c r="E56" s="437" t="s">
        <v>7</v>
      </c>
      <c r="F56" s="691" t="s">
        <v>1990</v>
      </c>
      <c r="G56" s="764"/>
      <c r="H56" s="776"/>
      <c r="I56" s="769"/>
      <c r="J56" s="769"/>
      <c r="K56" s="769"/>
      <c r="L56" s="769"/>
      <c r="M56" s="769"/>
      <c r="N56" s="769"/>
      <c r="O56" s="769"/>
      <c r="P56" s="769"/>
      <c r="Q56" s="769"/>
      <c r="R56" s="769"/>
      <c r="S56" s="770"/>
      <c r="T56" s="254">
        <f t="shared" si="101"/>
        <v>0</v>
      </c>
      <c r="U56" s="788"/>
      <c r="V56" s="781"/>
      <c r="W56" s="781"/>
      <c r="X56" s="781"/>
      <c r="Y56" s="781"/>
      <c r="Z56" s="781"/>
      <c r="AA56" s="781"/>
      <c r="AB56" s="781"/>
      <c r="AC56" s="781"/>
      <c r="AD56" s="781"/>
      <c r="AE56" s="781"/>
      <c r="AF56" s="782"/>
      <c r="AG56" s="254">
        <f t="shared" si="102"/>
        <v>0</v>
      </c>
      <c r="AH56" s="803"/>
      <c r="AI56" s="796"/>
      <c r="AJ56" s="796"/>
      <c r="AK56" s="796"/>
      <c r="AL56" s="796"/>
      <c r="AM56" s="796"/>
      <c r="AN56" s="796"/>
      <c r="AO56" s="796"/>
      <c r="AP56" s="796"/>
      <c r="AQ56" s="796"/>
      <c r="AR56" s="796"/>
      <c r="AS56" s="797"/>
      <c r="AT56" s="254">
        <f t="shared" si="103"/>
        <v>0</v>
      </c>
      <c r="AU56" s="440"/>
      <c r="AV56" s="252"/>
      <c r="AW56" s="252"/>
      <c r="AX56" s="252"/>
      <c r="AY56" s="252"/>
      <c r="AZ56" s="252"/>
      <c r="BA56" s="252"/>
      <c r="BB56" s="252"/>
      <c r="BC56" s="252"/>
      <c r="BD56" s="252"/>
      <c r="BE56" s="252"/>
      <c r="BF56" s="253"/>
      <c r="BG56" s="254">
        <f t="shared" si="104"/>
        <v>0</v>
      </c>
      <c r="BH56" s="440"/>
      <c r="BI56" s="252"/>
      <c r="BJ56" s="252"/>
      <c r="BK56" s="252"/>
      <c r="BL56" s="252"/>
      <c r="BM56" s="252"/>
      <c r="BN56" s="252"/>
      <c r="BO56" s="252"/>
      <c r="BP56" s="252"/>
      <c r="BQ56" s="252"/>
      <c r="BR56" s="252"/>
      <c r="BS56" s="253"/>
      <c r="BT56" s="254">
        <f t="shared" si="105"/>
        <v>0</v>
      </c>
      <c r="BU56" s="310">
        <f t="shared" si="99"/>
        <v>0</v>
      </c>
    </row>
    <row r="57" spans="1:73" s="584" customFormat="1">
      <c r="A57" s="1070"/>
      <c r="B57" s="1076"/>
      <c r="C57" s="585" t="str">
        <f t="shared" si="100"/>
        <v>Capex</v>
      </c>
      <c r="D57" s="1076"/>
      <c r="E57" s="437" t="s">
        <v>8</v>
      </c>
      <c r="F57" s="691" t="s">
        <v>1990</v>
      </c>
      <c r="G57" s="764"/>
      <c r="H57" s="776"/>
      <c r="I57" s="769"/>
      <c r="J57" s="769"/>
      <c r="K57" s="769"/>
      <c r="L57" s="769"/>
      <c r="M57" s="769"/>
      <c r="N57" s="769"/>
      <c r="O57" s="769"/>
      <c r="P57" s="769"/>
      <c r="Q57" s="769"/>
      <c r="R57" s="769"/>
      <c r="S57" s="770"/>
      <c r="T57" s="254">
        <f t="shared" si="101"/>
        <v>0</v>
      </c>
      <c r="U57" s="788"/>
      <c r="V57" s="781"/>
      <c r="W57" s="781"/>
      <c r="X57" s="781"/>
      <c r="Y57" s="781"/>
      <c r="Z57" s="781"/>
      <c r="AA57" s="781"/>
      <c r="AB57" s="781"/>
      <c r="AC57" s="781"/>
      <c r="AD57" s="781"/>
      <c r="AE57" s="781"/>
      <c r="AF57" s="782"/>
      <c r="AG57" s="254">
        <f t="shared" si="102"/>
        <v>0</v>
      </c>
      <c r="AH57" s="803"/>
      <c r="AI57" s="796"/>
      <c r="AJ57" s="796"/>
      <c r="AK57" s="796"/>
      <c r="AL57" s="796"/>
      <c r="AM57" s="796"/>
      <c r="AN57" s="796"/>
      <c r="AO57" s="796"/>
      <c r="AP57" s="796"/>
      <c r="AQ57" s="796"/>
      <c r="AR57" s="796"/>
      <c r="AS57" s="797"/>
      <c r="AT57" s="254">
        <f t="shared" si="103"/>
        <v>0</v>
      </c>
      <c r="AU57" s="440"/>
      <c r="AV57" s="252"/>
      <c r="AW57" s="252"/>
      <c r="AX57" s="252"/>
      <c r="AY57" s="252"/>
      <c r="AZ57" s="252"/>
      <c r="BA57" s="252"/>
      <c r="BB57" s="252"/>
      <c r="BC57" s="252"/>
      <c r="BD57" s="252"/>
      <c r="BE57" s="252"/>
      <c r="BF57" s="253"/>
      <c r="BG57" s="254">
        <f t="shared" si="104"/>
        <v>0</v>
      </c>
      <c r="BH57" s="440"/>
      <c r="BI57" s="252"/>
      <c r="BJ57" s="252"/>
      <c r="BK57" s="252"/>
      <c r="BL57" s="252"/>
      <c r="BM57" s="252"/>
      <c r="BN57" s="252"/>
      <c r="BO57" s="252"/>
      <c r="BP57" s="252"/>
      <c r="BQ57" s="252"/>
      <c r="BR57" s="252"/>
      <c r="BS57" s="253"/>
      <c r="BT57" s="254">
        <f t="shared" si="105"/>
        <v>0</v>
      </c>
      <c r="BU57" s="310">
        <f t="shared" si="99"/>
        <v>0</v>
      </c>
    </row>
    <row r="58" spans="1:73" s="584" customFormat="1" ht="13.5" thickBot="1">
      <c r="A58" s="1071"/>
      <c r="B58" s="1077"/>
      <c r="C58" s="586" t="str">
        <f t="shared" si="100"/>
        <v>Capex</v>
      </c>
      <c r="D58" s="1077"/>
      <c r="E58" s="438" t="s">
        <v>1694</v>
      </c>
      <c r="F58" s="691" t="s">
        <v>1990</v>
      </c>
      <c r="G58" s="765"/>
      <c r="H58" s="777"/>
      <c r="I58" s="771"/>
      <c r="J58" s="771"/>
      <c r="K58" s="771"/>
      <c r="L58" s="771"/>
      <c r="M58" s="771"/>
      <c r="N58" s="771"/>
      <c r="O58" s="771"/>
      <c r="P58" s="771"/>
      <c r="Q58" s="771"/>
      <c r="R58" s="771"/>
      <c r="S58" s="772"/>
      <c r="T58" s="257">
        <f t="shared" si="101"/>
        <v>0</v>
      </c>
      <c r="U58" s="789"/>
      <c r="V58" s="783"/>
      <c r="W58" s="783"/>
      <c r="X58" s="793">
        <v>200000</v>
      </c>
      <c r="Y58" s="783"/>
      <c r="Z58" s="793">
        <v>200000</v>
      </c>
      <c r="AA58" s="783"/>
      <c r="AB58" s="783"/>
      <c r="AC58" s="783"/>
      <c r="AD58" s="783"/>
      <c r="AE58" s="783"/>
      <c r="AF58" s="784"/>
      <c r="AG58" s="257">
        <f t="shared" si="102"/>
        <v>400000</v>
      </c>
      <c r="AH58" s="804"/>
      <c r="AI58" s="798"/>
      <c r="AJ58" s="798"/>
      <c r="AK58" s="798"/>
      <c r="AL58" s="798"/>
      <c r="AM58" s="798"/>
      <c r="AN58" s="798"/>
      <c r="AO58" s="798"/>
      <c r="AP58" s="798"/>
      <c r="AQ58" s="798"/>
      <c r="AR58" s="798"/>
      <c r="AS58" s="799"/>
      <c r="AT58" s="257">
        <f t="shared" si="103"/>
        <v>0</v>
      </c>
      <c r="AU58" s="441"/>
      <c r="AV58" s="255"/>
      <c r="AW58" s="255"/>
      <c r="AX58" s="255"/>
      <c r="AY58" s="255"/>
      <c r="AZ58" s="255"/>
      <c r="BA58" s="255"/>
      <c r="BB58" s="255"/>
      <c r="BC58" s="255"/>
      <c r="BD58" s="255"/>
      <c r="BE58" s="255"/>
      <c r="BF58" s="256"/>
      <c r="BG58" s="257">
        <f t="shared" si="104"/>
        <v>0</v>
      </c>
      <c r="BH58" s="441"/>
      <c r="BI58" s="255"/>
      <c r="BJ58" s="255"/>
      <c r="BK58" s="255"/>
      <c r="BL58" s="255"/>
      <c r="BM58" s="255"/>
      <c r="BN58" s="255"/>
      <c r="BO58" s="255"/>
      <c r="BP58" s="255"/>
      <c r="BQ58" s="255"/>
      <c r="BR58" s="255"/>
      <c r="BS58" s="256"/>
      <c r="BT58" s="257">
        <f t="shared" si="105"/>
        <v>0</v>
      </c>
      <c r="BU58" s="310">
        <f t="shared" si="99"/>
        <v>400000</v>
      </c>
    </row>
    <row r="59" spans="1:73" s="584" customFormat="1">
      <c r="A59" s="1069" t="s">
        <v>150</v>
      </c>
      <c r="B59" s="1072" t="s">
        <v>1764</v>
      </c>
      <c r="C59" s="583" t="str">
        <f>B59</f>
        <v>Opex</v>
      </c>
      <c r="D59" s="1075"/>
      <c r="E59" s="436" t="s">
        <v>5</v>
      </c>
      <c r="F59" s="691" t="s">
        <v>1990</v>
      </c>
      <c r="G59" s="763"/>
      <c r="H59" s="775"/>
      <c r="I59" s="767"/>
      <c r="J59" s="767"/>
      <c r="K59" s="767"/>
      <c r="L59" s="767"/>
      <c r="M59" s="767"/>
      <c r="N59" s="767"/>
      <c r="O59" s="767"/>
      <c r="P59" s="767"/>
      <c r="Q59" s="767"/>
      <c r="R59" s="767"/>
      <c r="S59" s="768"/>
      <c r="T59" s="251">
        <f t="shared" ref="T59:T63" si="106">SUM(H59:S59)</f>
        <v>0</v>
      </c>
      <c r="U59" s="787"/>
      <c r="V59" s="779"/>
      <c r="W59" s="779"/>
      <c r="X59" s="779"/>
      <c r="Y59" s="779"/>
      <c r="Z59" s="779"/>
      <c r="AA59" s="779"/>
      <c r="AB59" s="779"/>
      <c r="AC59" s="779"/>
      <c r="AD59" s="779"/>
      <c r="AE59" s="779"/>
      <c r="AF59" s="780"/>
      <c r="AG59" s="251">
        <f t="shared" ref="AG59:AG63" si="107">SUM(U59:AF59)</f>
        <v>0</v>
      </c>
      <c r="AH59" s="802"/>
      <c r="AI59" s="794"/>
      <c r="AJ59" s="794"/>
      <c r="AK59" s="794"/>
      <c r="AL59" s="794"/>
      <c r="AM59" s="794"/>
      <c r="AN59" s="794"/>
      <c r="AO59" s="794"/>
      <c r="AP59" s="794"/>
      <c r="AQ59" s="794"/>
      <c r="AR59" s="794"/>
      <c r="AS59" s="795"/>
      <c r="AT59" s="251">
        <f t="shared" ref="AT59:AT63" si="108">SUM(AH59:AS59)</f>
        <v>0</v>
      </c>
      <c r="AU59" s="439"/>
      <c r="AV59" s="249"/>
      <c r="AW59" s="249"/>
      <c r="AX59" s="249"/>
      <c r="AY59" s="249"/>
      <c r="AZ59" s="249"/>
      <c r="BA59" s="249"/>
      <c r="BB59" s="249"/>
      <c r="BC59" s="249"/>
      <c r="BD59" s="249"/>
      <c r="BE59" s="249"/>
      <c r="BF59" s="250"/>
      <c r="BG59" s="251">
        <f t="shared" ref="BG59:BG63" si="109">SUM(AU59:BF59)</f>
        <v>0</v>
      </c>
      <c r="BH59" s="439"/>
      <c r="BI59" s="249"/>
      <c r="BJ59" s="249"/>
      <c r="BK59" s="249"/>
      <c r="BL59" s="249"/>
      <c r="BM59" s="249"/>
      <c r="BN59" s="249"/>
      <c r="BO59" s="249"/>
      <c r="BP59" s="249"/>
      <c r="BQ59" s="249"/>
      <c r="BR59" s="249"/>
      <c r="BS59" s="250"/>
      <c r="BT59" s="251">
        <f t="shared" ref="BT59:BT63" si="110">SUM(BH59:BS59)</f>
        <v>0</v>
      </c>
      <c r="BU59" s="309">
        <f t="shared" ref="BU59:BU63" si="111">T59+AG59+AT59+G59+BG59+BT59</f>
        <v>0</v>
      </c>
    </row>
    <row r="60" spans="1:73" s="584" customFormat="1">
      <c r="A60" s="1070"/>
      <c r="B60" s="1073"/>
      <c r="C60" s="585" t="str">
        <f t="shared" ref="C60:C63" si="112">IF(B60=0,C59,B60)</f>
        <v>Opex</v>
      </c>
      <c r="D60" s="1076"/>
      <c r="E60" s="437" t="s">
        <v>6</v>
      </c>
      <c r="F60" s="691" t="s">
        <v>1990</v>
      </c>
      <c r="G60" s="764"/>
      <c r="H60" s="776"/>
      <c r="I60" s="769"/>
      <c r="J60" s="769"/>
      <c r="K60" s="769"/>
      <c r="L60" s="769"/>
      <c r="M60" s="769"/>
      <c r="N60" s="769"/>
      <c r="O60" s="769"/>
      <c r="P60" s="769"/>
      <c r="Q60" s="769"/>
      <c r="R60" s="769"/>
      <c r="S60" s="770"/>
      <c r="T60" s="254">
        <f t="shared" si="106"/>
        <v>0</v>
      </c>
      <c r="U60" s="788"/>
      <c r="V60" s="781"/>
      <c r="W60" s="781"/>
      <c r="X60" s="781"/>
      <c r="Y60" s="781"/>
      <c r="Z60" s="781"/>
      <c r="AA60" s="781"/>
      <c r="AB60" s="781"/>
      <c r="AC60" s="781"/>
      <c r="AD60" s="781"/>
      <c r="AE60" s="781"/>
      <c r="AF60" s="782"/>
      <c r="AG60" s="254">
        <f t="shared" si="107"/>
        <v>0</v>
      </c>
      <c r="AH60" s="803"/>
      <c r="AI60" s="796"/>
      <c r="AJ60" s="796"/>
      <c r="AK60" s="796"/>
      <c r="AL60" s="796"/>
      <c r="AM60" s="796"/>
      <c r="AN60" s="796"/>
      <c r="AO60" s="796"/>
      <c r="AP60" s="796"/>
      <c r="AQ60" s="796"/>
      <c r="AR60" s="796"/>
      <c r="AS60" s="797"/>
      <c r="AT60" s="254">
        <f t="shared" si="108"/>
        <v>0</v>
      </c>
      <c r="AU60" s="440"/>
      <c r="AV60" s="252"/>
      <c r="AW60" s="252"/>
      <c r="AX60" s="252"/>
      <c r="AY60" s="252"/>
      <c r="AZ60" s="252"/>
      <c r="BA60" s="252"/>
      <c r="BB60" s="252"/>
      <c r="BC60" s="252"/>
      <c r="BD60" s="252"/>
      <c r="BE60" s="252"/>
      <c r="BF60" s="253"/>
      <c r="BG60" s="254">
        <f t="shared" si="109"/>
        <v>0</v>
      </c>
      <c r="BH60" s="440"/>
      <c r="BI60" s="252"/>
      <c r="BJ60" s="252"/>
      <c r="BK60" s="252"/>
      <c r="BL60" s="252"/>
      <c r="BM60" s="252"/>
      <c r="BN60" s="252"/>
      <c r="BO60" s="252"/>
      <c r="BP60" s="252"/>
      <c r="BQ60" s="252"/>
      <c r="BR60" s="252"/>
      <c r="BS60" s="253"/>
      <c r="BT60" s="254">
        <f t="shared" si="110"/>
        <v>0</v>
      </c>
      <c r="BU60" s="310">
        <f t="shared" si="111"/>
        <v>0</v>
      </c>
    </row>
    <row r="61" spans="1:73" s="584" customFormat="1">
      <c r="A61" s="1070"/>
      <c r="B61" s="1073"/>
      <c r="C61" s="585" t="str">
        <f t="shared" si="112"/>
        <v>Opex</v>
      </c>
      <c r="D61" s="1076"/>
      <c r="E61" s="437" t="s">
        <v>7</v>
      </c>
      <c r="F61" s="691" t="s">
        <v>1990</v>
      </c>
      <c r="G61" s="764"/>
      <c r="H61" s="776"/>
      <c r="I61" s="769"/>
      <c r="J61" s="769"/>
      <c r="K61" s="769"/>
      <c r="L61" s="769"/>
      <c r="M61" s="769"/>
      <c r="N61" s="769"/>
      <c r="O61" s="769"/>
      <c r="P61" s="769"/>
      <c r="Q61" s="769"/>
      <c r="R61" s="769"/>
      <c r="S61" s="770"/>
      <c r="T61" s="254">
        <f t="shared" si="106"/>
        <v>0</v>
      </c>
      <c r="U61" s="788"/>
      <c r="V61" s="781"/>
      <c r="W61" s="781"/>
      <c r="X61" s="781"/>
      <c r="Y61" s="781"/>
      <c r="Z61" s="781"/>
      <c r="AA61" s="781"/>
      <c r="AB61" s="781"/>
      <c r="AC61" s="781"/>
      <c r="AD61" s="781"/>
      <c r="AE61" s="781"/>
      <c r="AF61" s="782"/>
      <c r="AG61" s="254">
        <f t="shared" si="107"/>
        <v>0</v>
      </c>
      <c r="AH61" s="803"/>
      <c r="AI61" s="796"/>
      <c r="AJ61" s="796"/>
      <c r="AK61" s="796"/>
      <c r="AL61" s="796"/>
      <c r="AM61" s="796"/>
      <c r="AN61" s="796"/>
      <c r="AO61" s="796"/>
      <c r="AP61" s="796"/>
      <c r="AQ61" s="796"/>
      <c r="AR61" s="796"/>
      <c r="AS61" s="797"/>
      <c r="AT61" s="254">
        <f t="shared" si="108"/>
        <v>0</v>
      </c>
      <c r="AU61" s="440"/>
      <c r="AV61" s="252"/>
      <c r="AW61" s="252"/>
      <c r="AX61" s="252"/>
      <c r="AY61" s="252"/>
      <c r="AZ61" s="252"/>
      <c r="BA61" s="252"/>
      <c r="BB61" s="252"/>
      <c r="BC61" s="252"/>
      <c r="BD61" s="252"/>
      <c r="BE61" s="252"/>
      <c r="BF61" s="253"/>
      <c r="BG61" s="254">
        <f t="shared" si="109"/>
        <v>0</v>
      </c>
      <c r="BH61" s="440"/>
      <c r="BI61" s="252"/>
      <c r="BJ61" s="252"/>
      <c r="BK61" s="252"/>
      <c r="BL61" s="252"/>
      <c r="BM61" s="252"/>
      <c r="BN61" s="252"/>
      <c r="BO61" s="252"/>
      <c r="BP61" s="252"/>
      <c r="BQ61" s="252"/>
      <c r="BR61" s="252"/>
      <c r="BS61" s="253"/>
      <c r="BT61" s="254">
        <f t="shared" si="110"/>
        <v>0</v>
      </c>
      <c r="BU61" s="310">
        <f t="shared" si="111"/>
        <v>0</v>
      </c>
    </row>
    <row r="62" spans="1:73" s="584" customFormat="1">
      <c r="A62" s="1070"/>
      <c r="B62" s="1073"/>
      <c r="C62" s="585" t="str">
        <f t="shared" si="112"/>
        <v>Opex</v>
      </c>
      <c r="D62" s="1076"/>
      <c r="E62" s="437" t="s">
        <v>8</v>
      </c>
      <c r="F62" s="691" t="s">
        <v>1990</v>
      </c>
      <c r="G62" s="764"/>
      <c r="H62" s="776"/>
      <c r="I62" s="769"/>
      <c r="J62" s="769"/>
      <c r="K62" s="769"/>
      <c r="L62" s="769"/>
      <c r="M62" s="769"/>
      <c r="N62" s="769"/>
      <c r="O62" s="769"/>
      <c r="P62" s="769"/>
      <c r="Q62" s="769"/>
      <c r="R62" s="769"/>
      <c r="S62" s="770"/>
      <c r="T62" s="254">
        <f t="shared" si="106"/>
        <v>0</v>
      </c>
      <c r="U62" s="788"/>
      <c r="V62" s="781"/>
      <c r="W62" s="781"/>
      <c r="X62" s="781"/>
      <c r="Y62" s="781"/>
      <c r="Z62" s="781"/>
      <c r="AA62" s="781"/>
      <c r="AB62" s="781"/>
      <c r="AC62" s="781"/>
      <c r="AD62" s="781"/>
      <c r="AE62" s="781"/>
      <c r="AF62" s="782"/>
      <c r="AG62" s="254">
        <f t="shared" si="107"/>
        <v>0</v>
      </c>
      <c r="AH62" s="803"/>
      <c r="AI62" s="796"/>
      <c r="AJ62" s="796"/>
      <c r="AK62" s="796"/>
      <c r="AL62" s="796"/>
      <c r="AM62" s="796"/>
      <c r="AN62" s="796"/>
      <c r="AO62" s="796"/>
      <c r="AP62" s="796"/>
      <c r="AQ62" s="796"/>
      <c r="AR62" s="796"/>
      <c r="AS62" s="797"/>
      <c r="AT62" s="254">
        <f t="shared" si="108"/>
        <v>0</v>
      </c>
      <c r="AU62" s="440"/>
      <c r="AV62" s="252"/>
      <c r="AW62" s="252"/>
      <c r="AX62" s="252"/>
      <c r="AY62" s="252"/>
      <c r="AZ62" s="252"/>
      <c r="BA62" s="252"/>
      <c r="BB62" s="252"/>
      <c r="BC62" s="252"/>
      <c r="BD62" s="252"/>
      <c r="BE62" s="252"/>
      <c r="BF62" s="253"/>
      <c r="BG62" s="254">
        <f t="shared" si="109"/>
        <v>0</v>
      </c>
      <c r="BH62" s="440"/>
      <c r="BI62" s="252"/>
      <c r="BJ62" s="252"/>
      <c r="BK62" s="252"/>
      <c r="BL62" s="252"/>
      <c r="BM62" s="252"/>
      <c r="BN62" s="252"/>
      <c r="BO62" s="252"/>
      <c r="BP62" s="252"/>
      <c r="BQ62" s="252"/>
      <c r="BR62" s="252"/>
      <c r="BS62" s="253"/>
      <c r="BT62" s="254">
        <f t="shared" si="110"/>
        <v>0</v>
      </c>
      <c r="BU62" s="310">
        <f t="shared" si="111"/>
        <v>0</v>
      </c>
    </row>
    <row r="63" spans="1:73" s="584" customFormat="1" ht="13.5" thickBot="1">
      <c r="A63" s="1071"/>
      <c r="B63" s="1074"/>
      <c r="C63" s="586" t="str">
        <f t="shared" si="112"/>
        <v>Opex</v>
      </c>
      <c r="D63" s="1077"/>
      <c r="E63" s="438" t="s">
        <v>1694</v>
      </c>
      <c r="F63" s="691" t="s">
        <v>1990</v>
      </c>
      <c r="G63" s="766"/>
      <c r="H63" s="778"/>
      <c r="I63" s="773"/>
      <c r="J63" s="773"/>
      <c r="K63" s="773"/>
      <c r="L63" s="773"/>
      <c r="M63" s="773"/>
      <c r="N63" s="773"/>
      <c r="O63" s="773"/>
      <c r="P63" s="773"/>
      <c r="Q63" s="773"/>
      <c r="R63" s="773"/>
      <c r="S63" s="774"/>
      <c r="T63" s="260">
        <f t="shared" si="106"/>
        <v>0</v>
      </c>
      <c r="U63" s="791"/>
      <c r="V63" s="792"/>
      <c r="W63" s="785"/>
      <c r="X63" s="785"/>
      <c r="Y63" s="785"/>
      <c r="Z63" s="785"/>
      <c r="AA63" s="785"/>
      <c r="AB63" s="785"/>
      <c r="AC63" s="785"/>
      <c r="AD63" s="785"/>
      <c r="AE63" s="785"/>
      <c r="AF63" s="786"/>
      <c r="AG63" s="260">
        <f t="shared" si="107"/>
        <v>0</v>
      </c>
      <c r="AH63" s="806">
        <v>200000</v>
      </c>
      <c r="AI63" s="807">
        <v>200000</v>
      </c>
      <c r="AJ63" s="800"/>
      <c r="AK63" s="800"/>
      <c r="AL63" s="800"/>
      <c r="AM63" s="800"/>
      <c r="AN63" s="800"/>
      <c r="AO63" s="800"/>
      <c r="AP63" s="800"/>
      <c r="AQ63" s="800"/>
      <c r="AR63" s="800"/>
      <c r="AS63" s="801"/>
      <c r="AT63" s="260">
        <f t="shared" si="108"/>
        <v>400000</v>
      </c>
      <c r="AU63" s="442"/>
      <c r="AV63" s="258"/>
      <c r="AW63" s="258"/>
      <c r="AX63" s="258"/>
      <c r="AY63" s="258"/>
      <c r="AZ63" s="258"/>
      <c r="BA63" s="258"/>
      <c r="BB63" s="258"/>
      <c r="BC63" s="258"/>
      <c r="BD63" s="258"/>
      <c r="BE63" s="258"/>
      <c r="BF63" s="259"/>
      <c r="BG63" s="260">
        <f t="shared" si="109"/>
        <v>0</v>
      </c>
      <c r="BH63" s="442"/>
      <c r="BI63" s="258"/>
      <c r="BJ63" s="258"/>
      <c r="BK63" s="258"/>
      <c r="BL63" s="258"/>
      <c r="BM63" s="258"/>
      <c r="BN63" s="258"/>
      <c r="BO63" s="258"/>
      <c r="BP63" s="258"/>
      <c r="BQ63" s="258"/>
      <c r="BR63" s="258"/>
      <c r="BS63" s="259"/>
      <c r="BT63" s="260">
        <f t="shared" si="110"/>
        <v>0</v>
      </c>
      <c r="BU63" s="310">
        <f t="shared" si="111"/>
        <v>400000</v>
      </c>
    </row>
    <row r="64" spans="1:73" s="584" customFormat="1">
      <c r="A64" s="1078" t="s">
        <v>151</v>
      </c>
      <c r="B64" s="1072" t="s">
        <v>1765</v>
      </c>
      <c r="C64" s="583" t="str">
        <f>B64</f>
        <v>Capex</v>
      </c>
      <c r="D64" s="1075"/>
      <c r="E64" s="436" t="s">
        <v>5</v>
      </c>
      <c r="F64" s="691" t="s">
        <v>1990</v>
      </c>
      <c r="G64" s="763"/>
      <c r="H64" s="775"/>
      <c r="I64" s="767"/>
      <c r="J64" s="767"/>
      <c r="K64" s="767"/>
      <c r="L64" s="767"/>
      <c r="M64" s="767"/>
      <c r="N64" s="767"/>
      <c r="O64" s="767"/>
      <c r="P64" s="767"/>
      <c r="Q64" s="767"/>
      <c r="R64" s="767"/>
      <c r="S64" s="768"/>
      <c r="T64" s="251">
        <f t="shared" si="101"/>
        <v>0</v>
      </c>
      <c r="U64" s="787"/>
      <c r="V64" s="779"/>
      <c r="W64" s="779"/>
      <c r="X64" s="779"/>
      <c r="Y64" s="779"/>
      <c r="Z64" s="779"/>
      <c r="AA64" s="779"/>
      <c r="AB64" s="779"/>
      <c r="AC64" s="779"/>
      <c r="AD64" s="779"/>
      <c r="AE64" s="779"/>
      <c r="AF64" s="780"/>
      <c r="AG64" s="251">
        <f t="shared" si="102"/>
        <v>0</v>
      </c>
      <c r="AH64" s="802"/>
      <c r="AI64" s="794"/>
      <c r="AJ64" s="794"/>
      <c r="AK64" s="794"/>
      <c r="AL64" s="794"/>
      <c r="AM64" s="794"/>
      <c r="AN64" s="794"/>
      <c r="AO64" s="794"/>
      <c r="AP64" s="794"/>
      <c r="AQ64" s="794"/>
      <c r="AR64" s="794"/>
      <c r="AS64" s="795"/>
      <c r="AT64" s="251">
        <f t="shared" si="103"/>
        <v>0</v>
      </c>
      <c r="AU64" s="439"/>
      <c r="AV64" s="249"/>
      <c r="AW64" s="249"/>
      <c r="AX64" s="249"/>
      <c r="AY64" s="249"/>
      <c r="AZ64" s="249"/>
      <c r="BA64" s="249"/>
      <c r="BB64" s="249"/>
      <c r="BC64" s="249"/>
      <c r="BD64" s="249"/>
      <c r="BE64" s="249"/>
      <c r="BF64" s="250"/>
      <c r="BG64" s="251">
        <f t="shared" si="104"/>
        <v>0</v>
      </c>
      <c r="BH64" s="439"/>
      <c r="BI64" s="249"/>
      <c r="BJ64" s="249"/>
      <c r="BK64" s="249"/>
      <c r="BL64" s="249"/>
      <c r="BM64" s="249"/>
      <c r="BN64" s="249"/>
      <c r="BO64" s="249"/>
      <c r="BP64" s="249"/>
      <c r="BQ64" s="249"/>
      <c r="BR64" s="249"/>
      <c r="BS64" s="250"/>
      <c r="BT64" s="251">
        <f t="shared" si="105"/>
        <v>0</v>
      </c>
      <c r="BU64" s="309">
        <f t="shared" si="99"/>
        <v>0</v>
      </c>
    </row>
    <row r="65" spans="1:73" s="584" customFormat="1">
      <c r="A65" s="1070"/>
      <c r="B65" s="1073"/>
      <c r="C65" s="585" t="str">
        <f t="shared" si="100"/>
        <v>Capex</v>
      </c>
      <c r="D65" s="1076"/>
      <c r="E65" s="437" t="s">
        <v>6</v>
      </c>
      <c r="F65" s="691" t="s">
        <v>1990</v>
      </c>
      <c r="G65" s="764"/>
      <c r="H65" s="776"/>
      <c r="I65" s="769"/>
      <c r="J65" s="769"/>
      <c r="K65" s="769"/>
      <c r="L65" s="769"/>
      <c r="M65" s="769"/>
      <c r="N65" s="769"/>
      <c r="O65" s="769"/>
      <c r="P65" s="769"/>
      <c r="Q65" s="769"/>
      <c r="R65" s="769"/>
      <c r="S65" s="770"/>
      <c r="T65" s="254">
        <f t="shared" si="101"/>
        <v>0</v>
      </c>
      <c r="U65" s="788"/>
      <c r="V65" s="781"/>
      <c r="W65" s="781"/>
      <c r="X65" s="781"/>
      <c r="Y65" s="781"/>
      <c r="Z65" s="781"/>
      <c r="AA65" s="781"/>
      <c r="AB65" s="781"/>
      <c r="AC65" s="781"/>
      <c r="AD65" s="781"/>
      <c r="AE65" s="781"/>
      <c r="AF65" s="782"/>
      <c r="AG65" s="254">
        <f t="shared" si="102"/>
        <v>0</v>
      </c>
      <c r="AH65" s="803"/>
      <c r="AI65" s="796"/>
      <c r="AJ65" s="796"/>
      <c r="AK65" s="796"/>
      <c r="AL65" s="796"/>
      <c r="AM65" s="796"/>
      <c r="AN65" s="796"/>
      <c r="AO65" s="796"/>
      <c r="AP65" s="796"/>
      <c r="AQ65" s="796"/>
      <c r="AR65" s="796"/>
      <c r="AS65" s="797"/>
      <c r="AT65" s="254">
        <f t="shared" si="103"/>
        <v>0</v>
      </c>
      <c r="AU65" s="440"/>
      <c r="AV65" s="252"/>
      <c r="AW65" s="252"/>
      <c r="AX65" s="252"/>
      <c r="AY65" s="252"/>
      <c r="AZ65" s="252"/>
      <c r="BA65" s="252"/>
      <c r="BB65" s="252"/>
      <c r="BC65" s="252"/>
      <c r="BD65" s="252"/>
      <c r="BE65" s="252"/>
      <c r="BF65" s="253"/>
      <c r="BG65" s="254">
        <f t="shared" si="104"/>
        <v>0</v>
      </c>
      <c r="BH65" s="440"/>
      <c r="BI65" s="252"/>
      <c r="BJ65" s="252"/>
      <c r="BK65" s="252"/>
      <c r="BL65" s="252"/>
      <c r="BM65" s="252"/>
      <c r="BN65" s="252"/>
      <c r="BO65" s="252"/>
      <c r="BP65" s="252"/>
      <c r="BQ65" s="252"/>
      <c r="BR65" s="252"/>
      <c r="BS65" s="253"/>
      <c r="BT65" s="254">
        <f t="shared" si="105"/>
        <v>0</v>
      </c>
      <c r="BU65" s="310">
        <f t="shared" si="99"/>
        <v>0</v>
      </c>
    </row>
    <row r="66" spans="1:73" s="584" customFormat="1">
      <c r="A66" s="1070"/>
      <c r="B66" s="1073"/>
      <c r="C66" s="585" t="str">
        <f t="shared" si="100"/>
        <v>Capex</v>
      </c>
      <c r="D66" s="1076"/>
      <c r="E66" s="437" t="s">
        <v>7</v>
      </c>
      <c r="F66" s="691" t="s">
        <v>1990</v>
      </c>
      <c r="G66" s="764"/>
      <c r="H66" s="776"/>
      <c r="I66" s="769"/>
      <c r="J66" s="769"/>
      <c r="K66" s="769"/>
      <c r="L66" s="769"/>
      <c r="M66" s="769"/>
      <c r="N66" s="769"/>
      <c r="O66" s="769"/>
      <c r="P66" s="769"/>
      <c r="Q66" s="769"/>
      <c r="R66" s="769"/>
      <c r="S66" s="770"/>
      <c r="T66" s="254">
        <f t="shared" si="101"/>
        <v>0</v>
      </c>
      <c r="U66" s="788"/>
      <c r="V66" s="781"/>
      <c r="W66" s="781"/>
      <c r="X66" s="781"/>
      <c r="Y66" s="781"/>
      <c r="Z66" s="781"/>
      <c r="AA66" s="781"/>
      <c r="AB66" s="781"/>
      <c r="AC66" s="781"/>
      <c r="AD66" s="781"/>
      <c r="AE66" s="781"/>
      <c r="AF66" s="782"/>
      <c r="AG66" s="254">
        <f t="shared" si="102"/>
        <v>0</v>
      </c>
      <c r="AH66" s="803"/>
      <c r="AI66" s="796"/>
      <c r="AJ66" s="796"/>
      <c r="AK66" s="796"/>
      <c r="AL66" s="796"/>
      <c r="AM66" s="796"/>
      <c r="AN66" s="796"/>
      <c r="AO66" s="796"/>
      <c r="AP66" s="796"/>
      <c r="AQ66" s="796"/>
      <c r="AR66" s="796"/>
      <c r="AS66" s="797"/>
      <c r="AT66" s="254">
        <f t="shared" si="103"/>
        <v>0</v>
      </c>
      <c r="AU66" s="440"/>
      <c r="AV66" s="252"/>
      <c r="AW66" s="252"/>
      <c r="AX66" s="252"/>
      <c r="AY66" s="252"/>
      <c r="AZ66" s="252"/>
      <c r="BA66" s="252"/>
      <c r="BB66" s="252"/>
      <c r="BC66" s="252"/>
      <c r="BD66" s="252"/>
      <c r="BE66" s="252"/>
      <c r="BF66" s="253"/>
      <c r="BG66" s="254">
        <f t="shared" si="104"/>
        <v>0</v>
      </c>
      <c r="BH66" s="440"/>
      <c r="BI66" s="252"/>
      <c r="BJ66" s="252"/>
      <c r="BK66" s="252"/>
      <c r="BL66" s="252"/>
      <c r="BM66" s="252"/>
      <c r="BN66" s="252"/>
      <c r="BO66" s="252"/>
      <c r="BP66" s="252"/>
      <c r="BQ66" s="252"/>
      <c r="BR66" s="252"/>
      <c r="BS66" s="253"/>
      <c r="BT66" s="254">
        <f t="shared" si="105"/>
        <v>0</v>
      </c>
      <c r="BU66" s="310">
        <f t="shared" si="99"/>
        <v>0</v>
      </c>
    </row>
    <row r="67" spans="1:73" s="584" customFormat="1">
      <c r="A67" s="1070"/>
      <c r="B67" s="1073"/>
      <c r="C67" s="585" t="str">
        <f t="shared" si="100"/>
        <v>Capex</v>
      </c>
      <c r="D67" s="1076"/>
      <c r="E67" s="437" t="s">
        <v>8</v>
      </c>
      <c r="F67" s="691" t="s">
        <v>1990</v>
      </c>
      <c r="G67" s="764"/>
      <c r="H67" s="776"/>
      <c r="I67" s="769"/>
      <c r="J67" s="769"/>
      <c r="K67" s="769"/>
      <c r="L67" s="769"/>
      <c r="M67" s="769"/>
      <c r="N67" s="769"/>
      <c r="O67" s="769"/>
      <c r="P67" s="769"/>
      <c r="Q67" s="769"/>
      <c r="R67" s="769"/>
      <c r="S67" s="770"/>
      <c r="T67" s="254">
        <f t="shared" si="101"/>
        <v>0</v>
      </c>
      <c r="U67" s="788"/>
      <c r="V67" s="781"/>
      <c r="W67" s="781"/>
      <c r="X67" s="781"/>
      <c r="Y67" s="781"/>
      <c r="Z67" s="781"/>
      <c r="AA67" s="781"/>
      <c r="AB67" s="781"/>
      <c r="AC67" s="781"/>
      <c r="AD67" s="781"/>
      <c r="AE67" s="781"/>
      <c r="AF67" s="782"/>
      <c r="AG67" s="254">
        <f t="shared" si="102"/>
        <v>0</v>
      </c>
      <c r="AH67" s="803"/>
      <c r="AI67" s="796"/>
      <c r="AJ67" s="796"/>
      <c r="AK67" s="796"/>
      <c r="AL67" s="796"/>
      <c r="AM67" s="796"/>
      <c r="AN67" s="796"/>
      <c r="AO67" s="796"/>
      <c r="AP67" s="796"/>
      <c r="AQ67" s="796"/>
      <c r="AR67" s="796"/>
      <c r="AS67" s="797"/>
      <c r="AT67" s="254">
        <f t="shared" si="103"/>
        <v>0</v>
      </c>
      <c r="AU67" s="440"/>
      <c r="AV67" s="252"/>
      <c r="AW67" s="252"/>
      <c r="AX67" s="252"/>
      <c r="AY67" s="252"/>
      <c r="AZ67" s="252"/>
      <c r="BA67" s="252"/>
      <c r="BB67" s="252"/>
      <c r="BC67" s="252"/>
      <c r="BD67" s="252"/>
      <c r="BE67" s="252"/>
      <c r="BF67" s="253"/>
      <c r="BG67" s="254">
        <f t="shared" si="104"/>
        <v>0</v>
      </c>
      <c r="BH67" s="440"/>
      <c r="BI67" s="252"/>
      <c r="BJ67" s="252"/>
      <c r="BK67" s="252"/>
      <c r="BL67" s="252"/>
      <c r="BM67" s="252"/>
      <c r="BN67" s="252"/>
      <c r="BO67" s="252"/>
      <c r="BP67" s="252"/>
      <c r="BQ67" s="252"/>
      <c r="BR67" s="252"/>
      <c r="BS67" s="253"/>
      <c r="BT67" s="254">
        <f t="shared" si="105"/>
        <v>0</v>
      </c>
      <c r="BU67" s="310">
        <f t="shared" si="99"/>
        <v>0</v>
      </c>
    </row>
    <row r="68" spans="1:73" s="584" customFormat="1" ht="13.5" thickBot="1">
      <c r="A68" s="1071"/>
      <c r="B68" s="1074"/>
      <c r="C68" s="586" t="str">
        <f t="shared" si="100"/>
        <v>Capex</v>
      </c>
      <c r="D68" s="1077"/>
      <c r="E68" s="438" t="s">
        <v>1694</v>
      </c>
      <c r="F68" s="691" t="s">
        <v>1990</v>
      </c>
      <c r="G68" s="766"/>
      <c r="H68" s="778"/>
      <c r="I68" s="773"/>
      <c r="J68" s="773"/>
      <c r="K68" s="773"/>
      <c r="L68" s="773"/>
      <c r="M68" s="773"/>
      <c r="N68" s="773"/>
      <c r="O68" s="773"/>
      <c r="P68" s="773"/>
      <c r="Q68" s="773"/>
      <c r="R68" s="773"/>
      <c r="S68" s="774"/>
      <c r="T68" s="260">
        <f t="shared" si="101"/>
        <v>0</v>
      </c>
      <c r="U68" s="790"/>
      <c r="V68" s="785"/>
      <c r="W68" s="785"/>
      <c r="X68" s="785"/>
      <c r="Y68" s="785"/>
      <c r="Z68" s="785"/>
      <c r="AA68" s="785"/>
      <c r="AB68" s="785"/>
      <c r="AC68" s="785"/>
      <c r="AD68" s="785"/>
      <c r="AE68" s="785"/>
      <c r="AF68" s="786"/>
      <c r="AG68" s="260">
        <f t="shared" si="102"/>
        <v>0</v>
      </c>
      <c r="AH68" s="805"/>
      <c r="AI68" s="800"/>
      <c r="AJ68" s="800"/>
      <c r="AK68" s="800"/>
      <c r="AL68" s="800"/>
      <c r="AM68" s="807">
        <v>200000</v>
      </c>
      <c r="AN68" s="800"/>
      <c r="AO68" s="800"/>
      <c r="AP68" s="800"/>
      <c r="AQ68" s="800"/>
      <c r="AR68" s="800"/>
      <c r="AS68" s="801"/>
      <c r="AT68" s="260">
        <f t="shared" si="103"/>
        <v>200000</v>
      </c>
      <c r="AU68" s="442"/>
      <c r="AV68" s="258"/>
      <c r="AW68" s="258"/>
      <c r="AX68" s="258"/>
      <c r="AY68" s="258"/>
      <c r="AZ68" s="258"/>
      <c r="BA68" s="258"/>
      <c r="BB68" s="258"/>
      <c r="BC68" s="258"/>
      <c r="BD68" s="258"/>
      <c r="BE68" s="258"/>
      <c r="BF68" s="259"/>
      <c r="BG68" s="260">
        <f t="shared" si="104"/>
        <v>0</v>
      </c>
      <c r="BH68" s="442"/>
      <c r="BI68" s="258"/>
      <c r="BJ68" s="258"/>
      <c r="BK68" s="258"/>
      <c r="BL68" s="258"/>
      <c r="BM68" s="258"/>
      <c r="BN68" s="258"/>
      <c r="BO68" s="258"/>
      <c r="BP68" s="258"/>
      <c r="BQ68" s="258"/>
      <c r="BR68" s="258"/>
      <c r="BS68" s="259"/>
      <c r="BT68" s="260">
        <f t="shared" si="105"/>
        <v>0</v>
      </c>
      <c r="BU68" s="310">
        <f t="shared" si="99"/>
        <v>200000</v>
      </c>
    </row>
    <row r="69" spans="1:73" ht="13.5" thickBot="1">
      <c r="A69" s="1094" t="s">
        <v>72</v>
      </c>
      <c r="B69" s="1095"/>
      <c r="C69" s="1095"/>
      <c r="D69" s="1095"/>
      <c r="E69" s="1095"/>
      <c r="F69" s="653"/>
      <c r="G69" s="303">
        <f t="shared" ref="G69:AL69" si="113">SUM(G54:G68)</f>
        <v>0</v>
      </c>
      <c r="H69" s="303">
        <f t="shared" si="113"/>
        <v>0</v>
      </c>
      <c r="I69" s="303">
        <f t="shared" si="113"/>
        <v>0</v>
      </c>
      <c r="J69" s="303">
        <f t="shared" si="113"/>
        <v>0</v>
      </c>
      <c r="K69" s="303">
        <f t="shared" si="113"/>
        <v>0</v>
      </c>
      <c r="L69" s="303">
        <f t="shared" si="113"/>
        <v>0</v>
      </c>
      <c r="M69" s="303">
        <f t="shared" si="113"/>
        <v>0</v>
      </c>
      <c r="N69" s="303">
        <f t="shared" si="113"/>
        <v>0</v>
      </c>
      <c r="O69" s="303">
        <f t="shared" si="113"/>
        <v>0</v>
      </c>
      <c r="P69" s="303">
        <f t="shared" si="113"/>
        <v>0</v>
      </c>
      <c r="Q69" s="303">
        <f t="shared" si="113"/>
        <v>0</v>
      </c>
      <c r="R69" s="303">
        <f t="shared" si="113"/>
        <v>0</v>
      </c>
      <c r="S69" s="303">
        <f t="shared" si="113"/>
        <v>0</v>
      </c>
      <c r="T69" s="303">
        <f t="shared" si="113"/>
        <v>0</v>
      </c>
      <c r="U69" s="303">
        <f t="shared" si="113"/>
        <v>0</v>
      </c>
      <c r="V69" s="303">
        <f t="shared" si="113"/>
        <v>0</v>
      </c>
      <c r="W69" s="303">
        <f t="shared" si="113"/>
        <v>0</v>
      </c>
      <c r="X69" s="303">
        <f t="shared" si="113"/>
        <v>200000</v>
      </c>
      <c r="Y69" s="303">
        <f t="shared" si="113"/>
        <v>0</v>
      </c>
      <c r="Z69" s="303">
        <f t="shared" si="113"/>
        <v>200000</v>
      </c>
      <c r="AA69" s="303">
        <f t="shared" si="113"/>
        <v>0</v>
      </c>
      <c r="AB69" s="303">
        <f t="shared" si="113"/>
        <v>0</v>
      </c>
      <c r="AC69" s="303">
        <f t="shared" si="113"/>
        <v>0</v>
      </c>
      <c r="AD69" s="303">
        <f t="shared" si="113"/>
        <v>0</v>
      </c>
      <c r="AE69" s="303">
        <f t="shared" si="113"/>
        <v>0</v>
      </c>
      <c r="AF69" s="303">
        <f t="shared" si="113"/>
        <v>0</v>
      </c>
      <c r="AG69" s="303">
        <f t="shared" si="113"/>
        <v>400000</v>
      </c>
      <c r="AH69" s="303">
        <f t="shared" si="113"/>
        <v>200000</v>
      </c>
      <c r="AI69" s="303">
        <f t="shared" si="113"/>
        <v>200000</v>
      </c>
      <c r="AJ69" s="303">
        <f t="shared" si="113"/>
        <v>0</v>
      </c>
      <c r="AK69" s="303">
        <f t="shared" si="113"/>
        <v>0</v>
      </c>
      <c r="AL69" s="303">
        <f t="shared" si="113"/>
        <v>0</v>
      </c>
      <c r="AM69" s="303">
        <f t="shared" ref="AM69:BR69" si="114">SUM(AM54:AM68)</f>
        <v>200000</v>
      </c>
      <c r="AN69" s="303">
        <f t="shared" si="114"/>
        <v>0</v>
      </c>
      <c r="AO69" s="303">
        <f t="shared" si="114"/>
        <v>0</v>
      </c>
      <c r="AP69" s="303">
        <f t="shared" si="114"/>
        <v>0</v>
      </c>
      <c r="AQ69" s="303">
        <f t="shared" si="114"/>
        <v>0</v>
      </c>
      <c r="AR69" s="303">
        <f t="shared" si="114"/>
        <v>0</v>
      </c>
      <c r="AS69" s="303">
        <f t="shared" si="114"/>
        <v>0</v>
      </c>
      <c r="AT69" s="303">
        <f t="shared" si="114"/>
        <v>600000</v>
      </c>
      <c r="AU69" s="303">
        <f t="shared" si="114"/>
        <v>0</v>
      </c>
      <c r="AV69" s="303">
        <f t="shared" si="114"/>
        <v>0</v>
      </c>
      <c r="AW69" s="303">
        <f t="shared" si="114"/>
        <v>0</v>
      </c>
      <c r="AX69" s="303">
        <f t="shared" si="114"/>
        <v>0</v>
      </c>
      <c r="AY69" s="303">
        <f t="shared" si="114"/>
        <v>0</v>
      </c>
      <c r="AZ69" s="303">
        <f t="shared" si="114"/>
        <v>0</v>
      </c>
      <c r="BA69" s="303">
        <f t="shared" si="114"/>
        <v>0</v>
      </c>
      <c r="BB69" s="303">
        <f t="shared" si="114"/>
        <v>0</v>
      </c>
      <c r="BC69" s="303">
        <f t="shared" si="114"/>
        <v>0</v>
      </c>
      <c r="BD69" s="303">
        <f t="shared" si="114"/>
        <v>0</v>
      </c>
      <c r="BE69" s="303">
        <f t="shared" si="114"/>
        <v>0</v>
      </c>
      <c r="BF69" s="303">
        <f t="shared" si="114"/>
        <v>0</v>
      </c>
      <c r="BG69" s="303">
        <f t="shared" si="114"/>
        <v>0</v>
      </c>
      <c r="BH69" s="303">
        <f t="shared" si="114"/>
        <v>0</v>
      </c>
      <c r="BI69" s="303">
        <f t="shared" si="114"/>
        <v>0</v>
      </c>
      <c r="BJ69" s="303">
        <f t="shared" si="114"/>
        <v>0</v>
      </c>
      <c r="BK69" s="303">
        <f t="shared" si="114"/>
        <v>0</v>
      </c>
      <c r="BL69" s="303">
        <f t="shared" si="114"/>
        <v>0</v>
      </c>
      <c r="BM69" s="303">
        <f t="shared" si="114"/>
        <v>0</v>
      </c>
      <c r="BN69" s="303">
        <f t="shared" si="114"/>
        <v>0</v>
      </c>
      <c r="BO69" s="303">
        <f t="shared" si="114"/>
        <v>0</v>
      </c>
      <c r="BP69" s="303">
        <f t="shared" si="114"/>
        <v>0</v>
      </c>
      <c r="BQ69" s="303">
        <f t="shared" si="114"/>
        <v>0</v>
      </c>
      <c r="BR69" s="303">
        <f t="shared" si="114"/>
        <v>0</v>
      </c>
      <c r="BS69" s="303">
        <f t="shared" ref="BS69:BU69" si="115">SUM(BS54:BS68)</f>
        <v>0</v>
      </c>
      <c r="BT69" s="303">
        <f t="shared" si="115"/>
        <v>0</v>
      </c>
      <c r="BU69" s="303">
        <f t="shared" si="115"/>
        <v>1000000</v>
      </c>
    </row>
    <row r="70" spans="1:73" s="588" customFormat="1" ht="19.5" customHeight="1" thickBot="1">
      <c r="A70" s="1086" t="str">
        <f>'Работы - НН-ОЦО'!B216</f>
        <v xml:space="preserve">Фаза  4. Завершение. Этап № 6. Завершение </v>
      </c>
      <c r="B70" s="1087"/>
      <c r="C70" s="1087"/>
      <c r="D70" s="1087"/>
      <c r="E70" s="1087"/>
      <c r="F70" s="1087"/>
      <c r="G70" s="1087"/>
      <c r="H70" s="1087"/>
      <c r="I70" s="1087"/>
      <c r="J70" s="1087"/>
      <c r="K70" s="1087"/>
      <c r="L70" s="1087"/>
      <c r="M70" s="1087"/>
      <c r="N70" s="1087"/>
      <c r="O70" s="1087"/>
      <c r="P70" s="1087"/>
      <c r="Q70" s="1087"/>
      <c r="R70" s="1087"/>
      <c r="S70" s="1087"/>
      <c r="T70" s="1087"/>
      <c r="U70" s="1087"/>
      <c r="V70" s="1087"/>
      <c r="W70" s="1087"/>
      <c r="X70" s="1087"/>
      <c r="Y70" s="1087"/>
      <c r="Z70" s="1087"/>
      <c r="AA70" s="1087"/>
      <c r="AB70" s="1087"/>
      <c r="AC70" s="1087"/>
      <c r="AD70" s="1087"/>
      <c r="AE70" s="1087"/>
      <c r="AF70" s="1087"/>
      <c r="AG70" s="1088"/>
      <c r="AH70" s="397"/>
      <c r="AI70" s="397"/>
      <c r="AJ70" s="397"/>
      <c r="AK70" s="397"/>
      <c r="AL70" s="397"/>
      <c r="AM70" s="397"/>
      <c r="AN70" s="397"/>
      <c r="AO70" s="397"/>
      <c r="AP70" s="397"/>
      <c r="AQ70" s="397"/>
      <c r="AR70" s="397"/>
      <c r="AS70" s="397"/>
      <c r="AT70" s="397"/>
      <c r="AU70" s="397"/>
      <c r="AV70" s="397"/>
      <c r="AW70" s="397"/>
      <c r="AX70" s="397"/>
      <c r="AY70" s="397"/>
      <c r="AZ70" s="397"/>
      <c r="BA70" s="397"/>
      <c r="BB70" s="397"/>
      <c r="BC70" s="397"/>
      <c r="BD70" s="397"/>
      <c r="BE70" s="397"/>
      <c r="BF70" s="397"/>
      <c r="BG70" s="397"/>
      <c r="BH70" s="397"/>
      <c r="BI70" s="397"/>
      <c r="BJ70" s="397"/>
      <c r="BK70" s="397"/>
      <c r="BL70" s="397"/>
      <c r="BM70" s="397"/>
      <c r="BN70" s="397"/>
      <c r="BO70" s="397"/>
      <c r="BP70" s="397"/>
      <c r="BQ70" s="397"/>
      <c r="BR70" s="397"/>
      <c r="BS70" s="397"/>
      <c r="BT70" s="397"/>
      <c r="BU70" s="587"/>
    </row>
    <row r="71" spans="1:73" s="584" customFormat="1" ht="12.75" customHeight="1">
      <c r="A71" s="1079"/>
      <c r="B71" s="1080"/>
      <c r="C71" s="583">
        <f>B71</f>
        <v>0</v>
      </c>
      <c r="D71" s="1080"/>
      <c r="E71" s="436" t="s">
        <v>5</v>
      </c>
      <c r="F71" s="691" t="s">
        <v>1990</v>
      </c>
      <c r="G71" s="309"/>
      <c r="H71" s="439"/>
      <c r="I71" s="249"/>
      <c r="J71" s="249"/>
      <c r="K71" s="249"/>
      <c r="L71" s="249"/>
      <c r="M71" s="249"/>
      <c r="N71" s="249"/>
      <c r="O71" s="249"/>
      <c r="P71" s="249"/>
      <c r="Q71" s="249"/>
      <c r="R71" s="249"/>
      <c r="S71" s="250"/>
      <c r="T71" s="251">
        <f>SUM(H71:S71)</f>
        <v>0</v>
      </c>
      <c r="U71" s="439"/>
      <c r="V71" s="249"/>
      <c r="W71" s="249"/>
      <c r="X71" s="249"/>
      <c r="Y71" s="249"/>
      <c r="Z71" s="249"/>
      <c r="AA71" s="249"/>
      <c r="AB71" s="249"/>
      <c r="AC71" s="249"/>
      <c r="AD71" s="249"/>
      <c r="AE71" s="249"/>
      <c r="AF71" s="250"/>
      <c r="AG71" s="251">
        <f>SUM(U71:AF71)</f>
        <v>0</v>
      </c>
      <c r="AH71" s="439"/>
      <c r="AI71" s="249"/>
      <c r="AJ71" s="249"/>
      <c r="AK71" s="249"/>
      <c r="AL71" s="249"/>
      <c r="AM71" s="249"/>
      <c r="AN71" s="249"/>
      <c r="AO71" s="249"/>
      <c r="AP71" s="249"/>
      <c r="AQ71" s="249"/>
      <c r="AR71" s="249"/>
      <c r="AS71" s="250"/>
      <c r="AT71" s="251">
        <f>SUM(AH71:AS71)</f>
        <v>0</v>
      </c>
      <c r="AU71" s="439"/>
      <c r="AV71" s="249"/>
      <c r="AW71" s="249"/>
      <c r="AX71" s="249"/>
      <c r="AY71" s="249"/>
      <c r="AZ71" s="249"/>
      <c r="BA71" s="249"/>
      <c r="BB71" s="249"/>
      <c r="BC71" s="249"/>
      <c r="BD71" s="249"/>
      <c r="BE71" s="249"/>
      <c r="BF71" s="250"/>
      <c r="BG71" s="251">
        <f>SUM(AU71:BF71)</f>
        <v>0</v>
      </c>
      <c r="BH71" s="439"/>
      <c r="BI71" s="249"/>
      <c r="BJ71" s="249"/>
      <c r="BK71" s="249"/>
      <c r="BL71" s="249"/>
      <c r="BM71" s="249"/>
      <c r="BN71" s="249"/>
      <c r="BO71" s="249"/>
      <c r="BP71" s="249"/>
      <c r="BQ71" s="249"/>
      <c r="BR71" s="249"/>
      <c r="BS71" s="250"/>
      <c r="BT71" s="251">
        <f>SUM(BH71:BS71)</f>
        <v>0</v>
      </c>
      <c r="BU71" s="309">
        <f t="shared" ref="BU71:BU80" si="116">T71+AG71+AT71+G71+BG71+BT71</f>
        <v>0</v>
      </c>
    </row>
    <row r="72" spans="1:73" s="584" customFormat="1">
      <c r="A72" s="1070"/>
      <c r="B72" s="1081"/>
      <c r="C72" s="585">
        <f t="shared" ref="C72:C75" si="117">IF(B72=0,C71,B72)</f>
        <v>0</v>
      </c>
      <c r="D72" s="1081"/>
      <c r="E72" s="437" t="s">
        <v>6</v>
      </c>
      <c r="F72" s="691" t="s">
        <v>1990</v>
      </c>
      <c r="G72" s="310"/>
      <c r="H72" s="440"/>
      <c r="I72" s="252"/>
      <c r="J72" s="252"/>
      <c r="K72" s="252"/>
      <c r="L72" s="252"/>
      <c r="M72" s="252"/>
      <c r="N72" s="252"/>
      <c r="O72" s="252"/>
      <c r="P72" s="252"/>
      <c r="Q72" s="252"/>
      <c r="R72" s="252"/>
      <c r="S72" s="253"/>
      <c r="T72" s="254">
        <f t="shared" ref="T72:T75" si="118">SUM(H72:S72)</f>
        <v>0</v>
      </c>
      <c r="U72" s="440"/>
      <c r="V72" s="252"/>
      <c r="W72" s="252"/>
      <c r="X72" s="252"/>
      <c r="Y72" s="252"/>
      <c r="Z72" s="252"/>
      <c r="AA72" s="252"/>
      <c r="AB72" s="252"/>
      <c r="AC72" s="252"/>
      <c r="AD72" s="252"/>
      <c r="AE72" s="252"/>
      <c r="AF72" s="253"/>
      <c r="AG72" s="254">
        <f t="shared" ref="AG72:AG75" si="119">SUM(U72:AF72)</f>
        <v>0</v>
      </c>
      <c r="AH72" s="440"/>
      <c r="AI72" s="252"/>
      <c r="AJ72" s="252"/>
      <c r="AK72" s="252"/>
      <c r="AL72" s="252"/>
      <c r="AM72" s="252"/>
      <c r="AN72" s="252"/>
      <c r="AO72" s="252"/>
      <c r="AP72" s="252"/>
      <c r="AQ72" s="252"/>
      <c r="AR72" s="252"/>
      <c r="AS72" s="253"/>
      <c r="AT72" s="254">
        <f t="shared" ref="AT72:AT75" si="120">SUM(AH72:AS72)</f>
        <v>0</v>
      </c>
      <c r="AU72" s="440"/>
      <c r="AV72" s="252"/>
      <c r="AW72" s="252"/>
      <c r="AX72" s="252"/>
      <c r="AY72" s="252"/>
      <c r="AZ72" s="252"/>
      <c r="BA72" s="252"/>
      <c r="BB72" s="252"/>
      <c r="BC72" s="252"/>
      <c r="BD72" s="252"/>
      <c r="BE72" s="252"/>
      <c r="BF72" s="253"/>
      <c r="BG72" s="254">
        <f t="shared" ref="BG72:BG75" si="121">SUM(AU72:BF72)</f>
        <v>0</v>
      </c>
      <c r="BH72" s="440"/>
      <c r="BI72" s="252"/>
      <c r="BJ72" s="252"/>
      <c r="BK72" s="252"/>
      <c r="BL72" s="252"/>
      <c r="BM72" s="252"/>
      <c r="BN72" s="252"/>
      <c r="BO72" s="252"/>
      <c r="BP72" s="252"/>
      <c r="BQ72" s="252"/>
      <c r="BR72" s="252"/>
      <c r="BS72" s="253"/>
      <c r="BT72" s="254">
        <f t="shared" ref="BT72:BT75" si="122">SUM(BH72:BS72)</f>
        <v>0</v>
      </c>
      <c r="BU72" s="310">
        <f t="shared" si="116"/>
        <v>0</v>
      </c>
    </row>
    <row r="73" spans="1:73" s="584" customFormat="1">
      <c r="A73" s="1070"/>
      <c r="B73" s="1081"/>
      <c r="C73" s="585">
        <f t="shared" si="117"/>
        <v>0</v>
      </c>
      <c r="D73" s="1081"/>
      <c r="E73" s="437" t="s">
        <v>7</v>
      </c>
      <c r="F73" s="691" t="s">
        <v>1990</v>
      </c>
      <c r="G73" s="310"/>
      <c r="H73" s="440"/>
      <c r="I73" s="252"/>
      <c r="J73" s="252"/>
      <c r="K73" s="252"/>
      <c r="L73" s="252"/>
      <c r="M73" s="252"/>
      <c r="N73" s="252"/>
      <c r="O73" s="252"/>
      <c r="P73" s="252"/>
      <c r="Q73" s="252"/>
      <c r="R73" s="252"/>
      <c r="S73" s="253"/>
      <c r="T73" s="254">
        <f t="shared" si="118"/>
        <v>0</v>
      </c>
      <c r="U73" s="440"/>
      <c r="V73" s="252"/>
      <c r="W73" s="252"/>
      <c r="X73" s="252"/>
      <c r="Y73" s="252"/>
      <c r="Z73" s="252"/>
      <c r="AA73" s="252"/>
      <c r="AB73" s="252"/>
      <c r="AC73" s="252"/>
      <c r="AD73" s="252"/>
      <c r="AE73" s="252"/>
      <c r="AF73" s="253"/>
      <c r="AG73" s="254">
        <f t="shared" si="119"/>
        <v>0</v>
      </c>
      <c r="AH73" s="440"/>
      <c r="AI73" s="252"/>
      <c r="AJ73" s="252"/>
      <c r="AK73" s="252"/>
      <c r="AL73" s="252"/>
      <c r="AM73" s="252"/>
      <c r="AN73" s="252"/>
      <c r="AO73" s="252"/>
      <c r="AP73" s="252"/>
      <c r="AQ73" s="252"/>
      <c r="AR73" s="252"/>
      <c r="AS73" s="253"/>
      <c r="AT73" s="254">
        <f t="shared" si="120"/>
        <v>0</v>
      </c>
      <c r="AU73" s="440"/>
      <c r="AV73" s="252"/>
      <c r="AW73" s="252"/>
      <c r="AX73" s="252"/>
      <c r="AY73" s="252"/>
      <c r="AZ73" s="252"/>
      <c r="BA73" s="252"/>
      <c r="BB73" s="252"/>
      <c r="BC73" s="252"/>
      <c r="BD73" s="252"/>
      <c r="BE73" s="252"/>
      <c r="BF73" s="253"/>
      <c r="BG73" s="254">
        <f t="shared" si="121"/>
        <v>0</v>
      </c>
      <c r="BH73" s="440"/>
      <c r="BI73" s="252"/>
      <c r="BJ73" s="252"/>
      <c r="BK73" s="252"/>
      <c r="BL73" s="252"/>
      <c r="BM73" s="252"/>
      <c r="BN73" s="252"/>
      <c r="BO73" s="252"/>
      <c r="BP73" s="252"/>
      <c r="BQ73" s="252"/>
      <c r="BR73" s="252"/>
      <c r="BS73" s="253"/>
      <c r="BT73" s="254">
        <f t="shared" si="122"/>
        <v>0</v>
      </c>
      <c r="BU73" s="310">
        <f t="shared" si="116"/>
        <v>0</v>
      </c>
    </row>
    <row r="74" spans="1:73" s="584" customFormat="1">
      <c r="A74" s="1070"/>
      <c r="B74" s="1081"/>
      <c r="C74" s="585">
        <f t="shared" si="117"/>
        <v>0</v>
      </c>
      <c r="D74" s="1081"/>
      <c r="E74" s="437" t="s">
        <v>8</v>
      </c>
      <c r="F74" s="691" t="s">
        <v>1990</v>
      </c>
      <c r="G74" s="310"/>
      <c r="H74" s="440"/>
      <c r="I74" s="252"/>
      <c r="J74" s="252"/>
      <c r="K74" s="252"/>
      <c r="L74" s="252"/>
      <c r="M74" s="252"/>
      <c r="N74" s="252"/>
      <c r="O74" s="252"/>
      <c r="P74" s="252"/>
      <c r="Q74" s="252"/>
      <c r="R74" s="252"/>
      <c r="S74" s="253"/>
      <c r="T74" s="254">
        <f t="shared" si="118"/>
        <v>0</v>
      </c>
      <c r="U74" s="440"/>
      <c r="V74" s="252"/>
      <c r="W74" s="252"/>
      <c r="X74" s="252"/>
      <c r="Y74" s="252"/>
      <c r="Z74" s="252"/>
      <c r="AA74" s="252"/>
      <c r="AB74" s="252"/>
      <c r="AC74" s="252"/>
      <c r="AD74" s="252"/>
      <c r="AE74" s="252"/>
      <c r="AF74" s="253"/>
      <c r="AG74" s="254">
        <f t="shared" si="119"/>
        <v>0</v>
      </c>
      <c r="AH74" s="440"/>
      <c r="AI74" s="252"/>
      <c r="AJ74" s="252"/>
      <c r="AK74" s="252"/>
      <c r="AL74" s="252"/>
      <c r="AM74" s="252"/>
      <c r="AN74" s="252"/>
      <c r="AO74" s="252"/>
      <c r="AP74" s="252"/>
      <c r="AQ74" s="252"/>
      <c r="AR74" s="252"/>
      <c r="AS74" s="253"/>
      <c r="AT74" s="254">
        <f t="shared" si="120"/>
        <v>0</v>
      </c>
      <c r="AU74" s="440"/>
      <c r="AV74" s="252"/>
      <c r="AW74" s="252"/>
      <c r="AX74" s="252"/>
      <c r="AY74" s="252"/>
      <c r="AZ74" s="252"/>
      <c r="BA74" s="252"/>
      <c r="BB74" s="252"/>
      <c r="BC74" s="252"/>
      <c r="BD74" s="252"/>
      <c r="BE74" s="252"/>
      <c r="BF74" s="253"/>
      <c r="BG74" s="254">
        <f t="shared" si="121"/>
        <v>0</v>
      </c>
      <c r="BH74" s="440"/>
      <c r="BI74" s="252"/>
      <c r="BJ74" s="252"/>
      <c r="BK74" s="252"/>
      <c r="BL74" s="252"/>
      <c r="BM74" s="252"/>
      <c r="BN74" s="252"/>
      <c r="BO74" s="252"/>
      <c r="BP74" s="252"/>
      <c r="BQ74" s="252"/>
      <c r="BR74" s="252"/>
      <c r="BS74" s="253"/>
      <c r="BT74" s="254">
        <f t="shared" si="122"/>
        <v>0</v>
      </c>
      <c r="BU74" s="310">
        <f t="shared" si="116"/>
        <v>0</v>
      </c>
    </row>
    <row r="75" spans="1:73" s="584" customFormat="1" ht="13.5" thickBot="1">
      <c r="A75" s="1071"/>
      <c r="B75" s="1082"/>
      <c r="C75" s="586">
        <f t="shared" si="117"/>
        <v>0</v>
      </c>
      <c r="D75" s="1082"/>
      <c r="E75" s="438" t="s">
        <v>1694</v>
      </c>
      <c r="F75" s="691" t="s">
        <v>1990</v>
      </c>
      <c r="G75" s="443"/>
      <c r="H75" s="441"/>
      <c r="I75" s="255"/>
      <c r="J75" s="255"/>
      <c r="K75" s="255"/>
      <c r="L75" s="255"/>
      <c r="M75" s="255"/>
      <c r="N75" s="255"/>
      <c r="O75" s="255"/>
      <c r="P75" s="255"/>
      <c r="Q75" s="255"/>
      <c r="R75" s="255"/>
      <c r="S75" s="256"/>
      <c r="T75" s="257">
        <f t="shared" si="118"/>
        <v>0</v>
      </c>
      <c r="U75" s="441"/>
      <c r="V75" s="255"/>
      <c r="W75" s="255"/>
      <c r="X75" s="255"/>
      <c r="Y75" s="255"/>
      <c r="Z75" s="255"/>
      <c r="AA75" s="255"/>
      <c r="AB75" s="255"/>
      <c r="AC75" s="255"/>
      <c r="AD75" s="255"/>
      <c r="AE75" s="255"/>
      <c r="AF75" s="256"/>
      <c r="AG75" s="257">
        <f t="shared" si="119"/>
        <v>0</v>
      </c>
      <c r="AH75" s="441"/>
      <c r="AI75" s="255"/>
      <c r="AJ75" s="255"/>
      <c r="AK75" s="255"/>
      <c r="AL75" s="255"/>
      <c r="AM75" s="255"/>
      <c r="AN75" s="255"/>
      <c r="AO75" s="255"/>
      <c r="AP75" s="255"/>
      <c r="AQ75" s="255"/>
      <c r="AR75" s="255"/>
      <c r="AS75" s="256"/>
      <c r="AT75" s="257">
        <f t="shared" si="120"/>
        <v>0</v>
      </c>
      <c r="AU75" s="441"/>
      <c r="AV75" s="255"/>
      <c r="AW75" s="255"/>
      <c r="AX75" s="255"/>
      <c r="AY75" s="255"/>
      <c r="AZ75" s="255"/>
      <c r="BA75" s="255"/>
      <c r="BB75" s="255"/>
      <c r="BC75" s="255"/>
      <c r="BD75" s="255"/>
      <c r="BE75" s="255"/>
      <c r="BF75" s="256"/>
      <c r="BG75" s="257">
        <f t="shared" si="121"/>
        <v>0</v>
      </c>
      <c r="BH75" s="441"/>
      <c r="BI75" s="255"/>
      <c r="BJ75" s="255"/>
      <c r="BK75" s="255"/>
      <c r="BL75" s="255"/>
      <c r="BM75" s="255"/>
      <c r="BN75" s="255"/>
      <c r="BO75" s="255"/>
      <c r="BP75" s="255"/>
      <c r="BQ75" s="255"/>
      <c r="BR75" s="255"/>
      <c r="BS75" s="256"/>
      <c r="BT75" s="257">
        <f t="shared" si="122"/>
        <v>0</v>
      </c>
      <c r="BU75" s="310">
        <f t="shared" si="116"/>
        <v>0</v>
      </c>
    </row>
    <row r="76" spans="1:73" s="584" customFormat="1" ht="12.75" customHeight="1">
      <c r="A76" s="1079"/>
      <c r="B76" s="1080"/>
      <c r="C76" s="583">
        <f>B76</f>
        <v>0</v>
      </c>
      <c r="D76" s="1080"/>
      <c r="E76" s="436" t="s">
        <v>5</v>
      </c>
      <c r="F76" s="691" t="s">
        <v>1990</v>
      </c>
      <c r="G76" s="309"/>
      <c r="H76" s="439"/>
      <c r="I76" s="249"/>
      <c r="J76" s="249"/>
      <c r="K76" s="249"/>
      <c r="L76" s="249"/>
      <c r="M76" s="249"/>
      <c r="N76" s="249"/>
      <c r="O76" s="249"/>
      <c r="P76" s="249"/>
      <c r="Q76" s="249"/>
      <c r="R76" s="249"/>
      <c r="S76" s="250"/>
      <c r="T76" s="251">
        <f>SUM(H76:S76)</f>
        <v>0</v>
      </c>
      <c r="U76" s="439"/>
      <c r="V76" s="249"/>
      <c r="W76" s="249"/>
      <c r="X76" s="249"/>
      <c r="Y76" s="249"/>
      <c r="Z76" s="249"/>
      <c r="AA76" s="249"/>
      <c r="AB76" s="249"/>
      <c r="AC76" s="249"/>
      <c r="AD76" s="249"/>
      <c r="AE76" s="249"/>
      <c r="AF76" s="250"/>
      <c r="AG76" s="251">
        <f>SUM(U76:AF76)</f>
        <v>0</v>
      </c>
      <c r="AH76" s="439"/>
      <c r="AI76" s="249"/>
      <c r="AJ76" s="249"/>
      <c r="AK76" s="249"/>
      <c r="AL76" s="249"/>
      <c r="AM76" s="249"/>
      <c r="AN76" s="249"/>
      <c r="AO76" s="249"/>
      <c r="AP76" s="249"/>
      <c r="AQ76" s="249"/>
      <c r="AR76" s="249"/>
      <c r="AS76" s="250"/>
      <c r="AT76" s="251">
        <f>SUM(AH76:AS76)</f>
        <v>0</v>
      </c>
      <c r="AU76" s="439"/>
      <c r="AV76" s="249"/>
      <c r="AW76" s="249"/>
      <c r="AX76" s="249"/>
      <c r="AY76" s="249"/>
      <c r="AZ76" s="249"/>
      <c r="BA76" s="249"/>
      <c r="BB76" s="249"/>
      <c r="BC76" s="249"/>
      <c r="BD76" s="249"/>
      <c r="BE76" s="249"/>
      <c r="BF76" s="250"/>
      <c r="BG76" s="251">
        <f>SUM(AU76:BF76)</f>
        <v>0</v>
      </c>
      <c r="BH76" s="439"/>
      <c r="BI76" s="249"/>
      <c r="BJ76" s="249"/>
      <c r="BK76" s="249"/>
      <c r="BL76" s="249"/>
      <c r="BM76" s="249"/>
      <c r="BN76" s="249"/>
      <c r="BO76" s="249"/>
      <c r="BP76" s="249"/>
      <c r="BQ76" s="249"/>
      <c r="BR76" s="249"/>
      <c r="BS76" s="250"/>
      <c r="BT76" s="251">
        <f>SUM(BH76:BS76)</f>
        <v>0</v>
      </c>
      <c r="BU76" s="309">
        <f t="shared" si="116"/>
        <v>0</v>
      </c>
    </row>
    <row r="77" spans="1:73" s="584" customFormat="1">
      <c r="A77" s="1070"/>
      <c r="B77" s="1081"/>
      <c r="C77" s="585">
        <f t="shared" ref="C77:C85" si="123">IF(B77=0,C76,B77)</f>
        <v>0</v>
      </c>
      <c r="D77" s="1081"/>
      <c r="E77" s="437" t="s">
        <v>6</v>
      </c>
      <c r="F77" s="691" t="s">
        <v>1990</v>
      </c>
      <c r="G77" s="310"/>
      <c r="H77" s="440"/>
      <c r="I77" s="252"/>
      <c r="J77" s="252"/>
      <c r="K77" s="252"/>
      <c r="L77" s="252"/>
      <c r="M77" s="252"/>
      <c r="N77" s="252"/>
      <c r="O77" s="252"/>
      <c r="P77" s="252"/>
      <c r="Q77" s="252"/>
      <c r="R77" s="252"/>
      <c r="S77" s="253"/>
      <c r="T77" s="254">
        <f t="shared" ref="T77:T85" si="124">SUM(H77:S77)</f>
        <v>0</v>
      </c>
      <c r="U77" s="440"/>
      <c r="V77" s="252"/>
      <c r="W77" s="252"/>
      <c r="X77" s="252"/>
      <c r="Y77" s="252"/>
      <c r="Z77" s="252"/>
      <c r="AA77" s="252"/>
      <c r="AB77" s="252"/>
      <c r="AC77" s="252"/>
      <c r="AD77" s="252"/>
      <c r="AE77" s="252"/>
      <c r="AF77" s="253"/>
      <c r="AG77" s="254">
        <f t="shared" ref="AG77:AG85" si="125">SUM(U77:AF77)</f>
        <v>0</v>
      </c>
      <c r="AH77" s="440"/>
      <c r="AI77" s="252"/>
      <c r="AJ77" s="252"/>
      <c r="AK77" s="252"/>
      <c r="AL77" s="252"/>
      <c r="AM77" s="252"/>
      <c r="AN77" s="252"/>
      <c r="AO77" s="252"/>
      <c r="AP77" s="252"/>
      <c r="AQ77" s="252"/>
      <c r="AR77" s="252"/>
      <c r="AS77" s="253"/>
      <c r="AT77" s="254">
        <f t="shared" ref="AT77:AT85" si="126">SUM(AH77:AS77)</f>
        <v>0</v>
      </c>
      <c r="AU77" s="440"/>
      <c r="AV77" s="252"/>
      <c r="AW77" s="252"/>
      <c r="AX77" s="252"/>
      <c r="AY77" s="252"/>
      <c r="AZ77" s="252"/>
      <c r="BA77" s="252"/>
      <c r="BB77" s="252"/>
      <c r="BC77" s="252"/>
      <c r="BD77" s="252"/>
      <c r="BE77" s="252"/>
      <c r="BF77" s="253"/>
      <c r="BG77" s="254">
        <f t="shared" ref="BG77:BG85" si="127">SUM(AU77:BF77)</f>
        <v>0</v>
      </c>
      <c r="BH77" s="440"/>
      <c r="BI77" s="252"/>
      <c r="BJ77" s="252"/>
      <c r="BK77" s="252"/>
      <c r="BL77" s="252"/>
      <c r="BM77" s="252"/>
      <c r="BN77" s="252"/>
      <c r="BO77" s="252"/>
      <c r="BP77" s="252"/>
      <c r="BQ77" s="252"/>
      <c r="BR77" s="252"/>
      <c r="BS77" s="253"/>
      <c r="BT77" s="254">
        <f t="shared" ref="BT77:BT85" si="128">SUM(BH77:BS77)</f>
        <v>0</v>
      </c>
      <c r="BU77" s="310">
        <f t="shared" si="116"/>
        <v>0</v>
      </c>
    </row>
    <row r="78" spans="1:73" s="584" customFormat="1">
      <c r="A78" s="1070"/>
      <c r="B78" s="1081"/>
      <c r="C78" s="585">
        <f t="shared" si="123"/>
        <v>0</v>
      </c>
      <c r="D78" s="1081"/>
      <c r="E78" s="437" t="s">
        <v>7</v>
      </c>
      <c r="F78" s="691" t="s">
        <v>1990</v>
      </c>
      <c r="G78" s="310"/>
      <c r="H78" s="440"/>
      <c r="I78" s="252"/>
      <c r="J78" s="252"/>
      <c r="K78" s="252"/>
      <c r="L78" s="252"/>
      <c r="M78" s="252"/>
      <c r="N78" s="252"/>
      <c r="O78" s="252"/>
      <c r="P78" s="252"/>
      <c r="Q78" s="252"/>
      <c r="R78" s="252"/>
      <c r="S78" s="253"/>
      <c r="T78" s="254">
        <f t="shared" si="124"/>
        <v>0</v>
      </c>
      <c r="U78" s="440"/>
      <c r="V78" s="252"/>
      <c r="W78" s="252"/>
      <c r="X78" s="252"/>
      <c r="Y78" s="252"/>
      <c r="Z78" s="252"/>
      <c r="AA78" s="252"/>
      <c r="AB78" s="252"/>
      <c r="AC78" s="252"/>
      <c r="AD78" s="252"/>
      <c r="AE78" s="252"/>
      <c r="AF78" s="253"/>
      <c r="AG78" s="254">
        <f t="shared" si="125"/>
        <v>0</v>
      </c>
      <c r="AH78" s="440"/>
      <c r="AI78" s="252"/>
      <c r="AJ78" s="252"/>
      <c r="AK78" s="252"/>
      <c r="AL78" s="252"/>
      <c r="AM78" s="252"/>
      <c r="AN78" s="252"/>
      <c r="AO78" s="252"/>
      <c r="AP78" s="252"/>
      <c r="AQ78" s="252"/>
      <c r="AR78" s="252"/>
      <c r="AS78" s="253"/>
      <c r="AT78" s="254">
        <f t="shared" si="126"/>
        <v>0</v>
      </c>
      <c r="AU78" s="440"/>
      <c r="AV78" s="252"/>
      <c r="AW78" s="252"/>
      <c r="AX78" s="252"/>
      <c r="AY78" s="252"/>
      <c r="AZ78" s="252"/>
      <c r="BA78" s="252"/>
      <c r="BB78" s="252"/>
      <c r="BC78" s="252"/>
      <c r="BD78" s="252"/>
      <c r="BE78" s="252"/>
      <c r="BF78" s="253"/>
      <c r="BG78" s="254">
        <f t="shared" si="127"/>
        <v>0</v>
      </c>
      <c r="BH78" s="440"/>
      <c r="BI78" s="252"/>
      <c r="BJ78" s="252"/>
      <c r="BK78" s="252"/>
      <c r="BL78" s="252"/>
      <c r="BM78" s="252"/>
      <c r="BN78" s="252"/>
      <c r="BO78" s="252"/>
      <c r="BP78" s="252"/>
      <c r="BQ78" s="252"/>
      <c r="BR78" s="252"/>
      <c r="BS78" s="253"/>
      <c r="BT78" s="254">
        <f t="shared" si="128"/>
        <v>0</v>
      </c>
      <c r="BU78" s="310">
        <f t="shared" si="116"/>
        <v>0</v>
      </c>
    </row>
    <row r="79" spans="1:73" s="584" customFormat="1">
      <c r="A79" s="1070"/>
      <c r="B79" s="1081"/>
      <c r="C79" s="585">
        <f t="shared" si="123"/>
        <v>0</v>
      </c>
      <c r="D79" s="1081"/>
      <c r="E79" s="437" t="s">
        <v>8</v>
      </c>
      <c r="F79" s="691" t="s">
        <v>1990</v>
      </c>
      <c r="G79" s="310"/>
      <c r="H79" s="440"/>
      <c r="I79" s="252"/>
      <c r="J79" s="252"/>
      <c r="K79" s="252"/>
      <c r="L79" s="252"/>
      <c r="M79" s="252"/>
      <c r="N79" s="252"/>
      <c r="O79" s="252"/>
      <c r="P79" s="252"/>
      <c r="Q79" s="252"/>
      <c r="R79" s="252"/>
      <c r="S79" s="253"/>
      <c r="T79" s="254">
        <f t="shared" si="124"/>
        <v>0</v>
      </c>
      <c r="U79" s="440"/>
      <c r="V79" s="252"/>
      <c r="W79" s="252"/>
      <c r="X79" s="252"/>
      <c r="Y79" s="252"/>
      <c r="Z79" s="252"/>
      <c r="AA79" s="252"/>
      <c r="AB79" s="252"/>
      <c r="AC79" s="252"/>
      <c r="AD79" s="252"/>
      <c r="AE79" s="252"/>
      <c r="AF79" s="253"/>
      <c r="AG79" s="254">
        <f t="shared" si="125"/>
        <v>0</v>
      </c>
      <c r="AH79" s="440"/>
      <c r="AI79" s="252"/>
      <c r="AJ79" s="252"/>
      <c r="AK79" s="252"/>
      <c r="AL79" s="252"/>
      <c r="AM79" s="252"/>
      <c r="AN79" s="252"/>
      <c r="AO79" s="252"/>
      <c r="AP79" s="252"/>
      <c r="AQ79" s="252"/>
      <c r="AR79" s="252"/>
      <c r="AS79" s="253"/>
      <c r="AT79" s="254">
        <f t="shared" si="126"/>
        <v>0</v>
      </c>
      <c r="AU79" s="440"/>
      <c r="AV79" s="252"/>
      <c r="AW79" s="252"/>
      <c r="AX79" s="252"/>
      <c r="AY79" s="252"/>
      <c r="AZ79" s="252"/>
      <c r="BA79" s="252"/>
      <c r="BB79" s="252"/>
      <c r="BC79" s="252"/>
      <c r="BD79" s="252"/>
      <c r="BE79" s="252"/>
      <c r="BF79" s="253"/>
      <c r="BG79" s="254">
        <f t="shared" si="127"/>
        <v>0</v>
      </c>
      <c r="BH79" s="440"/>
      <c r="BI79" s="252"/>
      <c r="BJ79" s="252"/>
      <c r="BK79" s="252"/>
      <c r="BL79" s="252"/>
      <c r="BM79" s="252"/>
      <c r="BN79" s="252"/>
      <c r="BO79" s="252"/>
      <c r="BP79" s="252"/>
      <c r="BQ79" s="252"/>
      <c r="BR79" s="252"/>
      <c r="BS79" s="253"/>
      <c r="BT79" s="254">
        <f t="shared" si="128"/>
        <v>0</v>
      </c>
      <c r="BU79" s="310">
        <f t="shared" si="116"/>
        <v>0</v>
      </c>
    </row>
    <row r="80" spans="1:73" s="584" customFormat="1" ht="13.5" thickBot="1">
      <c r="A80" s="1071"/>
      <c r="B80" s="1082"/>
      <c r="C80" s="586">
        <f t="shared" si="123"/>
        <v>0</v>
      </c>
      <c r="D80" s="1082"/>
      <c r="E80" s="438" t="s">
        <v>1694</v>
      </c>
      <c r="F80" s="691" t="s">
        <v>1990</v>
      </c>
      <c r="G80" s="443"/>
      <c r="H80" s="441"/>
      <c r="I80" s="255"/>
      <c r="J80" s="255"/>
      <c r="K80" s="255"/>
      <c r="L80" s="255"/>
      <c r="M80" s="255"/>
      <c r="N80" s="255"/>
      <c r="O80" s="255"/>
      <c r="P80" s="255"/>
      <c r="Q80" s="255"/>
      <c r="R80" s="255"/>
      <c r="S80" s="256"/>
      <c r="T80" s="257">
        <f t="shared" si="124"/>
        <v>0</v>
      </c>
      <c r="U80" s="441"/>
      <c r="V80" s="255"/>
      <c r="W80" s="255"/>
      <c r="X80" s="255"/>
      <c r="Y80" s="255"/>
      <c r="Z80" s="255"/>
      <c r="AA80" s="255"/>
      <c r="AB80" s="255"/>
      <c r="AC80" s="255"/>
      <c r="AD80" s="255"/>
      <c r="AE80" s="255"/>
      <c r="AF80" s="256"/>
      <c r="AG80" s="257">
        <f t="shared" si="125"/>
        <v>0</v>
      </c>
      <c r="AH80" s="441"/>
      <c r="AI80" s="255"/>
      <c r="AJ80" s="255"/>
      <c r="AK80" s="255"/>
      <c r="AL80" s="255"/>
      <c r="AM80" s="255"/>
      <c r="AN80" s="255"/>
      <c r="AO80" s="255"/>
      <c r="AP80" s="255"/>
      <c r="AQ80" s="255"/>
      <c r="AR80" s="255"/>
      <c r="AS80" s="256"/>
      <c r="AT80" s="257">
        <f t="shared" si="126"/>
        <v>0</v>
      </c>
      <c r="AU80" s="441"/>
      <c r="AV80" s="255"/>
      <c r="AW80" s="255"/>
      <c r="AX80" s="255"/>
      <c r="AY80" s="255"/>
      <c r="AZ80" s="255"/>
      <c r="BA80" s="255"/>
      <c r="BB80" s="255"/>
      <c r="BC80" s="255"/>
      <c r="BD80" s="255"/>
      <c r="BE80" s="255"/>
      <c r="BF80" s="256"/>
      <c r="BG80" s="257">
        <f t="shared" si="127"/>
        <v>0</v>
      </c>
      <c r="BH80" s="441"/>
      <c r="BI80" s="255"/>
      <c r="BJ80" s="255"/>
      <c r="BK80" s="255"/>
      <c r="BL80" s="255"/>
      <c r="BM80" s="255"/>
      <c r="BN80" s="255"/>
      <c r="BO80" s="255"/>
      <c r="BP80" s="255"/>
      <c r="BQ80" s="255"/>
      <c r="BR80" s="255"/>
      <c r="BS80" s="256"/>
      <c r="BT80" s="257">
        <f t="shared" si="128"/>
        <v>0</v>
      </c>
      <c r="BU80" s="310">
        <f t="shared" si="116"/>
        <v>0</v>
      </c>
    </row>
    <row r="81" spans="1:75" s="584" customFormat="1" ht="13.5" hidden="1" thickBot="1">
      <c r="A81" s="1079"/>
      <c r="B81" s="1083"/>
      <c r="C81" s="583">
        <f>B81</f>
        <v>0</v>
      </c>
      <c r="D81" s="1080"/>
      <c r="E81" s="296" t="s">
        <v>5</v>
      </c>
      <c r="F81" s="296"/>
      <c r="G81" s="249"/>
      <c r="H81" s="249"/>
      <c r="I81" s="249"/>
      <c r="J81" s="249"/>
      <c r="K81" s="249"/>
      <c r="L81" s="249"/>
      <c r="M81" s="249"/>
      <c r="N81" s="249"/>
      <c r="O81" s="249"/>
      <c r="P81" s="249"/>
      <c r="Q81" s="249"/>
      <c r="R81" s="249"/>
      <c r="S81" s="250"/>
      <c r="T81" s="251">
        <f t="shared" si="124"/>
        <v>0</v>
      </c>
      <c r="U81" s="439"/>
      <c r="V81" s="249"/>
      <c r="W81" s="249"/>
      <c r="X81" s="249"/>
      <c r="Y81" s="249"/>
      <c r="Z81" s="249"/>
      <c r="AA81" s="249"/>
      <c r="AB81" s="249"/>
      <c r="AC81" s="249"/>
      <c r="AD81" s="249"/>
      <c r="AE81" s="249"/>
      <c r="AF81" s="250"/>
      <c r="AG81" s="251">
        <f t="shared" si="125"/>
        <v>0</v>
      </c>
      <c r="AH81" s="439"/>
      <c r="AI81" s="249"/>
      <c r="AJ81" s="249"/>
      <c r="AK81" s="249"/>
      <c r="AL81" s="249"/>
      <c r="AM81" s="249"/>
      <c r="AN81" s="249"/>
      <c r="AO81" s="249"/>
      <c r="AP81" s="249"/>
      <c r="AQ81" s="249"/>
      <c r="AR81" s="249"/>
      <c r="AS81" s="250"/>
      <c r="AT81" s="251">
        <f t="shared" si="126"/>
        <v>0</v>
      </c>
      <c r="AU81" s="439"/>
      <c r="AV81" s="249"/>
      <c r="AW81" s="249"/>
      <c r="AX81" s="249"/>
      <c r="AY81" s="249"/>
      <c r="AZ81" s="249"/>
      <c r="BA81" s="249"/>
      <c r="BB81" s="249"/>
      <c r="BC81" s="249"/>
      <c r="BD81" s="249"/>
      <c r="BE81" s="249"/>
      <c r="BF81" s="250"/>
      <c r="BG81" s="251">
        <f t="shared" si="127"/>
        <v>0</v>
      </c>
      <c r="BH81" s="439"/>
      <c r="BI81" s="249"/>
      <c r="BJ81" s="249"/>
      <c r="BK81" s="249"/>
      <c r="BL81" s="249"/>
      <c r="BM81" s="249"/>
      <c r="BN81" s="249"/>
      <c r="BO81" s="249"/>
      <c r="BP81" s="249"/>
      <c r="BQ81" s="249"/>
      <c r="BR81" s="249"/>
      <c r="BS81" s="250"/>
      <c r="BT81" s="251">
        <f t="shared" si="128"/>
        <v>0</v>
      </c>
      <c r="BU81" s="309">
        <f t="shared" ref="BU81:BU85" si="129">T81+AG81</f>
        <v>0</v>
      </c>
    </row>
    <row r="82" spans="1:75" s="584" customFormat="1" ht="13.5" hidden="1" thickBot="1">
      <c r="A82" s="1070"/>
      <c r="B82" s="1084"/>
      <c r="C82" s="585">
        <f t="shared" si="123"/>
        <v>0</v>
      </c>
      <c r="D82" s="1081"/>
      <c r="E82" s="297" t="s">
        <v>6</v>
      </c>
      <c r="F82" s="690"/>
      <c r="G82" s="252"/>
      <c r="H82" s="252"/>
      <c r="I82" s="252"/>
      <c r="J82" s="252"/>
      <c r="K82" s="252"/>
      <c r="L82" s="252"/>
      <c r="M82" s="252"/>
      <c r="N82" s="252"/>
      <c r="O82" s="252"/>
      <c r="P82" s="252"/>
      <c r="Q82" s="252"/>
      <c r="R82" s="252"/>
      <c r="S82" s="253"/>
      <c r="T82" s="254">
        <f t="shared" si="124"/>
        <v>0</v>
      </c>
      <c r="U82" s="440"/>
      <c r="V82" s="252"/>
      <c r="W82" s="252"/>
      <c r="X82" s="252"/>
      <c r="Y82" s="252"/>
      <c r="Z82" s="252"/>
      <c r="AA82" s="252"/>
      <c r="AB82" s="252"/>
      <c r="AC82" s="252"/>
      <c r="AD82" s="252"/>
      <c r="AE82" s="252"/>
      <c r="AF82" s="253"/>
      <c r="AG82" s="254">
        <f t="shared" si="125"/>
        <v>0</v>
      </c>
      <c r="AH82" s="440"/>
      <c r="AI82" s="252"/>
      <c r="AJ82" s="252"/>
      <c r="AK82" s="252"/>
      <c r="AL82" s="252"/>
      <c r="AM82" s="252"/>
      <c r="AN82" s="252"/>
      <c r="AO82" s="252"/>
      <c r="AP82" s="252"/>
      <c r="AQ82" s="252"/>
      <c r="AR82" s="252"/>
      <c r="AS82" s="253"/>
      <c r="AT82" s="254">
        <f t="shared" si="126"/>
        <v>0</v>
      </c>
      <c r="AU82" s="440"/>
      <c r="AV82" s="252"/>
      <c r="AW82" s="252"/>
      <c r="AX82" s="252"/>
      <c r="AY82" s="252"/>
      <c r="AZ82" s="252"/>
      <c r="BA82" s="252"/>
      <c r="BB82" s="252"/>
      <c r="BC82" s="252"/>
      <c r="BD82" s="252"/>
      <c r="BE82" s="252"/>
      <c r="BF82" s="253"/>
      <c r="BG82" s="254">
        <f t="shared" si="127"/>
        <v>0</v>
      </c>
      <c r="BH82" s="440"/>
      <c r="BI82" s="252"/>
      <c r="BJ82" s="252"/>
      <c r="BK82" s="252"/>
      <c r="BL82" s="252"/>
      <c r="BM82" s="252"/>
      <c r="BN82" s="252"/>
      <c r="BO82" s="252"/>
      <c r="BP82" s="252"/>
      <c r="BQ82" s="252"/>
      <c r="BR82" s="252"/>
      <c r="BS82" s="253"/>
      <c r="BT82" s="254">
        <f t="shared" si="128"/>
        <v>0</v>
      </c>
      <c r="BU82" s="310">
        <f t="shared" si="129"/>
        <v>0</v>
      </c>
    </row>
    <row r="83" spans="1:75" s="584" customFormat="1" ht="13.5" hidden="1" thickBot="1">
      <c r="A83" s="1070"/>
      <c r="B83" s="1084"/>
      <c r="C83" s="585">
        <f t="shared" si="123"/>
        <v>0</v>
      </c>
      <c r="D83" s="1081"/>
      <c r="E83" s="297" t="s">
        <v>7</v>
      </c>
      <c r="F83" s="690"/>
      <c r="G83" s="252"/>
      <c r="H83" s="252"/>
      <c r="I83" s="252"/>
      <c r="J83" s="252"/>
      <c r="K83" s="252"/>
      <c r="L83" s="252"/>
      <c r="M83" s="252"/>
      <c r="N83" s="252"/>
      <c r="O83" s="252"/>
      <c r="P83" s="252"/>
      <c r="Q83" s="252"/>
      <c r="R83" s="252"/>
      <c r="S83" s="253"/>
      <c r="T83" s="254">
        <f t="shared" si="124"/>
        <v>0</v>
      </c>
      <c r="U83" s="440"/>
      <c r="V83" s="252"/>
      <c r="W83" s="252"/>
      <c r="X83" s="252"/>
      <c r="Y83" s="252"/>
      <c r="Z83" s="252"/>
      <c r="AA83" s="252"/>
      <c r="AB83" s="252"/>
      <c r="AC83" s="252"/>
      <c r="AD83" s="252"/>
      <c r="AE83" s="252"/>
      <c r="AF83" s="253"/>
      <c r="AG83" s="254">
        <f t="shared" si="125"/>
        <v>0</v>
      </c>
      <c r="AH83" s="440"/>
      <c r="AI83" s="252"/>
      <c r="AJ83" s="252"/>
      <c r="AK83" s="252"/>
      <c r="AL83" s="252"/>
      <c r="AM83" s="252"/>
      <c r="AN83" s="252"/>
      <c r="AO83" s="252"/>
      <c r="AP83" s="252"/>
      <c r="AQ83" s="252"/>
      <c r="AR83" s="252"/>
      <c r="AS83" s="253"/>
      <c r="AT83" s="254">
        <f t="shared" si="126"/>
        <v>0</v>
      </c>
      <c r="AU83" s="440"/>
      <c r="AV83" s="252"/>
      <c r="AW83" s="252"/>
      <c r="AX83" s="252"/>
      <c r="AY83" s="252"/>
      <c r="AZ83" s="252"/>
      <c r="BA83" s="252"/>
      <c r="BB83" s="252"/>
      <c r="BC83" s="252"/>
      <c r="BD83" s="252"/>
      <c r="BE83" s="252"/>
      <c r="BF83" s="253"/>
      <c r="BG83" s="254">
        <f t="shared" si="127"/>
        <v>0</v>
      </c>
      <c r="BH83" s="440"/>
      <c r="BI83" s="252"/>
      <c r="BJ83" s="252"/>
      <c r="BK83" s="252"/>
      <c r="BL83" s="252"/>
      <c r="BM83" s="252"/>
      <c r="BN83" s="252"/>
      <c r="BO83" s="252"/>
      <c r="BP83" s="252"/>
      <c r="BQ83" s="252"/>
      <c r="BR83" s="252"/>
      <c r="BS83" s="253"/>
      <c r="BT83" s="254">
        <f t="shared" si="128"/>
        <v>0</v>
      </c>
      <c r="BU83" s="310">
        <f t="shared" si="129"/>
        <v>0</v>
      </c>
    </row>
    <row r="84" spans="1:75" s="584" customFormat="1" ht="13.5" hidden="1" thickBot="1">
      <c r="A84" s="1070"/>
      <c r="B84" s="1084"/>
      <c r="C84" s="585">
        <f t="shared" si="123"/>
        <v>0</v>
      </c>
      <c r="D84" s="1081"/>
      <c r="E84" s="297" t="s">
        <v>8</v>
      </c>
      <c r="F84" s="690"/>
      <c r="G84" s="252"/>
      <c r="H84" s="252"/>
      <c r="I84" s="252"/>
      <c r="J84" s="252"/>
      <c r="K84" s="252"/>
      <c r="L84" s="252"/>
      <c r="M84" s="252"/>
      <c r="N84" s="252"/>
      <c r="O84" s="252"/>
      <c r="P84" s="252"/>
      <c r="Q84" s="252"/>
      <c r="R84" s="252"/>
      <c r="S84" s="253"/>
      <c r="T84" s="254">
        <f t="shared" si="124"/>
        <v>0</v>
      </c>
      <c r="U84" s="440"/>
      <c r="V84" s="252"/>
      <c r="W84" s="252"/>
      <c r="X84" s="252"/>
      <c r="Y84" s="252"/>
      <c r="Z84" s="252"/>
      <c r="AA84" s="252"/>
      <c r="AB84" s="252"/>
      <c r="AC84" s="252"/>
      <c r="AD84" s="252"/>
      <c r="AE84" s="252"/>
      <c r="AF84" s="253"/>
      <c r="AG84" s="254">
        <f t="shared" si="125"/>
        <v>0</v>
      </c>
      <c r="AH84" s="440"/>
      <c r="AI84" s="252"/>
      <c r="AJ84" s="252"/>
      <c r="AK84" s="252"/>
      <c r="AL84" s="252"/>
      <c r="AM84" s="252"/>
      <c r="AN84" s="252"/>
      <c r="AO84" s="252"/>
      <c r="AP84" s="252"/>
      <c r="AQ84" s="252"/>
      <c r="AR84" s="252"/>
      <c r="AS84" s="253"/>
      <c r="AT84" s="254">
        <f t="shared" si="126"/>
        <v>0</v>
      </c>
      <c r="AU84" s="440"/>
      <c r="AV84" s="252"/>
      <c r="AW84" s="252"/>
      <c r="AX84" s="252"/>
      <c r="AY84" s="252"/>
      <c r="AZ84" s="252"/>
      <c r="BA84" s="252"/>
      <c r="BB84" s="252"/>
      <c r="BC84" s="252"/>
      <c r="BD84" s="252"/>
      <c r="BE84" s="252"/>
      <c r="BF84" s="253"/>
      <c r="BG84" s="254">
        <f t="shared" si="127"/>
        <v>0</v>
      </c>
      <c r="BH84" s="440"/>
      <c r="BI84" s="252"/>
      <c r="BJ84" s="252"/>
      <c r="BK84" s="252"/>
      <c r="BL84" s="252"/>
      <c r="BM84" s="252"/>
      <c r="BN84" s="252"/>
      <c r="BO84" s="252"/>
      <c r="BP84" s="252"/>
      <c r="BQ84" s="252"/>
      <c r="BR84" s="252"/>
      <c r="BS84" s="253"/>
      <c r="BT84" s="254">
        <f t="shared" si="128"/>
        <v>0</v>
      </c>
      <c r="BU84" s="310">
        <f t="shared" si="129"/>
        <v>0</v>
      </c>
    </row>
    <row r="85" spans="1:75" s="584" customFormat="1" ht="13.5" hidden="1" thickBot="1">
      <c r="A85" s="1071"/>
      <c r="B85" s="1085"/>
      <c r="C85" s="586">
        <f t="shared" si="123"/>
        <v>0</v>
      </c>
      <c r="D85" s="1082"/>
      <c r="E85" s="298" t="s">
        <v>1694</v>
      </c>
      <c r="F85" s="298"/>
      <c r="G85" s="258"/>
      <c r="H85" s="258"/>
      <c r="I85" s="258"/>
      <c r="J85" s="258"/>
      <c r="K85" s="258"/>
      <c r="L85" s="258"/>
      <c r="M85" s="258"/>
      <c r="N85" s="258"/>
      <c r="O85" s="258"/>
      <c r="P85" s="258"/>
      <c r="Q85" s="258"/>
      <c r="R85" s="258"/>
      <c r="S85" s="259"/>
      <c r="T85" s="260">
        <f t="shared" si="124"/>
        <v>0</v>
      </c>
      <c r="U85" s="442"/>
      <c r="V85" s="258"/>
      <c r="W85" s="258"/>
      <c r="X85" s="258"/>
      <c r="Y85" s="258"/>
      <c r="Z85" s="258"/>
      <c r="AA85" s="258"/>
      <c r="AB85" s="258"/>
      <c r="AC85" s="258"/>
      <c r="AD85" s="258"/>
      <c r="AE85" s="258"/>
      <c r="AF85" s="259"/>
      <c r="AG85" s="260">
        <f t="shared" si="125"/>
        <v>0</v>
      </c>
      <c r="AH85" s="442"/>
      <c r="AI85" s="258"/>
      <c r="AJ85" s="258"/>
      <c r="AK85" s="258"/>
      <c r="AL85" s="258"/>
      <c r="AM85" s="258"/>
      <c r="AN85" s="258"/>
      <c r="AO85" s="258"/>
      <c r="AP85" s="258"/>
      <c r="AQ85" s="258"/>
      <c r="AR85" s="258"/>
      <c r="AS85" s="259"/>
      <c r="AT85" s="260">
        <f t="shared" si="126"/>
        <v>0</v>
      </c>
      <c r="AU85" s="442"/>
      <c r="AV85" s="258"/>
      <c r="AW85" s="258"/>
      <c r="AX85" s="258"/>
      <c r="AY85" s="258"/>
      <c r="AZ85" s="258"/>
      <c r="BA85" s="258"/>
      <c r="BB85" s="258"/>
      <c r="BC85" s="258"/>
      <c r="BD85" s="258"/>
      <c r="BE85" s="258"/>
      <c r="BF85" s="259"/>
      <c r="BG85" s="260">
        <f t="shared" si="127"/>
        <v>0</v>
      </c>
      <c r="BH85" s="442"/>
      <c r="BI85" s="258"/>
      <c r="BJ85" s="258"/>
      <c r="BK85" s="258"/>
      <c r="BL85" s="258"/>
      <c r="BM85" s="258"/>
      <c r="BN85" s="258"/>
      <c r="BO85" s="258"/>
      <c r="BP85" s="258"/>
      <c r="BQ85" s="258"/>
      <c r="BR85" s="258"/>
      <c r="BS85" s="259"/>
      <c r="BT85" s="260">
        <f t="shared" si="128"/>
        <v>0</v>
      </c>
      <c r="BU85" s="310">
        <f t="shared" si="129"/>
        <v>0</v>
      </c>
    </row>
    <row r="86" spans="1:75" ht="13.5" thickBot="1">
      <c r="A86" s="1094" t="s">
        <v>73</v>
      </c>
      <c r="B86" s="1095"/>
      <c r="C86" s="1095"/>
      <c r="D86" s="1095"/>
      <c r="E86" s="1095"/>
      <c r="F86" s="653"/>
      <c r="G86" s="303">
        <f>SUM(G71:G85)</f>
        <v>0</v>
      </c>
      <c r="H86" s="303">
        <f t="shared" ref="H86:BS86" si="130">SUM(H71:H85)</f>
        <v>0</v>
      </c>
      <c r="I86" s="303">
        <f t="shared" si="130"/>
        <v>0</v>
      </c>
      <c r="J86" s="303">
        <f t="shared" si="130"/>
        <v>0</v>
      </c>
      <c r="K86" s="303">
        <f t="shared" si="130"/>
        <v>0</v>
      </c>
      <c r="L86" s="303">
        <f t="shared" si="130"/>
        <v>0</v>
      </c>
      <c r="M86" s="303">
        <f t="shared" si="130"/>
        <v>0</v>
      </c>
      <c r="N86" s="303">
        <f t="shared" si="130"/>
        <v>0</v>
      </c>
      <c r="O86" s="303">
        <f t="shared" si="130"/>
        <v>0</v>
      </c>
      <c r="P86" s="303">
        <f t="shared" si="130"/>
        <v>0</v>
      </c>
      <c r="Q86" s="303">
        <f t="shared" si="130"/>
        <v>0</v>
      </c>
      <c r="R86" s="303">
        <f t="shared" si="130"/>
        <v>0</v>
      </c>
      <c r="S86" s="303">
        <f t="shared" si="130"/>
        <v>0</v>
      </c>
      <c r="T86" s="303">
        <f t="shared" si="130"/>
        <v>0</v>
      </c>
      <c r="U86" s="303">
        <f t="shared" si="130"/>
        <v>0</v>
      </c>
      <c r="V86" s="303">
        <f t="shared" si="130"/>
        <v>0</v>
      </c>
      <c r="W86" s="303">
        <f t="shared" si="130"/>
        <v>0</v>
      </c>
      <c r="X86" s="303">
        <f t="shared" si="130"/>
        <v>0</v>
      </c>
      <c r="Y86" s="303">
        <f t="shared" si="130"/>
        <v>0</v>
      </c>
      <c r="Z86" s="303">
        <f t="shared" si="130"/>
        <v>0</v>
      </c>
      <c r="AA86" s="303">
        <f t="shared" si="130"/>
        <v>0</v>
      </c>
      <c r="AB86" s="303">
        <f t="shared" si="130"/>
        <v>0</v>
      </c>
      <c r="AC86" s="303">
        <f t="shared" si="130"/>
        <v>0</v>
      </c>
      <c r="AD86" s="303">
        <f t="shared" si="130"/>
        <v>0</v>
      </c>
      <c r="AE86" s="303">
        <f t="shared" si="130"/>
        <v>0</v>
      </c>
      <c r="AF86" s="303">
        <f t="shared" si="130"/>
        <v>0</v>
      </c>
      <c r="AG86" s="303">
        <f t="shared" si="130"/>
        <v>0</v>
      </c>
      <c r="AH86" s="303">
        <f t="shared" si="130"/>
        <v>0</v>
      </c>
      <c r="AI86" s="303">
        <f t="shared" si="130"/>
        <v>0</v>
      </c>
      <c r="AJ86" s="303">
        <f t="shared" si="130"/>
        <v>0</v>
      </c>
      <c r="AK86" s="303">
        <f t="shared" si="130"/>
        <v>0</v>
      </c>
      <c r="AL86" s="303">
        <f t="shared" si="130"/>
        <v>0</v>
      </c>
      <c r="AM86" s="303">
        <f t="shared" si="130"/>
        <v>0</v>
      </c>
      <c r="AN86" s="303">
        <f t="shared" si="130"/>
        <v>0</v>
      </c>
      <c r="AO86" s="303">
        <f t="shared" si="130"/>
        <v>0</v>
      </c>
      <c r="AP86" s="303">
        <f t="shared" si="130"/>
        <v>0</v>
      </c>
      <c r="AQ86" s="303">
        <f t="shared" si="130"/>
        <v>0</v>
      </c>
      <c r="AR86" s="303">
        <f t="shared" si="130"/>
        <v>0</v>
      </c>
      <c r="AS86" s="303">
        <f t="shared" si="130"/>
        <v>0</v>
      </c>
      <c r="AT86" s="303">
        <f t="shared" si="130"/>
        <v>0</v>
      </c>
      <c r="AU86" s="303">
        <f t="shared" si="130"/>
        <v>0</v>
      </c>
      <c r="AV86" s="303">
        <f t="shared" si="130"/>
        <v>0</v>
      </c>
      <c r="AW86" s="303">
        <f t="shared" si="130"/>
        <v>0</v>
      </c>
      <c r="AX86" s="303">
        <f t="shared" si="130"/>
        <v>0</v>
      </c>
      <c r="AY86" s="303">
        <f t="shared" si="130"/>
        <v>0</v>
      </c>
      <c r="AZ86" s="303">
        <f t="shared" si="130"/>
        <v>0</v>
      </c>
      <c r="BA86" s="303">
        <f t="shared" si="130"/>
        <v>0</v>
      </c>
      <c r="BB86" s="303">
        <f t="shared" si="130"/>
        <v>0</v>
      </c>
      <c r="BC86" s="303">
        <f t="shared" si="130"/>
        <v>0</v>
      </c>
      <c r="BD86" s="303">
        <f t="shared" si="130"/>
        <v>0</v>
      </c>
      <c r="BE86" s="303">
        <f t="shared" si="130"/>
        <v>0</v>
      </c>
      <c r="BF86" s="303">
        <f t="shared" si="130"/>
        <v>0</v>
      </c>
      <c r="BG86" s="303">
        <f t="shared" si="130"/>
        <v>0</v>
      </c>
      <c r="BH86" s="303">
        <f t="shared" si="130"/>
        <v>0</v>
      </c>
      <c r="BI86" s="303">
        <f t="shared" si="130"/>
        <v>0</v>
      </c>
      <c r="BJ86" s="303">
        <f t="shared" si="130"/>
        <v>0</v>
      </c>
      <c r="BK86" s="303">
        <f t="shared" si="130"/>
        <v>0</v>
      </c>
      <c r="BL86" s="303">
        <f t="shared" si="130"/>
        <v>0</v>
      </c>
      <c r="BM86" s="303">
        <f t="shared" si="130"/>
        <v>0</v>
      </c>
      <c r="BN86" s="303">
        <f t="shared" si="130"/>
        <v>0</v>
      </c>
      <c r="BO86" s="303">
        <f t="shared" si="130"/>
        <v>0</v>
      </c>
      <c r="BP86" s="303">
        <f t="shared" si="130"/>
        <v>0</v>
      </c>
      <c r="BQ86" s="303">
        <f t="shared" si="130"/>
        <v>0</v>
      </c>
      <c r="BR86" s="303">
        <f t="shared" si="130"/>
        <v>0</v>
      </c>
      <c r="BS86" s="303">
        <f t="shared" si="130"/>
        <v>0</v>
      </c>
      <c r="BT86" s="303">
        <f t="shared" ref="BT86:BU86" si="131">SUM(BT71:BT85)</f>
        <v>0</v>
      </c>
      <c r="BU86" s="303">
        <f t="shared" si="131"/>
        <v>0</v>
      </c>
    </row>
    <row r="87" spans="1:75" ht="16.5" thickBot="1">
      <c r="A87" s="1092" t="s">
        <v>35</v>
      </c>
      <c r="B87" s="1093"/>
      <c r="C87" s="1093"/>
      <c r="D87" s="1093"/>
      <c r="E87" s="1093"/>
      <c r="F87" s="652"/>
      <c r="G87" s="299">
        <f t="shared" ref="G87:AL87" si="132">G16+G28+G40+G52+G69+G86</f>
        <v>0</v>
      </c>
      <c r="H87" s="299">
        <f t="shared" si="132"/>
        <v>0</v>
      </c>
      <c r="I87" s="299">
        <f t="shared" si="132"/>
        <v>0</v>
      </c>
      <c r="J87" s="299">
        <f t="shared" si="132"/>
        <v>0</v>
      </c>
      <c r="K87" s="299">
        <f t="shared" si="132"/>
        <v>0</v>
      </c>
      <c r="L87" s="299">
        <f t="shared" si="132"/>
        <v>0</v>
      </c>
      <c r="M87" s="299">
        <f t="shared" si="132"/>
        <v>0</v>
      </c>
      <c r="N87" s="299">
        <f t="shared" si="132"/>
        <v>0</v>
      </c>
      <c r="O87" s="299">
        <f t="shared" si="132"/>
        <v>0</v>
      </c>
      <c r="P87" s="299">
        <f t="shared" si="132"/>
        <v>0</v>
      </c>
      <c r="Q87" s="299">
        <f t="shared" si="132"/>
        <v>0</v>
      </c>
      <c r="R87" s="299">
        <f t="shared" si="132"/>
        <v>0</v>
      </c>
      <c r="S87" s="299">
        <f t="shared" si="132"/>
        <v>0</v>
      </c>
      <c r="T87" s="299">
        <f t="shared" si="132"/>
        <v>0</v>
      </c>
      <c r="U87" s="299">
        <f t="shared" si="132"/>
        <v>0</v>
      </c>
      <c r="V87" s="299">
        <f t="shared" si="132"/>
        <v>0</v>
      </c>
      <c r="W87" s="299">
        <f t="shared" si="132"/>
        <v>0</v>
      </c>
      <c r="X87" s="299">
        <f t="shared" si="132"/>
        <v>200000</v>
      </c>
      <c r="Y87" s="299">
        <f t="shared" si="132"/>
        <v>0</v>
      </c>
      <c r="Z87" s="299">
        <f t="shared" si="132"/>
        <v>200000</v>
      </c>
      <c r="AA87" s="299">
        <f t="shared" si="132"/>
        <v>0</v>
      </c>
      <c r="AB87" s="299">
        <f t="shared" si="132"/>
        <v>0</v>
      </c>
      <c r="AC87" s="299">
        <f t="shared" si="132"/>
        <v>0</v>
      </c>
      <c r="AD87" s="299">
        <f t="shared" si="132"/>
        <v>0</v>
      </c>
      <c r="AE87" s="299">
        <f t="shared" si="132"/>
        <v>0</v>
      </c>
      <c r="AF87" s="299">
        <f t="shared" si="132"/>
        <v>0</v>
      </c>
      <c r="AG87" s="299">
        <f t="shared" si="132"/>
        <v>400000</v>
      </c>
      <c r="AH87" s="299">
        <f t="shared" si="132"/>
        <v>200000</v>
      </c>
      <c r="AI87" s="299">
        <f t="shared" si="132"/>
        <v>200000</v>
      </c>
      <c r="AJ87" s="299">
        <f t="shared" si="132"/>
        <v>0</v>
      </c>
      <c r="AK87" s="299">
        <f t="shared" si="132"/>
        <v>0</v>
      </c>
      <c r="AL87" s="299">
        <f t="shared" si="132"/>
        <v>0</v>
      </c>
      <c r="AM87" s="299">
        <f t="shared" ref="AM87:BR87" si="133">AM16+AM28+AM40+AM52+AM69+AM86</f>
        <v>200000</v>
      </c>
      <c r="AN87" s="299">
        <f t="shared" si="133"/>
        <v>0</v>
      </c>
      <c r="AO87" s="299">
        <f t="shared" si="133"/>
        <v>0</v>
      </c>
      <c r="AP87" s="299">
        <f t="shared" si="133"/>
        <v>0</v>
      </c>
      <c r="AQ87" s="299">
        <f t="shared" si="133"/>
        <v>0</v>
      </c>
      <c r="AR87" s="299">
        <f t="shared" si="133"/>
        <v>0</v>
      </c>
      <c r="AS87" s="299">
        <f t="shared" si="133"/>
        <v>0</v>
      </c>
      <c r="AT87" s="299">
        <f t="shared" si="133"/>
        <v>600000</v>
      </c>
      <c r="AU87" s="299">
        <f t="shared" si="133"/>
        <v>0</v>
      </c>
      <c r="AV87" s="299">
        <f t="shared" si="133"/>
        <v>0</v>
      </c>
      <c r="AW87" s="299">
        <f t="shared" si="133"/>
        <v>0</v>
      </c>
      <c r="AX87" s="299">
        <f t="shared" si="133"/>
        <v>0</v>
      </c>
      <c r="AY87" s="299">
        <f t="shared" si="133"/>
        <v>0</v>
      </c>
      <c r="AZ87" s="299">
        <f t="shared" si="133"/>
        <v>0</v>
      </c>
      <c r="BA87" s="299">
        <f t="shared" si="133"/>
        <v>0</v>
      </c>
      <c r="BB87" s="299">
        <f t="shared" si="133"/>
        <v>0</v>
      </c>
      <c r="BC87" s="299">
        <f t="shared" si="133"/>
        <v>0</v>
      </c>
      <c r="BD87" s="299">
        <f t="shared" si="133"/>
        <v>0</v>
      </c>
      <c r="BE87" s="299">
        <f t="shared" si="133"/>
        <v>0</v>
      </c>
      <c r="BF87" s="299">
        <f t="shared" si="133"/>
        <v>0</v>
      </c>
      <c r="BG87" s="299">
        <f t="shared" si="133"/>
        <v>0</v>
      </c>
      <c r="BH87" s="299">
        <f t="shared" si="133"/>
        <v>0</v>
      </c>
      <c r="BI87" s="299">
        <f t="shared" si="133"/>
        <v>0</v>
      </c>
      <c r="BJ87" s="299">
        <f t="shared" si="133"/>
        <v>0</v>
      </c>
      <c r="BK87" s="299">
        <f t="shared" si="133"/>
        <v>0</v>
      </c>
      <c r="BL87" s="299">
        <f t="shared" si="133"/>
        <v>0</v>
      </c>
      <c r="BM87" s="299">
        <f t="shared" si="133"/>
        <v>0</v>
      </c>
      <c r="BN87" s="299">
        <f t="shared" si="133"/>
        <v>0</v>
      </c>
      <c r="BO87" s="299">
        <f t="shared" si="133"/>
        <v>0</v>
      </c>
      <c r="BP87" s="299">
        <f t="shared" si="133"/>
        <v>0</v>
      </c>
      <c r="BQ87" s="299">
        <f t="shared" si="133"/>
        <v>0</v>
      </c>
      <c r="BR87" s="299">
        <f t="shared" si="133"/>
        <v>0</v>
      </c>
      <c r="BS87" s="299">
        <f t="shared" ref="BS87:BU87" si="134">BS16+BS28+BS40+BS52+BS69+BS86</f>
        <v>0</v>
      </c>
      <c r="BT87" s="299">
        <f t="shared" si="134"/>
        <v>0</v>
      </c>
      <c r="BU87" s="299">
        <f t="shared" si="134"/>
        <v>1000000</v>
      </c>
    </row>
    <row r="88" spans="1:75" ht="13.5" thickBot="1">
      <c r="A88" s="5"/>
      <c r="B88" s="5"/>
      <c r="C88" s="5"/>
      <c r="D88" s="5"/>
      <c r="E88" s="6"/>
      <c r="F88" s="6"/>
      <c r="G88" s="305"/>
      <c r="H88" s="305"/>
      <c r="I88" s="305"/>
      <c r="J88" s="305"/>
      <c r="K88" s="305"/>
      <c r="L88" s="305"/>
      <c r="M88" s="305"/>
      <c r="N88" s="305"/>
      <c r="O88" s="305"/>
      <c r="P88" s="305"/>
      <c r="Q88" s="305"/>
      <c r="R88" s="305"/>
      <c r="S88" s="305"/>
      <c r="T88" s="305"/>
      <c r="U88" s="306"/>
      <c r="V88" s="306"/>
      <c r="W88" s="307"/>
      <c r="X88" s="308"/>
      <c r="AH88" s="306"/>
      <c r="AI88" s="306"/>
      <c r="AJ88" s="307"/>
      <c r="AK88" s="308"/>
      <c r="AU88" s="306"/>
      <c r="AV88" s="306"/>
      <c r="AW88" s="307"/>
      <c r="AX88" s="308"/>
      <c r="BH88" s="306"/>
      <c r="BI88" s="306"/>
      <c r="BJ88" s="307"/>
      <c r="BK88" s="308"/>
    </row>
    <row r="89" spans="1:75" s="429" customFormat="1">
      <c r="A89" s="423"/>
      <c r="B89" s="423"/>
      <c r="C89" s="423"/>
      <c r="D89" s="423"/>
      <c r="E89" s="420" t="s">
        <v>1804</v>
      </c>
      <c r="F89" s="420"/>
      <c r="G89" s="424">
        <v>2016</v>
      </c>
      <c r="H89" s="425" t="s">
        <v>1769</v>
      </c>
      <c r="I89" s="425" t="s">
        <v>1770</v>
      </c>
      <c r="J89" s="425" t="s">
        <v>1771</v>
      </c>
      <c r="K89" s="425" t="s">
        <v>1772</v>
      </c>
      <c r="L89" s="425" t="s">
        <v>1773</v>
      </c>
      <c r="M89" s="425" t="s">
        <v>1774</v>
      </c>
      <c r="N89" s="425" t="s">
        <v>1775</v>
      </c>
      <c r="O89" s="425" t="s">
        <v>1776</v>
      </c>
      <c r="P89" s="425" t="s">
        <v>1777</v>
      </c>
      <c r="Q89" s="425" t="s">
        <v>1778</v>
      </c>
      <c r="R89" s="425" t="s">
        <v>1779</v>
      </c>
      <c r="S89" s="425" t="s">
        <v>1780</v>
      </c>
      <c r="T89" s="426">
        <v>2017</v>
      </c>
      <c r="U89" s="427" t="s">
        <v>1769</v>
      </c>
      <c r="V89" s="427" t="s">
        <v>1770</v>
      </c>
      <c r="W89" s="427" t="s">
        <v>1771</v>
      </c>
      <c r="X89" s="427" t="s">
        <v>1772</v>
      </c>
      <c r="Y89" s="427" t="s">
        <v>1773</v>
      </c>
      <c r="Z89" s="427" t="s">
        <v>1774</v>
      </c>
      <c r="AA89" s="427" t="s">
        <v>1775</v>
      </c>
      <c r="AB89" s="427" t="s">
        <v>1776</v>
      </c>
      <c r="AC89" s="427" t="s">
        <v>1777</v>
      </c>
      <c r="AD89" s="427" t="s">
        <v>1778</v>
      </c>
      <c r="AE89" s="427" t="s">
        <v>1779</v>
      </c>
      <c r="AF89" s="427" t="s">
        <v>1780</v>
      </c>
      <c r="AG89" s="428">
        <v>2018</v>
      </c>
      <c r="AH89" s="427" t="s">
        <v>1769</v>
      </c>
      <c r="AI89" s="427" t="s">
        <v>1770</v>
      </c>
      <c r="AJ89" s="427" t="s">
        <v>1771</v>
      </c>
      <c r="AK89" s="427" t="s">
        <v>1772</v>
      </c>
      <c r="AL89" s="427" t="s">
        <v>1773</v>
      </c>
      <c r="AM89" s="427" t="s">
        <v>1774</v>
      </c>
      <c r="AN89" s="427" t="s">
        <v>1775</v>
      </c>
      <c r="AO89" s="427" t="s">
        <v>1776</v>
      </c>
      <c r="AP89" s="427" t="s">
        <v>1777</v>
      </c>
      <c r="AQ89" s="427" t="s">
        <v>1778</v>
      </c>
      <c r="AR89" s="427" t="s">
        <v>1779</v>
      </c>
      <c r="AS89" s="427" t="s">
        <v>1780</v>
      </c>
      <c r="AT89" s="428">
        <v>2019</v>
      </c>
      <c r="AU89" s="427" t="s">
        <v>1769</v>
      </c>
      <c r="AV89" s="427" t="s">
        <v>1770</v>
      </c>
      <c r="AW89" s="427" t="s">
        <v>1771</v>
      </c>
      <c r="AX89" s="427" t="s">
        <v>1772</v>
      </c>
      <c r="AY89" s="427" t="s">
        <v>1773</v>
      </c>
      <c r="AZ89" s="427" t="s">
        <v>1774</v>
      </c>
      <c r="BA89" s="427" t="s">
        <v>1775</v>
      </c>
      <c r="BB89" s="427" t="s">
        <v>1776</v>
      </c>
      <c r="BC89" s="427" t="s">
        <v>1777</v>
      </c>
      <c r="BD89" s="427" t="s">
        <v>1778</v>
      </c>
      <c r="BE89" s="427" t="s">
        <v>1779</v>
      </c>
      <c r="BF89" s="427" t="s">
        <v>1780</v>
      </c>
      <c r="BG89" s="428">
        <v>2020</v>
      </c>
      <c r="BH89" s="427" t="s">
        <v>1769</v>
      </c>
      <c r="BI89" s="427" t="s">
        <v>1770</v>
      </c>
      <c r="BJ89" s="427" t="s">
        <v>1771</v>
      </c>
      <c r="BK89" s="427" t="s">
        <v>1772</v>
      </c>
      <c r="BL89" s="427" t="s">
        <v>1773</v>
      </c>
      <c r="BM89" s="427" t="s">
        <v>1774</v>
      </c>
      <c r="BN89" s="427" t="s">
        <v>1775</v>
      </c>
      <c r="BO89" s="427" t="s">
        <v>1776</v>
      </c>
      <c r="BP89" s="427" t="s">
        <v>1777</v>
      </c>
      <c r="BQ89" s="427" t="s">
        <v>1778</v>
      </c>
      <c r="BR89" s="427" t="s">
        <v>1779</v>
      </c>
      <c r="BS89" s="427" t="s">
        <v>1780</v>
      </c>
      <c r="BT89" s="428">
        <v>2021</v>
      </c>
      <c r="BU89" s="580"/>
      <c r="BV89" s="511" t="s">
        <v>1810</v>
      </c>
      <c r="BW89" s="512"/>
    </row>
    <row r="90" spans="1:75" s="485" customFormat="1" ht="15.75">
      <c r="A90" s="483"/>
      <c r="B90" s="483"/>
      <c r="C90" s="483"/>
      <c r="D90" s="483"/>
      <c r="E90" s="484" t="s">
        <v>1808</v>
      </c>
      <c r="F90" s="484"/>
      <c r="G90" s="606">
        <f t="array" ref="G90">SUMPRODUCT(IF($C$6:$C$80="о",1,0),G6:G80)/1000</f>
        <v>0</v>
      </c>
      <c r="H90" s="607">
        <f t="array" ref="H90">SUMPRODUCT(IF($C$6:$C$80="о",1,0),H6:H80)/1000</f>
        <v>0</v>
      </c>
      <c r="I90" s="608">
        <f t="array" ref="I90">SUMPRODUCT(IF($C$6:$C$80="о",1,0),I6:I80)/1000</f>
        <v>0</v>
      </c>
      <c r="J90" s="608">
        <f t="array" ref="J90">SUMPRODUCT(IF($C$6:$C$80="о",1,0),J6:J80)/1000</f>
        <v>0</v>
      </c>
      <c r="K90" s="608">
        <f t="array" ref="K90">SUMPRODUCT(IF($C$6:$C$80="о",1,0),K6:K80)/1000</f>
        <v>0</v>
      </c>
      <c r="L90" s="608">
        <f t="array" ref="L90">SUMPRODUCT(IF($C$6:$C$80="о",1,0),L6:L80)/1000</f>
        <v>0</v>
      </c>
      <c r="M90" s="608">
        <f t="array" ref="M90">SUMPRODUCT(IF($C$6:$C$80="о",1,0),M6:M80)/1000</f>
        <v>0</v>
      </c>
      <c r="N90" s="608">
        <f t="array" ref="N90">SUMPRODUCT(IF($C$6:$C$80="о",1,0),N6:N80)/1000</f>
        <v>0</v>
      </c>
      <c r="O90" s="608">
        <f t="array" ref="O90">SUMPRODUCT(IF($C$6:$C$80="о",1,0),O6:O80)/1000</f>
        <v>0</v>
      </c>
      <c r="P90" s="608">
        <f t="array" ref="P90">SUMPRODUCT(IF($C$6:$C$80="о",1,0),P6:P80)/1000</f>
        <v>0</v>
      </c>
      <c r="Q90" s="608">
        <f t="array" ref="Q90">SUMPRODUCT(IF($C$6:$C$80="о",1,0),Q6:Q80)/1000</f>
        <v>0</v>
      </c>
      <c r="R90" s="608">
        <f t="array" ref="R90">SUMPRODUCT(IF($C$6:$C$80="о",1,0),R6:R80)/1000</f>
        <v>0</v>
      </c>
      <c r="S90" s="608">
        <f t="array" ref="S90">SUMPRODUCT(IF($C$6:$C$80="о",1,0),S6:S80)/1000</f>
        <v>0</v>
      </c>
      <c r="T90" s="609">
        <f t="array" ref="T90">SUMPRODUCT(IF($C$6:$C$80="о",1,0),T6:T80)/1000</f>
        <v>0</v>
      </c>
      <c r="U90" s="607">
        <f t="array" ref="U90">SUMPRODUCT(IF($C$6:$C$80="о",1,0),U6:U80)/1000</f>
        <v>0</v>
      </c>
      <c r="V90" s="608">
        <f t="array" ref="V90">SUMPRODUCT(IF($C$6:$C$80="о",1,0),V6:V80)/1000</f>
        <v>0</v>
      </c>
      <c r="W90" s="608">
        <f t="array" ref="W90">SUMPRODUCT(IF($C$6:$C$80="о",1,0),W6:W80)/1000</f>
        <v>0</v>
      </c>
      <c r="X90" s="608">
        <f t="array" ref="X90">SUMPRODUCT(IF($C$6:$C$80="о",1,0),X6:X80)/1000</f>
        <v>0</v>
      </c>
      <c r="Y90" s="608">
        <f t="array" ref="Y90">SUMPRODUCT(IF($C$6:$C$80="о",1,0),Y6:Y80)/1000</f>
        <v>0</v>
      </c>
      <c r="Z90" s="608">
        <f t="array" ref="Z90">SUMPRODUCT(IF($C$6:$C$80="о",1,0),Z6:Z80)/1000</f>
        <v>0</v>
      </c>
      <c r="AA90" s="608">
        <f t="array" ref="AA90">SUMPRODUCT(IF($C$6:$C$80="о",1,0),AA6:AA80)/1000</f>
        <v>0</v>
      </c>
      <c r="AB90" s="608">
        <f t="array" ref="AB90">SUMPRODUCT(IF($C$6:$C$80="о",1,0),AB6:AB80)/1000</f>
        <v>0</v>
      </c>
      <c r="AC90" s="608">
        <f t="array" ref="AC90">SUMPRODUCT(IF($C$6:$C$80="о",1,0),AC6:AC80)/1000</f>
        <v>0</v>
      </c>
      <c r="AD90" s="608">
        <f t="array" ref="AD90">SUMPRODUCT(IF($C$6:$C$80="о",1,0),AD6:AD80)/1000</f>
        <v>0</v>
      </c>
      <c r="AE90" s="608">
        <f t="array" ref="AE90">SUMPRODUCT(IF($C$6:$C$80="о",1,0),AE6:AE80)/1000</f>
        <v>0</v>
      </c>
      <c r="AF90" s="608">
        <f t="array" ref="AF90">SUMPRODUCT(IF($C$6:$C$80="о",1,0),AF6:AF80)/1000</f>
        <v>0</v>
      </c>
      <c r="AG90" s="609">
        <f t="array" ref="AG90">SUMPRODUCT(IF($C$6:$C$80="о",1,0),AG6:AG80)/1000</f>
        <v>0</v>
      </c>
      <c r="AH90" s="607">
        <f t="array" ref="AH90">SUMPRODUCT(IF($C$6:$C$80="о",1,0),AH6:AH80)/1000</f>
        <v>0</v>
      </c>
      <c r="AI90" s="608">
        <f t="array" ref="AI90">SUMPRODUCT(IF($C$6:$C$80="о",1,0),AI6:AI80)/1000</f>
        <v>0</v>
      </c>
      <c r="AJ90" s="608">
        <f t="array" ref="AJ90">SUMPRODUCT(IF($C$6:$C$80="о",1,0),AJ6:AJ80)/1000</f>
        <v>0</v>
      </c>
      <c r="AK90" s="608">
        <f t="array" ref="AK90">SUMPRODUCT(IF($C$6:$C$80="о",1,0),AK6:AK80)/1000</f>
        <v>0</v>
      </c>
      <c r="AL90" s="608">
        <f t="array" ref="AL90">SUMPRODUCT(IF($C$6:$C$80="о",1,0),AL6:AL80)/1000</f>
        <v>0</v>
      </c>
      <c r="AM90" s="608">
        <f t="array" ref="AM90">SUMPRODUCT(IF($C$6:$C$80="о",1,0),AM6:AM80)/1000</f>
        <v>0</v>
      </c>
      <c r="AN90" s="608">
        <f t="array" ref="AN90">SUMPRODUCT(IF($C$6:$C$80="о",1,0),AN6:AN80)/1000</f>
        <v>0</v>
      </c>
      <c r="AO90" s="608">
        <f t="array" ref="AO90">SUMPRODUCT(IF($C$6:$C$80="о",1,0),AO6:AO80)/1000</f>
        <v>0</v>
      </c>
      <c r="AP90" s="608">
        <f t="array" ref="AP90">SUMPRODUCT(IF($C$6:$C$80="о",1,0),AP6:AP80)/1000</f>
        <v>0</v>
      </c>
      <c r="AQ90" s="608">
        <f t="array" ref="AQ90">SUMPRODUCT(IF($C$6:$C$80="о",1,0),AQ6:AQ80)/1000</f>
        <v>0</v>
      </c>
      <c r="AR90" s="608">
        <f t="array" ref="AR90">SUMPRODUCT(IF($C$6:$C$80="о",1,0),AR6:AR80)/1000</f>
        <v>0</v>
      </c>
      <c r="AS90" s="608">
        <f t="array" ref="AS90">SUMPRODUCT(IF($C$6:$C$80="о",1,0),AS6:AS80)/1000</f>
        <v>0</v>
      </c>
      <c r="AT90" s="609">
        <f t="array" ref="AT90">SUMPRODUCT(IF($C$6:$C$80="о",1,0),AT6:AT80)/1000</f>
        <v>0</v>
      </c>
      <c r="AU90" s="607">
        <f t="array" ref="AU90">SUMPRODUCT(IF($C$6:$C$80="о",1,0),AU6:AU80)/1000</f>
        <v>0</v>
      </c>
      <c r="AV90" s="608">
        <f t="array" ref="AV90">SUMPRODUCT(IF($C$6:$C$80="о",1,0),AV6:AV80)/1000</f>
        <v>0</v>
      </c>
      <c r="AW90" s="608">
        <f t="array" ref="AW90">SUMPRODUCT(IF($C$6:$C$80="о",1,0),AW6:AW80)/1000</f>
        <v>0</v>
      </c>
      <c r="AX90" s="608">
        <f t="array" ref="AX90">SUMPRODUCT(IF($C$6:$C$80="о",1,0),AX6:AX80)/1000</f>
        <v>0</v>
      </c>
      <c r="AY90" s="608">
        <f t="array" ref="AY90">SUMPRODUCT(IF($C$6:$C$80="о",1,0),AY6:AY80)/1000</f>
        <v>0</v>
      </c>
      <c r="AZ90" s="608">
        <f t="array" ref="AZ90">SUMPRODUCT(IF($C$6:$C$80="о",1,0),AZ6:AZ80)/1000</f>
        <v>0</v>
      </c>
      <c r="BA90" s="608">
        <f t="array" ref="BA90">SUMPRODUCT(IF($C$6:$C$80="о",1,0),BA6:BA80)/1000</f>
        <v>0</v>
      </c>
      <c r="BB90" s="608">
        <f t="array" ref="BB90">SUMPRODUCT(IF($C$6:$C$80="о",1,0),BB6:BB80)/1000</f>
        <v>0</v>
      </c>
      <c r="BC90" s="608">
        <f t="array" ref="BC90">SUMPRODUCT(IF($C$6:$C$80="о",1,0),BC6:BC80)/1000</f>
        <v>0</v>
      </c>
      <c r="BD90" s="608">
        <f t="array" ref="BD90">SUMPRODUCT(IF($C$6:$C$80="о",1,0),BD6:BD80)/1000</f>
        <v>0</v>
      </c>
      <c r="BE90" s="608">
        <f t="array" ref="BE90">SUMPRODUCT(IF($C$6:$C$80="о",1,0),BE6:BE80)/1000</f>
        <v>0</v>
      </c>
      <c r="BF90" s="608">
        <f t="array" ref="BF90">SUMPRODUCT(IF($C$6:$C$80="о",1,0),BF6:BF80)/1000</f>
        <v>0</v>
      </c>
      <c r="BG90" s="609">
        <f t="array" ref="BG90">SUMPRODUCT(IF($C$6:$C$80="о",1,0),BG6:BG80)/1000</f>
        <v>0</v>
      </c>
      <c r="BH90" s="607">
        <f t="array" ref="BH90">SUMPRODUCT(IF($C$6:$C$80="о",1,0),BH6:BH80)/1000</f>
        <v>0</v>
      </c>
      <c r="BI90" s="608">
        <f t="array" ref="BI90">SUMPRODUCT(IF($C$6:$C$80="о",1,0),BI6:BI80)/1000</f>
        <v>0</v>
      </c>
      <c r="BJ90" s="608">
        <f t="array" ref="BJ90">SUMPRODUCT(IF($C$6:$C$80="о",1,0),BJ6:BJ80)/1000</f>
        <v>0</v>
      </c>
      <c r="BK90" s="608">
        <f t="array" ref="BK90">SUMPRODUCT(IF($C$6:$C$80="о",1,0),BK6:BK80)/1000</f>
        <v>0</v>
      </c>
      <c r="BL90" s="608">
        <f t="array" ref="BL90">SUMPRODUCT(IF($C$6:$C$80="о",1,0),BL6:BL80)/1000</f>
        <v>0</v>
      </c>
      <c r="BM90" s="608">
        <f t="array" ref="BM90">SUMPRODUCT(IF($C$6:$C$80="о",1,0),BM6:BM80)/1000</f>
        <v>0</v>
      </c>
      <c r="BN90" s="608">
        <f t="array" ref="BN90">SUMPRODUCT(IF($C$6:$C$80="о",1,0),BN6:BN80)/1000</f>
        <v>0</v>
      </c>
      <c r="BO90" s="608">
        <f t="array" ref="BO90">SUMPRODUCT(IF($C$6:$C$80="о",1,0),BO6:BO80)/1000</f>
        <v>0</v>
      </c>
      <c r="BP90" s="608">
        <f t="array" ref="BP90">SUMPRODUCT(IF($C$6:$C$80="о",1,0),BP6:BP80)/1000</f>
        <v>0</v>
      </c>
      <c r="BQ90" s="608">
        <f t="array" ref="BQ90">SUMPRODUCT(IF($C$6:$C$80="о",1,0),BQ6:BQ80)/1000</f>
        <v>0</v>
      </c>
      <c r="BR90" s="608">
        <f t="array" ref="BR90">SUMPRODUCT(IF($C$6:$C$80="о",1,0),BR6:BR80)/1000</f>
        <v>0</v>
      </c>
      <c r="BS90" s="608">
        <f t="array" ref="BS90">SUMPRODUCT(IF($C$6:$C$80="о",1,0),BS6:BS80)/1000</f>
        <v>0</v>
      </c>
      <c r="BT90" s="609">
        <f t="array" ref="BT90">SUMPRODUCT(IF($C$6:$C$80="о",1,0),BT6:BT80)/1000</f>
        <v>0</v>
      </c>
      <c r="BU90" s="589"/>
      <c r="BV90" s="604">
        <f>о_до_доп+о2017доп+о2018доп+о2019доп+о2020доп+о2021доп</f>
        <v>0</v>
      </c>
      <c r="BW90" s="513" t="s">
        <v>1764</v>
      </c>
    </row>
    <row r="91" spans="1:75" s="485" customFormat="1" ht="16.5" thickBot="1">
      <c r="E91" s="484" t="s">
        <v>1809</v>
      </c>
      <c r="F91" s="484"/>
      <c r="G91" s="610">
        <f t="array" ref="G91">SUMPRODUCT(IF($C$6:$C$80="к",1,0),G6:G80)/1000</f>
        <v>0</v>
      </c>
      <c r="H91" s="611">
        <f t="array" ref="H91">SUMPRODUCT(IF($C$6:$C$80="к",1,0),H6:H80)/1000</f>
        <v>0</v>
      </c>
      <c r="I91" s="612">
        <f t="array" ref="I91">SUMPRODUCT(IF($C$6:$C$80="к",1,0),I6:I80)/1000</f>
        <v>0</v>
      </c>
      <c r="J91" s="612">
        <f t="array" ref="J91">SUMPRODUCT(IF($C$6:$C$80="к",1,0),J6:J80)/1000</f>
        <v>0</v>
      </c>
      <c r="K91" s="612">
        <f t="array" ref="K91">SUMPRODUCT(IF($C$6:$C$80="к",1,0),K6:K80)/1000</f>
        <v>0</v>
      </c>
      <c r="L91" s="612">
        <f t="array" ref="L91">SUMPRODUCT(IF($C$6:$C$80="к",1,0),L6:L80)/1000</f>
        <v>0</v>
      </c>
      <c r="M91" s="612">
        <f t="array" ref="M91">SUMPRODUCT(IF($C$6:$C$80="к",1,0),M6:M80)/1000</f>
        <v>0</v>
      </c>
      <c r="N91" s="612">
        <f t="array" ref="N91">SUMPRODUCT(IF($C$6:$C$80="к",1,0),N6:N80)/1000</f>
        <v>0</v>
      </c>
      <c r="O91" s="612">
        <f t="array" ref="O91">SUMPRODUCT(IF($C$6:$C$80="к",1,0),O6:O80)/1000</f>
        <v>0</v>
      </c>
      <c r="P91" s="612">
        <f t="array" ref="P91">SUMPRODUCT(IF($C$6:$C$80="к",1,0),P6:P80)/1000</f>
        <v>0</v>
      </c>
      <c r="Q91" s="612">
        <f t="array" ref="Q91">SUMPRODUCT(IF($C$6:$C$80="к",1,0),Q6:Q80)/1000</f>
        <v>0</v>
      </c>
      <c r="R91" s="612">
        <f t="array" ref="R91">SUMPRODUCT(IF($C$6:$C$80="к",1,0),R6:R80)/1000</f>
        <v>0</v>
      </c>
      <c r="S91" s="612">
        <f t="array" ref="S91">SUMPRODUCT(IF($C$6:$C$80="к",1,0),S6:S80)/1000</f>
        <v>0</v>
      </c>
      <c r="T91" s="613">
        <f t="array" ref="T91">SUMPRODUCT(IF($C$6:$C$80="к",1,0),T6:T80)/1000</f>
        <v>0</v>
      </c>
      <c r="U91" s="611">
        <f t="array" ref="U91">SUMPRODUCT(IF($C$6:$C$80="к",1,0),U6:U80)/1000</f>
        <v>0</v>
      </c>
      <c r="V91" s="612">
        <f t="array" ref="V91">SUMPRODUCT(IF($C$6:$C$80="к",1,0),V6:V80)/1000</f>
        <v>0</v>
      </c>
      <c r="W91" s="612">
        <f t="array" ref="W91">SUMPRODUCT(IF($C$6:$C$80="к",1,0),W6:W80)/1000</f>
        <v>0</v>
      </c>
      <c r="X91" s="612">
        <f t="array" ref="X91">SUMPRODUCT(IF($C$6:$C$80="к",1,0),X6:X80)/1000</f>
        <v>0</v>
      </c>
      <c r="Y91" s="612">
        <f t="array" ref="Y91">SUMPRODUCT(IF($C$6:$C$80="к",1,0),Y6:Y80)/1000</f>
        <v>0</v>
      </c>
      <c r="Z91" s="612">
        <f t="array" ref="Z91">SUMPRODUCT(IF($C$6:$C$80="к",1,0),Z6:Z80)/1000</f>
        <v>0</v>
      </c>
      <c r="AA91" s="612">
        <f t="array" ref="AA91">SUMPRODUCT(IF($C$6:$C$80="к",1,0),AA6:AA80)/1000</f>
        <v>0</v>
      </c>
      <c r="AB91" s="612">
        <f t="array" ref="AB91">SUMPRODUCT(IF($C$6:$C$80="к",1,0),AB6:AB80)/1000</f>
        <v>0</v>
      </c>
      <c r="AC91" s="612">
        <f t="array" ref="AC91">SUMPRODUCT(IF($C$6:$C$80="к",1,0),AC6:AC80)/1000</f>
        <v>0</v>
      </c>
      <c r="AD91" s="612">
        <f t="array" ref="AD91">SUMPRODUCT(IF($C$6:$C$80="к",1,0),AD6:AD80)/1000</f>
        <v>0</v>
      </c>
      <c r="AE91" s="612">
        <f t="array" ref="AE91">SUMPRODUCT(IF($C$6:$C$80="к",1,0),AE6:AE80)/1000</f>
        <v>0</v>
      </c>
      <c r="AF91" s="612">
        <f t="array" ref="AF91">SUMPRODUCT(IF($C$6:$C$80="к",1,0),AF6:AF80)/1000</f>
        <v>0</v>
      </c>
      <c r="AG91" s="613">
        <f t="array" ref="AG91">SUMPRODUCT(IF($C$6:$C$80="к",1,0),AG6:AG80)/1000</f>
        <v>0</v>
      </c>
      <c r="AH91" s="611">
        <f t="array" ref="AH91">SUMPRODUCT(IF($C$6:$C$80="к",1,0),AH6:AH80)/1000</f>
        <v>0</v>
      </c>
      <c r="AI91" s="612">
        <f t="array" ref="AI91">SUMPRODUCT(IF($C$6:$C$80="к",1,0),AI6:AI80)/1000</f>
        <v>0</v>
      </c>
      <c r="AJ91" s="612">
        <f t="array" ref="AJ91">SUMPRODUCT(IF($C$6:$C$80="к",1,0),AJ6:AJ80)/1000</f>
        <v>0</v>
      </c>
      <c r="AK91" s="612">
        <f t="array" ref="AK91">SUMPRODUCT(IF($C$6:$C$80="к",1,0),AK6:AK80)/1000</f>
        <v>0</v>
      </c>
      <c r="AL91" s="612">
        <f t="array" ref="AL91">SUMPRODUCT(IF($C$6:$C$80="к",1,0),AL6:AL80)/1000</f>
        <v>0</v>
      </c>
      <c r="AM91" s="612">
        <f t="array" ref="AM91">SUMPRODUCT(IF($C$6:$C$80="к",1,0),AM6:AM80)/1000</f>
        <v>0</v>
      </c>
      <c r="AN91" s="612">
        <f t="array" ref="AN91">SUMPRODUCT(IF($C$6:$C$80="к",1,0),AN6:AN80)/1000</f>
        <v>0</v>
      </c>
      <c r="AO91" s="612">
        <f t="array" ref="AO91">SUMPRODUCT(IF($C$6:$C$80="к",1,0),AO6:AO80)/1000</f>
        <v>0</v>
      </c>
      <c r="AP91" s="612">
        <f t="array" ref="AP91">SUMPRODUCT(IF($C$6:$C$80="к",1,0),AP6:AP80)/1000</f>
        <v>0</v>
      </c>
      <c r="AQ91" s="612">
        <f t="array" ref="AQ91">SUMPRODUCT(IF($C$6:$C$80="к",1,0),AQ6:AQ80)/1000</f>
        <v>0</v>
      </c>
      <c r="AR91" s="612">
        <f t="array" ref="AR91">SUMPRODUCT(IF($C$6:$C$80="к",1,0),AR6:AR80)/1000</f>
        <v>0</v>
      </c>
      <c r="AS91" s="612">
        <f t="array" ref="AS91">SUMPRODUCT(IF($C$6:$C$80="к",1,0),AS6:AS80)/1000</f>
        <v>0</v>
      </c>
      <c r="AT91" s="613">
        <f t="array" ref="AT91">SUMPRODUCT(IF($C$6:$C$80="к",1,0),AT6:AT80)/1000</f>
        <v>0</v>
      </c>
      <c r="AU91" s="611">
        <f t="array" ref="AU91">SUMPRODUCT(IF($C$6:$C$80="к",1,0),AU6:AU80)/1000</f>
        <v>0</v>
      </c>
      <c r="AV91" s="612">
        <f t="array" ref="AV91">SUMPRODUCT(IF($C$6:$C$80="к",1,0),AV6:AV80)/1000</f>
        <v>0</v>
      </c>
      <c r="AW91" s="612">
        <f t="array" ref="AW91">SUMPRODUCT(IF($C$6:$C$80="к",1,0),AW6:AW80)/1000</f>
        <v>0</v>
      </c>
      <c r="AX91" s="612">
        <f t="array" ref="AX91">SUMPRODUCT(IF($C$6:$C$80="к",1,0),AX6:AX80)/1000</f>
        <v>0</v>
      </c>
      <c r="AY91" s="612">
        <f t="array" ref="AY91">SUMPRODUCT(IF($C$6:$C$80="к",1,0),AY6:AY80)/1000</f>
        <v>0</v>
      </c>
      <c r="AZ91" s="612">
        <f t="array" ref="AZ91">SUMPRODUCT(IF($C$6:$C$80="к",1,0),AZ6:AZ80)/1000</f>
        <v>0</v>
      </c>
      <c r="BA91" s="612">
        <f t="array" ref="BA91">SUMPRODUCT(IF($C$6:$C$80="к",1,0),BA6:BA80)/1000</f>
        <v>0</v>
      </c>
      <c r="BB91" s="612">
        <f t="array" ref="BB91">SUMPRODUCT(IF($C$6:$C$80="к",1,0),BB6:BB80)/1000</f>
        <v>0</v>
      </c>
      <c r="BC91" s="612">
        <f t="array" ref="BC91">SUMPRODUCT(IF($C$6:$C$80="к",1,0),BC6:BC80)/1000</f>
        <v>0</v>
      </c>
      <c r="BD91" s="612">
        <f t="array" ref="BD91">SUMPRODUCT(IF($C$6:$C$80="к",1,0),BD6:BD80)/1000</f>
        <v>0</v>
      </c>
      <c r="BE91" s="612">
        <f t="array" ref="BE91">SUMPRODUCT(IF($C$6:$C$80="к",1,0),BE6:BE80)/1000</f>
        <v>0</v>
      </c>
      <c r="BF91" s="612">
        <f t="array" ref="BF91">SUMPRODUCT(IF($C$6:$C$80="к",1,0),BF6:BF80)/1000</f>
        <v>0</v>
      </c>
      <c r="BG91" s="613">
        <f t="array" ref="BG91">SUMPRODUCT(IF($C$6:$C$80="к",1,0),BG6:BG80)/1000</f>
        <v>0</v>
      </c>
      <c r="BH91" s="611">
        <f t="array" ref="BH91">SUMPRODUCT(IF($C$6:$C$80="к",1,0),BH6:BH80)/1000</f>
        <v>0</v>
      </c>
      <c r="BI91" s="612">
        <f t="array" ref="BI91">SUMPRODUCT(IF($C$6:$C$80="к",1,0),BI6:BI80)/1000</f>
        <v>0</v>
      </c>
      <c r="BJ91" s="612">
        <f t="array" ref="BJ91">SUMPRODUCT(IF($C$6:$C$80="к",1,0),BJ6:BJ80)/1000</f>
        <v>0</v>
      </c>
      <c r="BK91" s="612">
        <f t="array" ref="BK91">SUMPRODUCT(IF($C$6:$C$80="к",1,0),BK6:BK80)/1000</f>
        <v>0</v>
      </c>
      <c r="BL91" s="612">
        <f t="array" ref="BL91">SUMPRODUCT(IF($C$6:$C$80="к",1,0),BL6:BL80)/1000</f>
        <v>0</v>
      </c>
      <c r="BM91" s="612">
        <f t="array" ref="BM91">SUMPRODUCT(IF($C$6:$C$80="к",1,0),BM6:BM80)/1000</f>
        <v>0</v>
      </c>
      <c r="BN91" s="612">
        <f t="array" ref="BN91">SUMPRODUCT(IF($C$6:$C$80="к",1,0),BN6:BN80)/1000</f>
        <v>0</v>
      </c>
      <c r="BO91" s="612">
        <f t="array" ref="BO91">SUMPRODUCT(IF($C$6:$C$80="к",1,0),BO6:BO80)/1000</f>
        <v>0</v>
      </c>
      <c r="BP91" s="612">
        <f t="array" ref="BP91">SUMPRODUCT(IF($C$6:$C$80="к",1,0),BP6:BP80)/1000</f>
        <v>0</v>
      </c>
      <c r="BQ91" s="612">
        <f t="array" ref="BQ91">SUMPRODUCT(IF($C$6:$C$80="к",1,0),BQ6:BQ80)/1000</f>
        <v>0</v>
      </c>
      <c r="BR91" s="612">
        <f t="array" ref="BR91">SUMPRODUCT(IF($C$6:$C$80="к",1,0),BR6:BR80)/1000</f>
        <v>0</v>
      </c>
      <c r="BS91" s="612">
        <f t="array" ref="BS91">SUMPRODUCT(IF($C$6:$C$80="к",1,0),BS6:BS80)/1000</f>
        <v>0</v>
      </c>
      <c r="BT91" s="613">
        <f t="array" ref="BT91">SUMPRODUCT(IF($C$6:$C$80="к",1,0),BT6:BT80)/1000</f>
        <v>0</v>
      </c>
      <c r="BU91" s="589"/>
      <c r="BV91" s="604">
        <f>к_до_доп+к2017доп+к2018доп+к2019доп+к2020доп+к2021доп</f>
        <v>0</v>
      </c>
      <c r="BW91" s="513" t="s">
        <v>1765</v>
      </c>
    </row>
    <row r="93" spans="1:75" ht="13.5" thickBot="1"/>
    <row r="94" spans="1:75" s="430" customFormat="1">
      <c r="E94" s="419" t="s">
        <v>1805</v>
      </c>
      <c r="F94" s="419"/>
      <c r="G94" s="431">
        <v>2016</v>
      </c>
      <c r="H94" s="514" t="s">
        <v>1769</v>
      </c>
      <c r="I94" s="432" t="s">
        <v>1770</v>
      </c>
      <c r="J94" s="432" t="s">
        <v>1771</v>
      </c>
      <c r="K94" s="432" t="s">
        <v>1772</v>
      </c>
      <c r="L94" s="432" t="s">
        <v>1773</v>
      </c>
      <c r="M94" s="432" t="s">
        <v>1774</v>
      </c>
      <c r="N94" s="432" t="s">
        <v>1775</v>
      </c>
      <c r="O94" s="432" t="s">
        <v>1776</v>
      </c>
      <c r="P94" s="432" t="s">
        <v>1777</v>
      </c>
      <c r="Q94" s="432" t="s">
        <v>1778</v>
      </c>
      <c r="R94" s="432" t="s">
        <v>1779</v>
      </c>
      <c r="S94" s="432" t="s">
        <v>1780</v>
      </c>
      <c r="T94" s="421">
        <v>2017</v>
      </c>
      <c r="U94" s="432" t="s">
        <v>1769</v>
      </c>
      <c r="V94" s="432" t="s">
        <v>1770</v>
      </c>
      <c r="W94" s="432" t="s">
        <v>1771</v>
      </c>
      <c r="X94" s="432" t="s">
        <v>1772</v>
      </c>
      <c r="Y94" s="432" t="s">
        <v>1773</v>
      </c>
      <c r="Z94" s="432" t="s">
        <v>1774</v>
      </c>
      <c r="AA94" s="432" t="s">
        <v>1775</v>
      </c>
      <c r="AB94" s="432" t="s">
        <v>1776</v>
      </c>
      <c r="AC94" s="432" t="s">
        <v>1777</v>
      </c>
      <c r="AD94" s="432" t="s">
        <v>1778</v>
      </c>
      <c r="AE94" s="432" t="s">
        <v>1779</v>
      </c>
      <c r="AF94" s="432" t="s">
        <v>1780</v>
      </c>
      <c r="AG94" s="421">
        <v>2018</v>
      </c>
      <c r="AH94" s="432" t="s">
        <v>1769</v>
      </c>
      <c r="AI94" s="432" t="s">
        <v>1770</v>
      </c>
      <c r="AJ94" s="432" t="s">
        <v>1771</v>
      </c>
      <c r="AK94" s="432" t="s">
        <v>1772</v>
      </c>
      <c r="AL94" s="432" t="s">
        <v>1773</v>
      </c>
      <c r="AM94" s="432" t="s">
        <v>1774</v>
      </c>
      <c r="AN94" s="432" t="s">
        <v>1775</v>
      </c>
      <c r="AO94" s="432" t="s">
        <v>1776</v>
      </c>
      <c r="AP94" s="432" t="s">
        <v>1777</v>
      </c>
      <c r="AQ94" s="432" t="s">
        <v>1778</v>
      </c>
      <c r="AR94" s="432" t="s">
        <v>1779</v>
      </c>
      <c r="AS94" s="432" t="s">
        <v>1780</v>
      </c>
      <c r="AT94" s="421">
        <v>2019</v>
      </c>
      <c r="AU94" s="432" t="s">
        <v>1769</v>
      </c>
      <c r="AV94" s="432" t="s">
        <v>1770</v>
      </c>
      <c r="AW94" s="432" t="s">
        <v>1771</v>
      </c>
      <c r="AX94" s="432" t="s">
        <v>1772</v>
      </c>
      <c r="AY94" s="432" t="s">
        <v>1773</v>
      </c>
      <c r="AZ94" s="432" t="s">
        <v>1774</v>
      </c>
      <c r="BA94" s="432" t="s">
        <v>1775</v>
      </c>
      <c r="BB94" s="432" t="s">
        <v>1776</v>
      </c>
      <c r="BC94" s="432" t="s">
        <v>1777</v>
      </c>
      <c r="BD94" s="432" t="s">
        <v>1778</v>
      </c>
      <c r="BE94" s="432" t="s">
        <v>1779</v>
      </c>
      <c r="BF94" s="432" t="s">
        <v>1780</v>
      </c>
      <c r="BG94" s="421">
        <v>2020</v>
      </c>
      <c r="BH94" s="432" t="s">
        <v>1769</v>
      </c>
      <c r="BI94" s="432" t="s">
        <v>1770</v>
      </c>
      <c r="BJ94" s="432" t="s">
        <v>1771</v>
      </c>
      <c r="BK94" s="432" t="s">
        <v>1772</v>
      </c>
      <c r="BL94" s="432" t="s">
        <v>1773</v>
      </c>
      <c r="BM94" s="432" t="s">
        <v>1774</v>
      </c>
      <c r="BN94" s="432" t="s">
        <v>1775</v>
      </c>
      <c r="BO94" s="432" t="s">
        <v>1776</v>
      </c>
      <c r="BP94" s="432" t="s">
        <v>1777</v>
      </c>
      <c r="BQ94" s="432" t="s">
        <v>1778</v>
      </c>
      <c r="BR94" s="432" t="s">
        <v>1779</v>
      </c>
      <c r="BS94" s="432" t="s">
        <v>1780</v>
      </c>
      <c r="BT94" s="421">
        <v>2021</v>
      </c>
      <c r="BU94" s="422">
        <v>44562</v>
      </c>
      <c r="BV94" s="448" t="s">
        <v>1811</v>
      </c>
    </row>
    <row r="95" spans="1:75" s="590" customFormat="1" ht="15.75">
      <c r="E95" s="486" t="s">
        <v>1808</v>
      </c>
      <c r="F95" s="486"/>
      <c r="G95" s="614">
        <f>о_до_доп</f>
        <v>0</v>
      </c>
      <c r="H95" s="615"/>
      <c r="I95" s="616">
        <f>H90</f>
        <v>0</v>
      </c>
      <c r="J95" s="616">
        <f t="shared" ref="J95:S95" si="135">I90</f>
        <v>0</v>
      </c>
      <c r="K95" s="616">
        <f t="shared" si="135"/>
        <v>0</v>
      </c>
      <c r="L95" s="616">
        <f t="shared" si="135"/>
        <v>0</v>
      </c>
      <c r="M95" s="616">
        <f t="shared" si="135"/>
        <v>0</v>
      </c>
      <c r="N95" s="616">
        <f t="shared" si="135"/>
        <v>0</v>
      </c>
      <c r="O95" s="616">
        <f t="shared" si="135"/>
        <v>0</v>
      </c>
      <c r="P95" s="616">
        <f t="shared" si="135"/>
        <v>0</v>
      </c>
      <c r="Q95" s="616">
        <f t="shared" si="135"/>
        <v>0</v>
      </c>
      <c r="R95" s="616">
        <f t="shared" si="135"/>
        <v>0</v>
      </c>
      <c r="S95" s="616">
        <f t="shared" si="135"/>
        <v>0</v>
      </c>
      <c r="T95" s="617">
        <f>SUM(I95:S95)</f>
        <v>0</v>
      </c>
      <c r="U95" s="618">
        <f>S90</f>
        <v>0</v>
      </c>
      <c r="V95" s="616">
        <f>U90</f>
        <v>0</v>
      </c>
      <c r="W95" s="616">
        <f t="shared" ref="W95:AF95" si="136">V90</f>
        <v>0</v>
      </c>
      <c r="X95" s="616">
        <f t="shared" si="136"/>
        <v>0</v>
      </c>
      <c r="Y95" s="616">
        <f t="shared" si="136"/>
        <v>0</v>
      </c>
      <c r="Z95" s="616">
        <f t="shared" si="136"/>
        <v>0</v>
      </c>
      <c r="AA95" s="616">
        <f t="shared" si="136"/>
        <v>0</v>
      </c>
      <c r="AB95" s="616">
        <f t="shared" si="136"/>
        <v>0</v>
      </c>
      <c r="AC95" s="616">
        <f t="shared" si="136"/>
        <v>0</v>
      </c>
      <c r="AD95" s="616">
        <f t="shared" si="136"/>
        <v>0</v>
      </c>
      <c r="AE95" s="616">
        <f t="shared" si="136"/>
        <v>0</v>
      </c>
      <c r="AF95" s="616">
        <f t="shared" si="136"/>
        <v>0</v>
      </c>
      <c r="AG95" s="617">
        <f>SUM(U95:AF95)</f>
        <v>0</v>
      </c>
      <c r="AH95" s="618">
        <f>AF90</f>
        <v>0</v>
      </c>
      <c r="AI95" s="616">
        <f>AH90</f>
        <v>0</v>
      </c>
      <c r="AJ95" s="616">
        <f t="shared" ref="AJ95:AS95" si="137">AI90</f>
        <v>0</v>
      </c>
      <c r="AK95" s="616">
        <f t="shared" si="137"/>
        <v>0</v>
      </c>
      <c r="AL95" s="616">
        <f t="shared" si="137"/>
        <v>0</v>
      </c>
      <c r="AM95" s="616">
        <f t="shared" si="137"/>
        <v>0</v>
      </c>
      <c r="AN95" s="616">
        <f t="shared" si="137"/>
        <v>0</v>
      </c>
      <c r="AO95" s="616">
        <f t="shared" si="137"/>
        <v>0</v>
      </c>
      <c r="AP95" s="616">
        <f t="shared" si="137"/>
        <v>0</v>
      </c>
      <c r="AQ95" s="616">
        <f t="shared" si="137"/>
        <v>0</v>
      </c>
      <c r="AR95" s="616">
        <f t="shared" si="137"/>
        <v>0</v>
      </c>
      <c r="AS95" s="616">
        <f t="shared" si="137"/>
        <v>0</v>
      </c>
      <c r="AT95" s="617">
        <f>SUM(AH95:AS95)</f>
        <v>0</v>
      </c>
      <c r="AU95" s="618">
        <f>AS90</f>
        <v>0</v>
      </c>
      <c r="AV95" s="616">
        <f>AU90</f>
        <v>0</v>
      </c>
      <c r="AW95" s="616">
        <f t="shared" ref="AW95:BF95" si="138">AV90</f>
        <v>0</v>
      </c>
      <c r="AX95" s="616">
        <f t="shared" si="138"/>
        <v>0</v>
      </c>
      <c r="AY95" s="616">
        <f t="shared" si="138"/>
        <v>0</v>
      </c>
      <c r="AZ95" s="616">
        <f t="shared" si="138"/>
        <v>0</v>
      </c>
      <c r="BA95" s="616">
        <f t="shared" si="138"/>
        <v>0</v>
      </c>
      <c r="BB95" s="616">
        <f t="shared" si="138"/>
        <v>0</v>
      </c>
      <c r="BC95" s="616">
        <f t="shared" si="138"/>
        <v>0</v>
      </c>
      <c r="BD95" s="616">
        <f t="shared" si="138"/>
        <v>0</v>
      </c>
      <c r="BE95" s="616">
        <f t="shared" si="138"/>
        <v>0</v>
      </c>
      <c r="BF95" s="616">
        <f t="shared" si="138"/>
        <v>0</v>
      </c>
      <c r="BG95" s="617">
        <f>SUM(AU95:BF95)</f>
        <v>0</v>
      </c>
      <c r="BH95" s="618">
        <f>BF90</f>
        <v>0</v>
      </c>
      <c r="BI95" s="616">
        <f>BH90</f>
        <v>0</v>
      </c>
      <c r="BJ95" s="616">
        <f t="shared" ref="BJ95:BS95" si="139">BI90</f>
        <v>0</v>
      </c>
      <c r="BK95" s="616">
        <f t="shared" si="139"/>
        <v>0</v>
      </c>
      <c r="BL95" s="616">
        <f t="shared" si="139"/>
        <v>0</v>
      </c>
      <c r="BM95" s="616">
        <f t="shared" si="139"/>
        <v>0</v>
      </c>
      <c r="BN95" s="616">
        <f t="shared" si="139"/>
        <v>0</v>
      </c>
      <c r="BO95" s="616">
        <f t="shared" si="139"/>
        <v>0</v>
      </c>
      <c r="BP95" s="616">
        <f t="shared" si="139"/>
        <v>0</v>
      </c>
      <c r="BQ95" s="616">
        <f t="shared" si="139"/>
        <v>0</v>
      </c>
      <c r="BR95" s="616">
        <f t="shared" si="139"/>
        <v>0</v>
      </c>
      <c r="BS95" s="616">
        <f t="shared" si="139"/>
        <v>0</v>
      </c>
      <c r="BT95" s="617">
        <f>SUM(BH95:BS95)</f>
        <v>0</v>
      </c>
      <c r="BU95" s="619">
        <f>BS90</f>
        <v>0</v>
      </c>
      <c r="BV95" s="605">
        <f>G95+T95+AG95+AT95+BG95+BT95+BU95</f>
        <v>0</v>
      </c>
      <c r="BW95" s="513" t="s">
        <v>1764</v>
      </c>
    </row>
    <row r="96" spans="1:75" s="590" customFormat="1" ht="16.5" thickBot="1">
      <c r="E96" s="486" t="s">
        <v>1809</v>
      </c>
      <c r="F96" s="486"/>
      <c r="G96" s="620">
        <f>к_до_доп</f>
        <v>0</v>
      </c>
      <c r="H96" s="621"/>
      <c r="I96" s="622">
        <f>H91</f>
        <v>0</v>
      </c>
      <c r="J96" s="622">
        <f t="shared" ref="J96:S96" si="140">I91</f>
        <v>0</v>
      </c>
      <c r="K96" s="622">
        <f t="shared" si="140"/>
        <v>0</v>
      </c>
      <c r="L96" s="622">
        <f t="shared" si="140"/>
        <v>0</v>
      </c>
      <c r="M96" s="622">
        <f t="shared" si="140"/>
        <v>0</v>
      </c>
      <c r="N96" s="622">
        <f t="shared" si="140"/>
        <v>0</v>
      </c>
      <c r="O96" s="622">
        <f t="shared" si="140"/>
        <v>0</v>
      </c>
      <c r="P96" s="622">
        <f t="shared" si="140"/>
        <v>0</v>
      </c>
      <c r="Q96" s="622">
        <f t="shared" si="140"/>
        <v>0</v>
      </c>
      <c r="R96" s="622">
        <f t="shared" si="140"/>
        <v>0</v>
      </c>
      <c r="S96" s="622">
        <f t="shared" si="140"/>
        <v>0</v>
      </c>
      <c r="T96" s="623">
        <f>SUM(I96:S96)</f>
        <v>0</v>
      </c>
      <c r="U96" s="624">
        <f>S91</f>
        <v>0</v>
      </c>
      <c r="V96" s="622">
        <f>U91</f>
        <v>0</v>
      </c>
      <c r="W96" s="622">
        <f t="shared" ref="W96:AF96" si="141">V91</f>
        <v>0</v>
      </c>
      <c r="X96" s="622">
        <f t="shared" si="141"/>
        <v>0</v>
      </c>
      <c r="Y96" s="622">
        <f t="shared" si="141"/>
        <v>0</v>
      </c>
      <c r="Z96" s="622">
        <f t="shared" si="141"/>
        <v>0</v>
      </c>
      <c r="AA96" s="622">
        <f t="shared" si="141"/>
        <v>0</v>
      </c>
      <c r="AB96" s="622">
        <f t="shared" si="141"/>
        <v>0</v>
      </c>
      <c r="AC96" s="622">
        <f t="shared" si="141"/>
        <v>0</v>
      </c>
      <c r="AD96" s="622">
        <f t="shared" si="141"/>
        <v>0</v>
      </c>
      <c r="AE96" s="622">
        <f t="shared" si="141"/>
        <v>0</v>
      </c>
      <c r="AF96" s="622">
        <f t="shared" si="141"/>
        <v>0</v>
      </c>
      <c r="AG96" s="623">
        <f>SUM(U96:AF96)</f>
        <v>0</v>
      </c>
      <c r="AH96" s="624">
        <f>AF91</f>
        <v>0</v>
      </c>
      <c r="AI96" s="622">
        <f>AH91</f>
        <v>0</v>
      </c>
      <c r="AJ96" s="622">
        <f t="shared" ref="AJ96:AS96" si="142">AI91</f>
        <v>0</v>
      </c>
      <c r="AK96" s="622">
        <f t="shared" si="142"/>
        <v>0</v>
      </c>
      <c r="AL96" s="622">
        <f t="shared" si="142"/>
        <v>0</v>
      </c>
      <c r="AM96" s="622">
        <f t="shared" si="142"/>
        <v>0</v>
      </c>
      <c r="AN96" s="622">
        <f t="shared" si="142"/>
        <v>0</v>
      </c>
      <c r="AO96" s="622">
        <f t="shared" si="142"/>
        <v>0</v>
      </c>
      <c r="AP96" s="622">
        <f t="shared" si="142"/>
        <v>0</v>
      </c>
      <c r="AQ96" s="622">
        <f t="shared" si="142"/>
        <v>0</v>
      </c>
      <c r="AR96" s="622">
        <f t="shared" si="142"/>
        <v>0</v>
      </c>
      <c r="AS96" s="622">
        <f t="shared" si="142"/>
        <v>0</v>
      </c>
      <c r="AT96" s="623">
        <f>SUM(AH96:AS96)</f>
        <v>0</v>
      </c>
      <c r="AU96" s="624">
        <f>AS91</f>
        <v>0</v>
      </c>
      <c r="AV96" s="622">
        <f>AU91</f>
        <v>0</v>
      </c>
      <c r="AW96" s="622">
        <f t="shared" ref="AW96:BF96" si="143">AV91</f>
        <v>0</v>
      </c>
      <c r="AX96" s="622">
        <f t="shared" si="143"/>
        <v>0</v>
      </c>
      <c r="AY96" s="622">
        <f t="shared" si="143"/>
        <v>0</v>
      </c>
      <c r="AZ96" s="622">
        <f t="shared" si="143"/>
        <v>0</v>
      </c>
      <c r="BA96" s="622">
        <f t="shared" si="143"/>
        <v>0</v>
      </c>
      <c r="BB96" s="622">
        <f t="shared" si="143"/>
        <v>0</v>
      </c>
      <c r="BC96" s="622">
        <f t="shared" si="143"/>
        <v>0</v>
      </c>
      <c r="BD96" s="622">
        <f t="shared" si="143"/>
        <v>0</v>
      </c>
      <c r="BE96" s="622">
        <f t="shared" si="143"/>
        <v>0</v>
      </c>
      <c r="BF96" s="622">
        <f t="shared" si="143"/>
        <v>0</v>
      </c>
      <c r="BG96" s="623">
        <f>SUM(AU96:BF96)</f>
        <v>0</v>
      </c>
      <c r="BH96" s="624">
        <f>BF91</f>
        <v>0</v>
      </c>
      <c r="BI96" s="622">
        <f>BH91</f>
        <v>0</v>
      </c>
      <c r="BJ96" s="622">
        <f t="shared" ref="BJ96:BS96" si="144">BI91</f>
        <v>0</v>
      </c>
      <c r="BK96" s="622">
        <f t="shared" si="144"/>
        <v>0</v>
      </c>
      <c r="BL96" s="622">
        <f t="shared" si="144"/>
        <v>0</v>
      </c>
      <c r="BM96" s="622">
        <f t="shared" si="144"/>
        <v>0</v>
      </c>
      <c r="BN96" s="622">
        <f t="shared" si="144"/>
        <v>0</v>
      </c>
      <c r="BO96" s="622">
        <f t="shared" si="144"/>
        <v>0</v>
      </c>
      <c r="BP96" s="622">
        <f t="shared" si="144"/>
        <v>0</v>
      </c>
      <c r="BQ96" s="622">
        <f t="shared" si="144"/>
        <v>0</v>
      </c>
      <c r="BR96" s="622">
        <f t="shared" si="144"/>
        <v>0</v>
      </c>
      <c r="BS96" s="622">
        <f t="shared" si="144"/>
        <v>0</v>
      </c>
      <c r="BT96" s="623">
        <f>SUM(BH96:BS96)</f>
        <v>0</v>
      </c>
      <c r="BU96" s="625">
        <f>BS91</f>
        <v>0</v>
      </c>
      <c r="BV96" s="605">
        <f>G96+T96+AG96+AT96+BG96+BT96+BU96</f>
        <v>0</v>
      </c>
      <c r="BW96" s="513" t="s">
        <v>1765</v>
      </c>
    </row>
    <row r="100" spans="7:7">
      <c r="G100" s="591"/>
    </row>
  </sheetData>
  <autoFilter ref="A4:BU4" xr:uid="{00000000-0009-0000-0000-000004000000}"/>
  <mergeCells count="60">
    <mergeCell ref="A16:E16"/>
    <mergeCell ref="A28:E28"/>
    <mergeCell ref="A40:E40"/>
    <mergeCell ref="A5:AG5"/>
    <mergeCell ref="A17:AG17"/>
    <mergeCell ref="A29:AG29"/>
    <mergeCell ref="A35:A39"/>
    <mergeCell ref="A11:A15"/>
    <mergeCell ref="B11:B15"/>
    <mergeCell ref="D11:D15"/>
    <mergeCell ref="B30:B34"/>
    <mergeCell ref="D30:D34"/>
    <mergeCell ref="B35:B39"/>
    <mergeCell ref="D35:D39"/>
    <mergeCell ref="A81:A85"/>
    <mergeCell ref="B81:B85"/>
    <mergeCell ref="D81:D85"/>
    <mergeCell ref="A71:A75"/>
    <mergeCell ref="B71:B75"/>
    <mergeCell ref="D71:D75"/>
    <mergeCell ref="A87:E87"/>
    <mergeCell ref="A86:E86"/>
    <mergeCell ref="A18:A22"/>
    <mergeCell ref="B18:B22"/>
    <mergeCell ref="D18:D22"/>
    <mergeCell ref="D54:D58"/>
    <mergeCell ref="D64:D68"/>
    <mergeCell ref="A52:E52"/>
    <mergeCell ref="A53:AG53"/>
    <mergeCell ref="A30:A34"/>
    <mergeCell ref="A70:AG70"/>
    <mergeCell ref="D23:D27"/>
    <mergeCell ref="A69:E69"/>
    <mergeCell ref="A76:A80"/>
    <mergeCell ref="B76:B80"/>
    <mergeCell ref="D76:D80"/>
    <mergeCell ref="BH3:BT3"/>
    <mergeCell ref="A6:A10"/>
    <mergeCell ref="B6:B10"/>
    <mergeCell ref="D6:D10"/>
    <mergeCell ref="AH3:AT3"/>
    <mergeCell ref="U3:AG3"/>
    <mergeCell ref="H3:T3"/>
    <mergeCell ref="AU3:BG3"/>
    <mergeCell ref="A47:A51"/>
    <mergeCell ref="B47:B51"/>
    <mergeCell ref="D47:D51"/>
    <mergeCell ref="A23:A27"/>
    <mergeCell ref="B23:B27"/>
    <mergeCell ref="A42:A46"/>
    <mergeCell ref="B42:B46"/>
    <mergeCell ref="D42:D46"/>
    <mergeCell ref="A41:AG41"/>
    <mergeCell ref="A54:A58"/>
    <mergeCell ref="B64:B68"/>
    <mergeCell ref="B59:B63"/>
    <mergeCell ref="B54:B58"/>
    <mergeCell ref="D59:D63"/>
    <mergeCell ref="A64:A68"/>
    <mergeCell ref="A59:A63"/>
  </mergeCells>
  <dataValidations count="1">
    <dataValidation type="list" allowBlank="1" showInputMessage="1" showErrorMessage="1" sqref="F6:F15 F18:F27 F30:F39 F42:F51 F71:F80 F54:F68" xr:uid="{00000000-0002-0000-0400-000000000000}">
      <formula1>"ДИТ,ГО не ДИТ,КГМК,ЗФ,Чита"</formula1>
    </dataValidation>
  </dataValidations>
  <pageMargins left="0.7" right="0.7" top="0.75" bottom="0.75" header="0.3" footer="0.3"/>
  <pageSetup paperSize="8" scale="22" orientation="landscape" r:id="rId1"/>
  <drawing r:id="rId2"/>
  <legacyDrawing r:id="rId3"/>
  <controls>
    <mc:AlternateContent xmlns:mc="http://schemas.openxmlformats.org/markup-compatibility/2006">
      <mc:Choice Requires="x14">
        <control shapeId="67586" r:id="rId4" name="CommandButton2">
          <controlPr autoLine="0" autoPict="0" r:id="rId5">
            <anchor moveWithCells="1">
              <from>
                <xdr:col>4</xdr:col>
                <xdr:colOff>85725</xdr:colOff>
                <xdr:row>0</xdr:row>
                <xdr:rowOff>57150</xdr:rowOff>
              </from>
              <to>
                <xdr:col>4</xdr:col>
                <xdr:colOff>1362075</xdr:colOff>
                <xdr:row>0</xdr:row>
                <xdr:rowOff>466725</xdr:rowOff>
              </to>
            </anchor>
          </controlPr>
        </control>
      </mc:Choice>
      <mc:Fallback>
        <control shapeId="67586" r:id="rId4" name="CommandButton2"/>
      </mc:Fallback>
    </mc:AlternateContent>
    <mc:AlternateContent xmlns:mc="http://schemas.openxmlformats.org/markup-compatibility/2006">
      <mc:Choice Requires="x14">
        <control shapeId="67585" r:id="rId6" name="CommandButton1">
          <controlPr autoLine="0" autoPict="0" r:id="rId7">
            <anchor moveWithCells="1">
              <from>
                <xdr:col>3</xdr:col>
                <xdr:colOff>133350</xdr:colOff>
                <xdr:row>0</xdr:row>
                <xdr:rowOff>47625</xdr:rowOff>
              </from>
              <to>
                <xdr:col>3</xdr:col>
                <xdr:colOff>1466850</xdr:colOff>
                <xdr:row>0</xdr:row>
                <xdr:rowOff>466725</xdr:rowOff>
              </to>
            </anchor>
          </controlPr>
        </control>
      </mc:Choice>
      <mc:Fallback>
        <control shapeId="67585" r:id="rId6"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OFFSET('справочник сотрудников'!$G$4,,,COUNTA('справочник сотрудников'!$G:$G))</xm:f>
          </x14:formula1>
          <xm:sqref>D11 D23 D35 D42 D47 D54 D64 D76 D81 D18 D30 D71 D6 D59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5">
    <pageSetUpPr fitToPage="1"/>
  </sheetPr>
  <dimension ref="A1:BW64"/>
  <sheetViews>
    <sheetView workbookViewId="0">
      <selection activeCell="M23" sqref="M23"/>
    </sheetView>
  </sheetViews>
  <sheetFormatPr defaultRowHeight="11.25"/>
  <cols>
    <col min="1" max="1" width="34.42578125" style="456" bestFit="1" customWidth="1"/>
    <col min="2" max="2" width="24" style="456" customWidth="1"/>
    <col min="3" max="14" width="6.5703125" style="456" customWidth="1"/>
    <col min="15" max="15" width="16.28515625" style="456" customWidth="1"/>
    <col min="16" max="16" width="17.28515625" style="456" customWidth="1"/>
    <col min="17" max="18" width="6.5703125" style="456" customWidth="1"/>
    <col min="19" max="21" width="7" style="456" bestFit="1" customWidth="1"/>
    <col min="22" max="22" width="7" style="456" customWidth="1"/>
    <col min="23" max="23" width="7" style="456" bestFit="1" customWidth="1"/>
    <col min="24" max="24" width="6.5703125" style="456" customWidth="1"/>
    <col min="25" max="25" width="7" style="456" bestFit="1" customWidth="1"/>
    <col min="26" max="28" width="6.5703125" style="456" customWidth="1"/>
    <col min="29" max="29" width="16.28515625" style="456" customWidth="1"/>
    <col min="30" max="30" width="17.28515625" style="456" customWidth="1"/>
    <col min="31" max="42" width="7" style="456" bestFit="1" customWidth="1"/>
    <col min="43" max="43" width="16.28515625" style="456" customWidth="1"/>
    <col min="44" max="44" width="17.28515625" style="456" customWidth="1"/>
    <col min="45" max="56" width="6.5703125" style="456" customWidth="1"/>
    <col min="57" max="57" width="16.28515625" style="456" customWidth="1"/>
    <col min="58" max="58" width="17.28515625" style="456" customWidth="1"/>
    <col min="59" max="70" width="6.5703125" style="456" customWidth="1"/>
    <col min="71" max="71" width="16.28515625" style="456" customWidth="1"/>
    <col min="72" max="72" width="17.7109375" style="456" customWidth="1"/>
    <col min="73" max="73" width="17.42578125" style="456" customWidth="1"/>
    <col min="74" max="75" width="25.28515625" style="456" customWidth="1"/>
    <col min="76" max="16384" width="9.140625" style="456"/>
  </cols>
  <sheetData>
    <row r="1" spans="1:75" ht="13.5" thickBot="1">
      <c r="A1" s="1008" t="s">
        <v>1524</v>
      </c>
      <c r="B1" s="752" t="s">
        <v>1913</v>
      </c>
      <c r="C1" s="1007" t="s">
        <v>1844</v>
      </c>
      <c r="D1" s="1007" t="s">
        <v>1845</v>
      </c>
      <c r="E1" s="1007" t="s">
        <v>1843</v>
      </c>
      <c r="F1" s="1007" t="s">
        <v>1846</v>
      </c>
      <c r="G1" s="1007" t="s">
        <v>1847</v>
      </c>
      <c r="H1" s="1007" t="s">
        <v>1848</v>
      </c>
      <c r="I1" s="1007" t="s">
        <v>1849</v>
      </c>
      <c r="J1" s="1007" t="s">
        <v>1850</v>
      </c>
      <c r="K1" s="1007" t="s">
        <v>1851</v>
      </c>
      <c r="L1" s="1007" t="s">
        <v>1852</v>
      </c>
      <c r="M1" s="1007" t="s">
        <v>1853</v>
      </c>
      <c r="N1" s="1007" t="s">
        <v>1854</v>
      </c>
      <c r="O1" s="1007" t="s">
        <v>1868</v>
      </c>
      <c r="P1" s="993" t="s">
        <v>1898</v>
      </c>
      <c r="Q1" s="1007" t="s">
        <v>1855</v>
      </c>
      <c r="R1" s="1007" t="s">
        <v>1856</v>
      </c>
      <c r="S1" s="1007" t="s">
        <v>1858</v>
      </c>
      <c r="T1" s="1007" t="s">
        <v>1857</v>
      </c>
      <c r="U1" s="1007" t="s">
        <v>1859</v>
      </c>
      <c r="V1" s="1007" t="s">
        <v>1860</v>
      </c>
      <c r="W1" s="1007" t="s">
        <v>1861</v>
      </c>
      <c r="X1" s="1007" t="s">
        <v>1862</v>
      </c>
      <c r="Y1" s="1007" t="s">
        <v>1866</v>
      </c>
      <c r="Z1" s="1007" t="s">
        <v>1863</v>
      </c>
      <c r="AA1" s="1007" t="s">
        <v>1864</v>
      </c>
      <c r="AB1" s="1007" t="s">
        <v>1865</v>
      </c>
      <c r="AC1" s="1007" t="s">
        <v>1867</v>
      </c>
      <c r="AD1" s="993" t="s">
        <v>1897</v>
      </c>
      <c r="AE1" s="1007" t="s">
        <v>1869</v>
      </c>
      <c r="AF1" s="1007" t="s">
        <v>1870</v>
      </c>
      <c r="AG1" s="1007" t="s">
        <v>1871</v>
      </c>
      <c r="AH1" s="1007" t="s">
        <v>1872</v>
      </c>
      <c r="AI1" s="1007" t="s">
        <v>1873</v>
      </c>
      <c r="AJ1" s="1007" t="s">
        <v>1874</v>
      </c>
      <c r="AK1" s="1007" t="s">
        <v>1875</v>
      </c>
      <c r="AL1" s="1007" t="s">
        <v>1876</v>
      </c>
      <c r="AM1" s="1007" t="s">
        <v>1877</v>
      </c>
      <c r="AN1" s="1007" t="s">
        <v>1878</v>
      </c>
      <c r="AO1" s="1007" t="s">
        <v>1879</v>
      </c>
      <c r="AP1" s="1007" t="s">
        <v>1880</v>
      </c>
      <c r="AQ1" s="1007" t="s">
        <v>1881</v>
      </c>
      <c r="AR1" s="993" t="s">
        <v>1896</v>
      </c>
      <c r="AS1" s="1007" t="s">
        <v>1882</v>
      </c>
      <c r="AT1" s="1007" t="s">
        <v>1883</v>
      </c>
      <c r="AU1" s="1007" t="s">
        <v>1884</v>
      </c>
      <c r="AV1" s="1007" t="s">
        <v>1885</v>
      </c>
      <c r="AW1" s="1007" t="s">
        <v>1886</v>
      </c>
      <c r="AX1" s="1007" t="s">
        <v>1887</v>
      </c>
      <c r="AY1" s="1007" t="s">
        <v>1888</v>
      </c>
      <c r="AZ1" s="1007" t="s">
        <v>1889</v>
      </c>
      <c r="BA1" s="1007" t="s">
        <v>1890</v>
      </c>
      <c r="BB1" s="1007" t="s">
        <v>1891</v>
      </c>
      <c r="BC1" s="1007" t="s">
        <v>1892</v>
      </c>
      <c r="BD1" s="1007" t="s">
        <v>1893</v>
      </c>
      <c r="BE1" s="1007" t="s">
        <v>1894</v>
      </c>
      <c r="BF1" s="993" t="s">
        <v>1895</v>
      </c>
      <c r="BG1" s="1007" t="s">
        <v>1899</v>
      </c>
      <c r="BH1" s="1007" t="s">
        <v>1900</v>
      </c>
      <c r="BI1" s="1007" t="s">
        <v>1901</v>
      </c>
      <c r="BJ1" s="1007" t="s">
        <v>1902</v>
      </c>
      <c r="BK1" s="1007" t="s">
        <v>1903</v>
      </c>
      <c r="BL1" s="1007" t="s">
        <v>1904</v>
      </c>
      <c r="BM1" s="1007" t="s">
        <v>1905</v>
      </c>
      <c r="BN1" s="1007" t="s">
        <v>1906</v>
      </c>
      <c r="BO1" s="1007" t="s">
        <v>1907</v>
      </c>
      <c r="BP1" s="1007" t="s">
        <v>1908</v>
      </c>
      <c r="BQ1" s="1007" t="s">
        <v>1909</v>
      </c>
      <c r="BR1" s="1007" t="s">
        <v>1910</v>
      </c>
      <c r="BS1" s="1007" t="s">
        <v>1911</v>
      </c>
      <c r="BT1" s="993" t="s">
        <v>1912</v>
      </c>
      <c r="BU1" s="1007" t="s">
        <v>1914</v>
      </c>
      <c r="BV1" s="993" t="s">
        <v>1915</v>
      </c>
      <c r="BW1"/>
    </row>
    <row r="2" spans="1:75" ht="12.75">
      <c r="A2" s="1000" t="s">
        <v>1735</v>
      </c>
      <c r="B2" s="750">
        <v>4032</v>
      </c>
      <c r="C2" s="1010">
        <v>0</v>
      </c>
      <c r="D2" s="1010">
        <v>0</v>
      </c>
      <c r="E2" s="1010">
        <v>0</v>
      </c>
      <c r="F2" s="1010">
        <v>0</v>
      </c>
      <c r="G2" s="1010">
        <v>0</v>
      </c>
      <c r="H2" s="1010">
        <v>0</v>
      </c>
      <c r="I2" s="1010">
        <v>0</v>
      </c>
      <c r="J2" s="1010">
        <v>0</v>
      </c>
      <c r="K2" s="1010">
        <v>0</v>
      </c>
      <c r="L2" s="1010">
        <v>0</v>
      </c>
      <c r="M2" s="1010">
        <v>0</v>
      </c>
      <c r="N2" s="1010">
        <v>0</v>
      </c>
      <c r="O2" s="1010">
        <v>0</v>
      </c>
      <c r="P2" s="1006">
        <v>4034</v>
      </c>
      <c r="Q2" s="1010">
        <v>0</v>
      </c>
      <c r="R2" s="1010">
        <v>502.13</v>
      </c>
      <c r="S2" s="1010">
        <v>2976.83</v>
      </c>
      <c r="T2" s="1010">
        <v>4989.58</v>
      </c>
      <c r="U2" s="1010">
        <v>5056.83</v>
      </c>
      <c r="V2" s="1010">
        <v>4935.25</v>
      </c>
      <c r="W2" s="1010">
        <v>4471.45</v>
      </c>
      <c r="X2" s="1010">
        <v>13</v>
      </c>
      <c r="Y2" s="1010">
        <v>4357.33</v>
      </c>
      <c r="Z2" s="1010">
        <v>13</v>
      </c>
      <c r="AA2" s="1010">
        <v>13</v>
      </c>
      <c r="AB2" s="1010">
        <v>13</v>
      </c>
      <c r="AC2" s="1010">
        <v>2896</v>
      </c>
      <c r="AD2" s="1006">
        <v>44843386.490000002</v>
      </c>
      <c r="AE2" s="1010">
        <v>3997.92</v>
      </c>
      <c r="AF2" s="1010">
        <v>4393.07</v>
      </c>
      <c r="AG2" s="1010">
        <v>5065.12</v>
      </c>
      <c r="AH2" s="1010">
        <v>4970.74</v>
      </c>
      <c r="AI2" s="1010">
        <v>4601.51</v>
      </c>
      <c r="AJ2" s="1010">
        <v>4108.66</v>
      </c>
      <c r="AK2" s="1010">
        <v>4739.66</v>
      </c>
      <c r="AL2" s="1010">
        <v>5098.7700000000004</v>
      </c>
      <c r="AM2" s="1010">
        <v>4561.63</v>
      </c>
      <c r="AN2" s="1010">
        <v>4894.1399999999994</v>
      </c>
      <c r="AO2" s="1010">
        <v>4224.71</v>
      </c>
      <c r="AP2" s="1010">
        <v>2173.2600000000002</v>
      </c>
      <c r="AQ2" s="1010">
        <v>3442</v>
      </c>
      <c r="AR2" s="1006">
        <v>47946705.189999998</v>
      </c>
      <c r="AS2" s="1010">
        <v>612.26</v>
      </c>
      <c r="AT2" s="1010">
        <v>0</v>
      </c>
      <c r="AU2" s="1010">
        <v>0</v>
      </c>
      <c r="AV2" s="1010">
        <v>0</v>
      </c>
      <c r="AW2" s="1010">
        <v>0</v>
      </c>
      <c r="AX2" s="1010">
        <v>0</v>
      </c>
      <c r="AY2" s="1010">
        <v>0</v>
      </c>
      <c r="AZ2" s="1010">
        <v>0</v>
      </c>
      <c r="BA2" s="1010">
        <v>0</v>
      </c>
      <c r="BB2" s="1010">
        <v>0</v>
      </c>
      <c r="BC2" s="1010">
        <v>0</v>
      </c>
      <c r="BD2" s="1010">
        <v>0</v>
      </c>
      <c r="BE2" s="1010">
        <v>0</v>
      </c>
      <c r="BF2" s="1006">
        <v>4652.26</v>
      </c>
      <c r="BG2" s="1010">
        <v>31.86</v>
      </c>
      <c r="BH2" s="1010">
        <v>31.86</v>
      </c>
      <c r="BI2" s="1010">
        <v>0</v>
      </c>
      <c r="BJ2" s="1010">
        <v>0</v>
      </c>
      <c r="BK2" s="1010">
        <v>0</v>
      </c>
      <c r="BL2" s="1010">
        <v>0</v>
      </c>
      <c r="BM2" s="1010">
        <v>0</v>
      </c>
      <c r="BN2" s="1010">
        <v>0</v>
      </c>
      <c r="BO2" s="1010">
        <v>0</v>
      </c>
      <c r="BP2" s="1010">
        <v>0</v>
      </c>
      <c r="BQ2" s="1010">
        <v>0</v>
      </c>
      <c r="BR2" s="1010">
        <v>0</v>
      </c>
      <c r="BS2" s="1010">
        <v>4</v>
      </c>
      <c r="BT2" s="1006">
        <v>67825.72</v>
      </c>
      <c r="BU2" s="1010">
        <v>6342</v>
      </c>
      <c r="BV2" s="1006">
        <v>92753660</v>
      </c>
      <c r="BW2"/>
    </row>
    <row r="3" spans="1:75" ht="12.75">
      <c r="A3" s="1001" t="s">
        <v>1735</v>
      </c>
      <c r="B3" s="751">
        <v>4032</v>
      </c>
      <c r="C3" s="1011">
        <v>0</v>
      </c>
      <c r="D3" s="1011">
        <v>0</v>
      </c>
      <c r="E3" s="1011">
        <v>0</v>
      </c>
      <c r="F3" s="1011">
        <v>0</v>
      </c>
      <c r="G3" s="1011">
        <v>0</v>
      </c>
      <c r="H3" s="1011">
        <v>0</v>
      </c>
      <c r="I3" s="1011">
        <v>0</v>
      </c>
      <c r="J3" s="1011">
        <v>0</v>
      </c>
      <c r="K3" s="1011">
        <v>0</v>
      </c>
      <c r="L3" s="1011">
        <v>0</v>
      </c>
      <c r="M3" s="1011">
        <v>0</v>
      </c>
      <c r="N3" s="1011">
        <v>0</v>
      </c>
      <c r="O3" s="1011">
        <v>0</v>
      </c>
      <c r="P3" s="1004">
        <v>4034</v>
      </c>
      <c r="Q3" s="1011">
        <v>0</v>
      </c>
      <c r="R3" s="1011">
        <v>502.13</v>
      </c>
      <c r="S3" s="1011">
        <v>2976.83</v>
      </c>
      <c r="T3" s="1011">
        <v>4989.58</v>
      </c>
      <c r="U3" s="1011">
        <v>5056.83</v>
      </c>
      <c r="V3" s="1011">
        <v>4935.25</v>
      </c>
      <c r="W3" s="1011">
        <v>4471.45</v>
      </c>
      <c r="X3" s="1011">
        <v>13</v>
      </c>
      <c r="Y3" s="1011">
        <v>4357.33</v>
      </c>
      <c r="Z3" s="1011">
        <v>13</v>
      </c>
      <c r="AA3" s="1011">
        <v>13</v>
      </c>
      <c r="AB3" s="1011">
        <v>13</v>
      </c>
      <c r="AC3" s="1011">
        <v>2896</v>
      </c>
      <c r="AD3" s="1004">
        <v>44843386.490000002</v>
      </c>
      <c r="AE3" s="1011">
        <v>3997.92</v>
      </c>
      <c r="AF3" s="1011">
        <v>4393.07</v>
      </c>
      <c r="AG3" s="1011">
        <v>5065.12</v>
      </c>
      <c r="AH3" s="1011">
        <v>4970.74</v>
      </c>
      <c r="AI3" s="1011">
        <v>4601.51</v>
      </c>
      <c r="AJ3" s="1011">
        <v>4108.66</v>
      </c>
      <c r="AK3" s="1011">
        <v>4739.66</v>
      </c>
      <c r="AL3" s="1011">
        <v>5098.7700000000004</v>
      </c>
      <c r="AM3" s="1011">
        <v>4561.63</v>
      </c>
      <c r="AN3" s="1011">
        <v>4894.1399999999994</v>
      </c>
      <c r="AO3" s="1011">
        <v>4224.71</v>
      </c>
      <c r="AP3" s="1011">
        <v>2173.2600000000002</v>
      </c>
      <c r="AQ3" s="1011">
        <v>3442</v>
      </c>
      <c r="AR3" s="1004">
        <v>47946705.189999998</v>
      </c>
      <c r="AS3" s="1011">
        <v>612.26</v>
      </c>
      <c r="AT3" s="1011">
        <v>0</v>
      </c>
      <c r="AU3" s="1011">
        <v>0</v>
      </c>
      <c r="AV3" s="1011">
        <v>0</v>
      </c>
      <c r="AW3" s="1011">
        <v>0</v>
      </c>
      <c r="AX3" s="1011">
        <v>0</v>
      </c>
      <c r="AY3" s="1011">
        <v>0</v>
      </c>
      <c r="AZ3" s="1011">
        <v>0</v>
      </c>
      <c r="BA3" s="1011">
        <v>0</v>
      </c>
      <c r="BB3" s="1011">
        <v>0</v>
      </c>
      <c r="BC3" s="1011">
        <v>0</v>
      </c>
      <c r="BD3" s="1011">
        <v>0</v>
      </c>
      <c r="BE3" s="1011">
        <v>0</v>
      </c>
      <c r="BF3" s="1004">
        <v>4652.26</v>
      </c>
      <c r="BG3" s="1011">
        <v>31.86</v>
      </c>
      <c r="BH3" s="1011">
        <v>31.86</v>
      </c>
      <c r="BI3" s="1011">
        <v>0</v>
      </c>
      <c r="BJ3" s="1011">
        <v>0</v>
      </c>
      <c r="BK3" s="1011">
        <v>0</v>
      </c>
      <c r="BL3" s="1011">
        <v>0</v>
      </c>
      <c r="BM3" s="1011">
        <v>0</v>
      </c>
      <c r="BN3" s="1011">
        <v>0</v>
      </c>
      <c r="BO3" s="1011">
        <v>0</v>
      </c>
      <c r="BP3" s="1011">
        <v>0</v>
      </c>
      <c r="BQ3" s="1011">
        <v>0</v>
      </c>
      <c r="BR3" s="1011">
        <v>0</v>
      </c>
      <c r="BS3" s="1011">
        <v>4</v>
      </c>
      <c r="BT3" s="1004">
        <v>67825.72</v>
      </c>
      <c r="BU3" s="1011">
        <v>6342</v>
      </c>
      <c r="BV3" s="1004">
        <v>92753660</v>
      </c>
      <c r="BW3"/>
    </row>
    <row r="4" spans="1:75" ht="12.75">
      <c r="A4" s="1002" t="s">
        <v>1735</v>
      </c>
      <c r="B4" s="751">
        <v>4032</v>
      </c>
      <c r="C4" s="1011">
        <v>0</v>
      </c>
      <c r="D4" s="1011">
        <v>0</v>
      </c>
      <c r="E4" s="1011">
        <v>0</v>
      </c>
      <c r="F4" s="1011">
        <v>0</v>
      </c>
      <c r="G4" s="1011">
        <v>0</v>
      </c>
      <c r="H4" s="1011">
        <v>0</v>
      </c>
      <c r="I4" s="1011">
        <v>0</v>
      </c>
      <c r="J4" s="1011">
        <v>0</v>
      </c>
      <c r="K4" s="1011">
        <v>0</v>
      </c>
      <c r="L4" s="1011">
        <v>0</v>
      </c>
      <c r="M4" s="1011">
        <v>0</v>
      </c>
      <c r="N4" s="1011">
        <v>0</v>
      </c>
      <c r="O4" s="1011">
        <v>0</v>
      </c>
      <c r="P4" s="1004">
        <v>4034</v>
      </c>
      <c r="Q4" s="1011">
        <v>0</v>
      </c>
      <c r="R4" s="1011">
        <v>502.13</v>
      </c>
      <c r="S4" s="1011">
        <v>2976.83</v>
      </c>
      <c r="T4" s="1011">
        <v>4989.58</v>
      </c>
      <c r="U4" s="1011">
        <v>5056.83</v>
      </c>
      <c r="V4" s="1011">
        <v>4935.25</v>
      </c>
      <c r="W4" s="1011">
        <v>4471.45</v>
      </c>
      <c r="X4" s="1011">
        <v>13</v>
      </c>
      <c r="Y4" s="1011">
        <v>4357.33</v>
      </c>
      <c r="Z4" s="1011">
        <v>13</v>
      </c>
      <c r="AA4" s="1011">
        <v>13</v>
      </c>
      <c r="AB4" s="1011">
        <v>13</v>
      </c>
      <c r="AC4" s="1011">
        <v>2896</v>
      </c>
      <c r="AD4" s="1004">
        <v>44843386.490000002</v>
      </c>
      <c r="AE4" s="1011">
        <v>3997.92</v>
      </c>
      <c r="AF4" s="1011">
        <v>4393.07</v>
      </c>
      <c r="AG4" s="1011">
        <v>5065.12</v>
      </c>
      <c r="AH4" s="1011">
        <v>4970.74</v>
      </c>
      <c r="AI4" s="1011">
        <v>4601.51</v>
      </c>
      <c r="AJ4" s="1011">
        <v>4108.66</v>
      </c>
      <c r="AK4" s="1011">
        <v>4739.66</v>
      </c>
      <c r="AL4" s="1011">
        <v>5098.7700000000004</v>
      </c>
      <c r="AM4" s="1011">
        <v>4561.63</v>
      </c>
      <c r="AN4" s="1011">
        <v>4894.1399999999994</v>
      </c>
      <c r="AO4" s="1011">
        <v>4224.71</v>
      </c>
      <c r="AP4" s="1011">
        <v>2173.2600000000002</v>
      </c>
      <c r="AQ4" s="1011">
        <v>3442</v>
      </c>
      <c r="AR4" s="1004">
        <v>47946705.189999998</v>
      </c>
      <c r="AS4" s="1011">
        <v>612.26</v>
      </c>
      <c r="AT4" s="1011">
        <v>0</v>
      </c>
      <c r="AU4" s="1011">
        <v>0</v>
      </c>
      <c r="AV4" s="1011">
        <v>0</v>
      </c>
      <c r="AW4" s="1011">
        <v>0</v>
      </c>
      <c r="AX4" s="1011">
        <v>0</v>
      </c>
      <c r="AY4" s="1011">
        <v>0</v>
      </c>
      <c r="AZ4" s="1011">
        <v>0</v>
      </c>
      <c r="BA4" s="1011">
        <v>0</v>
      </c>
      <c r="BB4" s="1011">
        <v>0</v>
      </c>
      <c r="BC4" s="1011">
        <v>0</v>
      </c>
      <c r="BD4" s="1011">
        <v>0</v>
      </c>
      <c r="BE4" s="1011">
        <v>0</v>
      </c>
      <c r="BF4" s="1004">
        <v>4652.26</v>
      </c>
      <c r="BG4" s="1011">
        <v>31.86</v>
      </c>
      <c r="BH4" s="1011">
        <v>31.86</v>
      </c>
      <c r="BI4" s="1011">
        <v>0</v>
      </c>
      <c r="BJ4" s="1011">
        <v>0</v>
      </c>
      <c r="BK4" s="1011">
        <v>0</v>
      </c>
      <c r="BL4" s="1011">
        <v>0</v>
      </c>
      <c r="BM4" s="1011">
        <v>0</v>
      </c>
      <c r="BN4" s="1011">
        <v>0</v>
      </c>
      <c r="BO4" s="1011">
        <v>0</v>
      </c>
      <c r="BP4" s="1011">
        <v>0</v>
      </c>
      <c r="BQ4" s="1011">
        <v>0</v>
      </c>
      <c r="BR4" s="1011">
        <v>0</v>
      </c>
      <c r="BS4" s="1011">
        <v>4</v>
      </c>
      <c r="BT4" s="1004">
        <v>67825.72</v>
      </c>
      <c r="BU4" s="1011">
        <v>6342</v>
      </c>
      <c r="BV4" s="1004">
        <v>92753660</v>
      </c>
      <c r="BW4"/>
    </row>
    <row r="5" spans="1:75" ht="12.75">
      <c r="A5" s="1003" t="s">
        <v>1735</v>
      </c>
      <c r="B5" s="751">
        <v>4032</v>
      </c>
      <c r="C5" s="1011">
        <v>0</v>
      </c>
      <c r="D5" s="1011">
        <v>0</v>
      </c>
      <c r="E5" s="1011">
        <v>0</v>
      </c>
      <c r="F5" s="1011">
        <v>0</v>
      </c>
      <c r="G5" s="1011">
        <v>0</v>
      </c>
      <c r="H5" s="1011">
        <v>0</v>
      </c>
      <c r="I5" s="1011">
        <v>0</v>
      </c>
      <c r="J5" s="1011">
        <v>0</v>
      </c>
      <c r="K5" s="1011">
        <v>0</v>
      </c>
      <c r="L5" s="1011">
        <v>0</v>
      </c>
      <c r="M5" s="1011">
        <v>0</v>
      </c>
      <c r="N5" s="1011">
        <v>0</v>
      </c>
      <c r="O5" s="1011">
        <v>0</v>
      </c>
      <c r="P5" s="1004">
        <v>4034</v>
      </c>
      <c r="Q5" s="1011">
        <v>0</v>
      </c>
      <c r="R5" s="1011">
        <v>502.13</v>
      </c>
      <c r="S5" s="1011">
        <v>2976.83</v>
      </c>
      <c r="T5" s="1011">
        <v>4989.58</v>
      </c>
      <c r="U5" s="1011">
        <v>5056.83</v>
      </c>
      <c r="V5" s="1011">
        <v>4935.25</v>
      </c>
      <c r="W5" s="1011">
        <v>4471.45</v>
      </c>
      <c r="X5" s="1011">
        <v>13</v>
      </c>
      <c r="Y5" s="1011">
        <v>4357.33</v>
      </c>
      <c r="Z5" s="1011">
        <v>13</v>
      </c>
      <c r="AA5" s="1011">
        <v>13</v>
      </c>
      <c r="AB5" s="1011">
        <v>13</v>
      </c>
      <c r="AC5" s="1011">
        <v>2896</v>
      </c>
      <c r="AD5" s="1004">
        <v>44843386.490000002</v>
      </c>
      <c r="AE5" s="1011">
        <v>3997.92</v>
      </c>
      <c r="AF5" s="1011">
        <v>4393.07</v>
      </c>
      <c r="AG5" s="1011">
        <v>5065.12</v>
      </c>
      <c r="AH5" s="1011">
        <v>4970.74</v>
      </c>
      <c r="AI5" s="1011">
        <v>4601.51</v>
      </c>
      <c r="AJ5" s="1011">
        <v>4108.66</v>
      </c>
      <c r="AK5" s="1011">
        <v>4739.66</v>
      </c>
      <c r="AL5" s="1011">
        <v>5098.7700000000004</v>
      </c>
      <c r="AM5" s="1011">
        <v>4561.63</v>
      </c>
      <c r="AN5" s="1011">
        <v>4894.1399999999994</v>
      </c>
      <c r="AO5" s="1011">
        <v>4224.71</v>
      </c>
      <c r="AP5" s="1011">
        <v>2173.2600000000002</v>
      </c>
      <c r="AQ5" s="1011">
        <v>3442</v>
      </c>
      <c r="AR5" s="1004">
        <v>47946705.189999998</v>
      </c>
      <c r="AS5" s="1011">
        <v>612.26</v>
      </c>
      <c r="AT5" s="1011">
        <v>0</v>
      </c>
      <c r="AU5" s="1011">
        <v>0</v>
      </c>
      <c r="AV5" s="1011">
        <v>0</v>
      </c>
      <c r="AW5" s="1011">
        <v>0</v>
      </c>
      <c r="AX5" s="1011">
        <v>0</v>
      </c>
      <c r="AY5" s="1011">
        <v>0</v>
      </c>
      <c r="AZ5" s="1011">
        <v>0</v>
      </c>
      <c r="BA5" s="1011">
        <v>0</v>
      </c>
      <c r="BB5" s="1011">
        <v>0</v>
      </c>
      <c r="BC5" s="1011">
        <v>0</v>
      </c>
      <c r="BD5" s="1011">
        <v>0</v>
      </c>
      <c r="BE5" s="1011">
        <v>0</v>
      </c>
      <c r="BF5" s="1004">
        <v>4652.26</v>
      </c>
      <c r="BG5" s="1011">
        <v>31.86</v>
      </c>
      <c r="BH5" s="1011">
        <v>31.86</v>
      </c>
      <c r="BI5" s="1011">
        <v>0</v>
      </c>
      <c r="BJ5" s="1011">
        <v>0</v>
      </c>
      <c r="BK5" s="1011">
        <v>0</v>
      </c>
      <c r="BL5" s="1011">
        <v>0</v>
      </c>
      <c r="BM5" s="1011">
        <v>0</v>
      </c>
      <c r="BN5" s="1011">
        <v>0</v>
      </c>
      <c r="BO5" s="1011">
        <v>0</v>
      </c>
      <c r="BP5" s="1011">
        <v>0</v>
      </c>
      <c r="BQ5" s="1011">
        <v>0</v>
      </c>
      <c r="BR5" s="1011">
        <v>0</v>
      </c>
      <c r="BS5" s="1011">
        <v>4</v>
      </c>
      <c r="BT5" s="1004">
        <v>67825.72</v>
      </c>
      <c r="BU5" s="1011">
        <v>6342</v>
      </c>
      <c r="BV5" s="1004">
        <v>92753660</v>
      </c>
      <c r="BW5"/>
    </row>
    <row r="6" spans="1:75" ht="12.75">
      <c r="A6" s="1000" t="s">
        <v>2045</v>
      </c>
      <c r="B6" s="751">
        <v>0</v>
      </c>
      <c r="C6" s="1011"/>
      <c r="D6" s="1011"/>
      <c r="E6" s="1011"/>
      <c r="F6" s="1011"/>
      <c r="G6" s="1011"/>
      <c r="H6" s="1011"/>
      <c r="I6" s="1011"/>
      <c r="J6" s="1011"/>
      <c r="K6" s="1011"/>
      <c r="L6" s="1011"/>
      <c r="M6" s="1011"/>
      <c r="N6" s="1011"/>
      <c r="O6" s="1011">
        <v>0</v>
      </c>
      <c r="P6" s="1004">
        <v>0</v>
      </c>
      <c r="Q6" s="1011"/>
      <c r="R6" s="1011"/>
      <c r="S6" s="1011">
        <v>20</v>
      </c>
      <c r="T6" s="1011">
        <v>21</v>
      </c>
      <c r="U6" s="1011">
        <v>20</v>
      </c>
      <c r="V6" s="1011">
        <v>20</v>
      </c>
      <c r="W6" s="1011">
        <v>22</v>
      </c>
      <c r="X6" s="1011">
        <v>1</v>
      </c>
      <c r="Y6" s="1011">
        <v>20</v>
      </c>
      <c r="Z6" s="1011">
        <v>1</v>
      </c>
      <c r="AA6" s="1011">
        <v>1</v>
      </c>
      <c r="AB6" s="1011">
        <v>1</v>
      </c>
      <c r="AC6" s="1011">
        <v>211</v>
      </c>
      <c r="AD6" s="1004">
        <v>3361230</v>
      </c>
      <c r="AE6" s="1011">
        <v>17</v>
      </c>
      <c r="AF6" s="1011">
        <v>19</v>
      </c>
      <c r="AG6" s="1011">
        <v>20</v>
      </c>
      <c r="AH6" s="1011">
        <v>22</v>
      </c>
      <c r="AI6" s="1011">
        <v>21</v>
      </c>
      <c r="AJ6" s="1011">
        <v>19</v>
      </c>
      <c r="AK6" s="1011">
        <v>23</v>
      </c>
      <c r="AL6" s="1011">
        <v>22</v>
      </c>
      <c r="AM6" s="1011">
        <v>21</v>
      </c>
      <c r="AN6" s="1011">
        <v>23</v>
      </c>
      <c r="AO6" s="1011">
        <v>20</v>
      </c>
      <c r="AP6" s="1011">
        <v>22</v>
      </c>
      <c r="AQ6" s="1011">
        <v>249</v>
      </c>
      <c r="AR6" s="1004">
        <v>3966570</v>
      </c>
      <c r="AS6" s="1011"/>
      <c r="AT6" s="1011"/>
      <c r="AU6" s="1011"/>
      <c r="AV6" s="1011"/>
      <c r="AW6" s="1011"/>
      <c r="AX6" s="1011"/>
      <c r="AY6" s="1011"/>
      <c r="AZ6" s="1011"/>
      <c r="BA6" s="1011"/>
      <c r="BB6" s="1011"/>
      <c r="BC6" s="1011"/>
      <c r="BD6" s="1011"/>
      <c r="BE6" s="1011">
        <v>0</v>
      </c>
      <c r="BF6" s="1004">
        <v>0</v>
      </c>
      <c r="BG6" s="1011"/>
      <c r="BH6" s="1011"/>
      <c r="BI6" s="1011"/>
      <c r="BJ6" s="1011"/>
      <c r="BK6" s="1011"/>
      <c r="BL6" s="1011"/>
      <c r="BM6" s="1011"/>
      <c r="BN6" s="1011"/>
      <c r="BO6" s="1011"/>
      <c r="BP6" s="1011"/>
      <c r="BQ6" s="1011"/>
      <c r="BR6" s="1011"/>
      <c r="BS6" s="1011">
        <v>0</v>
      </c>
      <c r="BT6" s="1004">
        <v>0</v>
      </c>
      <c r="BU6" s="1011">
        <v>460</v>
      </c>
      <c r="BV6" s="1004">
        <v>7327800</v>
      </c>
      <c r="BW6"/>
    </row>
    <row r="7" spans="1:75" ht="12.75">
      <c r="A7" s="1001" t="s">
        <v>61</v>
      </c>
      <c r="B7" s="751">
        <v>0</v>
      </c>
      <c r="C7" s="1011"/>
      <c r="D7" s="1011"/>
      <c r="E7" s="1011"/>
      <c r="F7" s="1011"/>
      <c r="G7" s="1011"/>
      <c r="H7" s="1011"/>
      <c r="I7" s="1011"/>
      <c r="J7" s="1011"/>
      <c r="K7" s="1011"/>
      <c r="L7" s="1011"/>
      <c r="M7" s="1011"/>
      <c r="N7" s="1011"/>
      <c r="O7" s="1011">
        <v>0</v>
      </c>
      <c r="P7" s="1004">
        <v>0</v>
      </c>
      <c r="Q7" s="1011"/>
      <c r="R7" s="1011"/>
      <c r="S7" s="1011">
        <v>20</v>
      </c>
      <c r="T7" s="1011">
        <v>21</v>
      </c>
      <c r="U7" s="1011">
        <v>20</v>
      </c>
      <c r="V7" s="1011">
        <v>20</v>
      </c>
      <c r="W7" s="1011">
        <v>22</v>
      </c>
      <c r="X7" s="1011">
        <v>1</v>
      </c>
      <c r="Y7" s="1011">
        <v>20</v>
      </c>
      <c r="Z7" s="1011">
        <v>1</v>
      </c>
      <c r="AA7" s="1011">
        <v>1</v>
      </c>
      <c r="AB7" s="1011">
        <v>1</v>
      </c>
      <c r="AC7" s="1011">
        <v>211</v>
      </c>
      <c r="AD7" s="1004">
        <v>3361230</v>
      </c>
      <c r="AE7" s="1011">
        <v>17</v>
      </c>
      <c r="AF7" s="1011">
        <v>19</v>
      </c>
      <c r="AG7" s="1011">
        <v>20</v>
      </c>
      <c r="AH7" s="1011">
        <v>22</v>
      </c>
      <c r="AI7" s="1011">
        <v>21</v>
      </c>
      <c r="AJ7" s="1011">
        <v>19</v>
      </c>
      <c r="AK7" s="1011">
        <v>23</v>
      </c>
      <c r="AL7" s="1011">
        <v>22</v>
      </c>
      <c r="AM7" s="1011">
        <v>21</v>
      </c>
      <c r="AN7" s="1011">
        <v>23</v>
      </c>
      <c r="AO7" s="1011">
        <v>20</v>
      </c>
      <c r="AP7" s="1011">
        <v>22</v>
      </c>
      <c r="AQ7" s="1011">
        <v>249</v>
      </c>
      <c r="AR7" s="1004">
        <v>3966570</v>
      </c>
      <c r="AS7" s="1011"/>
      <c r="AT7" s="1011"/>
      <c r="AU7" s="1011"/>
      <c r="AV7" s="1011"/>
      <c r="AW7" s="1011"/>
      <c r="AX7" s="1011"/>
      <c r="AY7" s="1011"/>
      <c r="AZ7" s="1011"/>
      <c r="BA7" s="1011"/>
      <c r="BB7" s="1011"/>
      <c r="BC7" s="1011"/>
      <c r="BD7" s="1011"/>
      <c r="BE7" s="1011">
        <v>0</v>
      </c>
      <c r="BF7" s="1004">
        <v>0</v>
      </c>
      <c r="BG7" s="1011"/>
      <c r="BH7" s="1011"/>
      <c r="BI7" s="1011"/>
      <c r="BJ7" s="1011"/>
      <c r="BK7" s="1011"/>
      <c r="BL7" s="1011"/>
      <c r="BM7" s="1011"/>
      <c r="BN7" s="1011"/>
      <c r="BO7" s="1011"/>
      <c r="BP7" s="1011"/>
      <c r="BQ7" s="1011"/>
      <c r="BR7" s="1011"/>
      <c r="BS7" s="1011">
        <v>0</v>
      </c>
      <c r="BT7" s="1004">
        <v>0</v>
      </c>
      <c r="BU7" s="1011">
        <v>460</v>
      </c>
      <c r="BV7" s="1004">
        <v>7327800</v>
      </c>
      <c r="BW7"/>
    </row>
    <row r="8" spans="1:75" ht="12.75">
      <c r="A8" s="1002" t="s">
        <v>1735</v>
      </c>
      <c r="B8" s="751">
        <v>0</v>
      </c>
      <c r="C8" s="1011"/>
      <c r="D8" s="1011"/>
      <c r="E8" s="1011"/>
      <c r="F8" s="1011"/>
      <c r="G8" s="1011"/>
      <c r="H8" s="1011"/>
      <c r="I8" s="1011"/>
      <c r="J8" s="1011"/>
      <c r="K8" s="1011"/>
      <c r="L8" s="1011"/>
      <c r="M8" s="1011"/>
      <c r="N8" s="1011"/>
      <c r="O8" s="1011">
        <v>0</v>
      </c>
      <c r="P8" s="1004">
        <v>0</v>
      </c>
      <c r="Q8" s="1011"/>
      <c r="R8" s="1011"/>
      <c r="S8" s="1011">
        <v>20</v>
      </c>
      <c r="T8" s="1011">
        <v>21</v>
      </c>
      <c r="U8" s="1011">
        <v>20</v>
      </c>
      <c r="V8" s="1011">
        <v>20</v>
      </c>
      <c r="W8" s="1011">
        <v>22</v>
      </c>
      <c r="X8" s="1011">
        <v>1</v>
      </c>
      <c r="Y8" s="1011">
        <v>20</v>
      </c>
      <c r="Z8" s="1011">
        <v>1</v>
      </c>
      <c r="AA8" s="1011">
        <v>1</v>
      </c>
      <c r="AB8" s="1011">
        <v>1</v>
      </c>
      <c r="AC8" s="1011">
        <v>211</v>
      </c>
      <c r="AD8" s="1004">
        <v>3361230</v>
      </c>
      <c r="AE8" s="1011">
        <v>17</v>
      </c>
      <c r="AF8" s="1011">
        <v>19</v>
      </c>
      <c r="AG8" s="1011">
        <v>20</v>
      </c>
      <c r="AH8" s="1011">
        <v>22</v>
      </c>
      <c r="AI8" s="1011">
        <v>21</v>
      </c>
      <c r="AJ8" s="1011">
        <v>19</v>
      </c>
      <c r="AK8" s="1011">
        <v>23</v>
      </c>
      <c r="AL8" s="1011">
        <v>22</v>
      </c>
      <c r="AM8" s="1011">
        <v>21</v>
      </c>
      <c r="AN8" s="1011">
        <v>23</v>
      </c>
      <c r="AO8" s="1011">
        <v>20</v>
      </c>
      <c r="AP8" s="1011">
        <v>22</v>
      </c>
      <c r="AQ8" s="1011">
        <v>249</v>
      </c>
      <c r="AR8" s="1004">
        <v>3966570</v>
      </c>
      <c r="AS8" s="1011"/>
      <c r="AT8" s="1011"/>
      <c r="AU8" s="1011"/>
      <c r="AV8" s="1011"/>
      <c r="AW8" s="1011"/>
      <c r="AX8" s="1011"/>
      <c r="AY8" s="1011"/>
      <c r="AZ8" s="1011"/>
      <c r="BA8" s="1011"/>
      <c r="BB8" s="1011"/>
      <c r="BC8" s="1011"/>
      <c r="BD8" s="1011"/>
      <c r="BE8" s="1011">
        <v>0</v>
      </c>
      <c r="BF8" s="1004">
        <v>0</v>
      </c>
      <c r="BG8" s="1011"/>
      <c r="BH8" s="1011"/>
      <c r="BI8" s="1011"/>
      <c r="BJ8" s="1011"/>
      <c r="BK8" s="1011"/>
      <c r="BL8" s="1011"/>
      <c r="BM8" s="1011"/>
      <c r="BN8" s="1011"/>
      <c r="BO8" s="1011"/>
      <c r="BP8" s="1011"/>
      <c r="BQ8" s="1011"/>
      <c r="BR8" s="1011"/>
      <c r="BS8" s="1011">
        <v>0</v>
      </c>
      <c r="BT8" s="1004">
        <v>0</v>
      </c>
      <c r="BU8" s="1011">
        <v>460</v>
      </c>
      <c r="BV8" s="1004">
        <v>7327800</v>
      </c>
      <c r="BW8"/>
    </row>
    <row r="9" spans="1:75" ht="12.75">
      <c r="A9" s="1003" t="s">
        <v>33</v>
      </c>
      <c r="B9" s="751">
        <v>0</v>
      </c>
      <c r="C9" s="1011"/>
      <c r="D9" s="1011"/>
      <c r="E9" s="1011"/>
      <c r="F9" s="1011"/>
      <c r="G9" s="1011"/>
      <c r="H9" s="1011"/>
      <c r="I9" s="1011"/>
      <c r="J9" s="1011"/>
      <c r="K9" s="1011"/>
      <c r="L9" s="1011"/>
      <c r="M9" s="1011"/>
      <c r="N9" s="1011"/>
      <c r="O9" s="1011">
        <v>0</v>
      </c>
      <c r="P9" s="1004">
        <v>0</v>
      </c>
      <c r="Q9" s="1011"/>
      <c r="R9" s="1011"/>
      <c r="S9" s="1011">
        <v>20</v>
      </c>
      <c r="T9" s="1011">
        <v>21</v>
      </c>
      <c r="U9" s="1011">
        <v>20</v>
      </c>
      <c r="V9" s="1011">
        <v>20</v>
      </c>
      <c r="W9" s="1011">
        <v>22</v>
      </c>
      <c r="X9" s="1011">
        <v>1</v>
      </c>
      <c r="Y9" s="1011">
        <v>20</v>
      </c>
      <c r="Z9" s="1011">
        <v>1</v>
      </c>
      <c r="AA9" s="1011">
        <v>1</v>
      </c>
      <c r="AB9" s="1011">
        <v>1</v>
      </c>
      <c r="AC9" s="1011">
        <v>211</v>
      </c>
      <c r="AD9" s="1004">
        <v>3361230</v>
      </c>
      <c r="AE9" s="1011">
        <v>17</v>
      </c>
      <c r="AF9" s="1011">
        <v>19</v>
      </c>
      <c r="AG9" s="1011">
        <v>20</v>
      </c>
      <c r="AH9" s="1011">
        <v>22</v>
      </c>
      <c r="AI9" s="1011">
        <v>21</v>
      </c>
      <c r="AJ9" s="1011">
        <v>19</v>
      </c>
      <c r="AK9" s="1011">
        <v>23</v>
      </c>
      <c r="AL9" s="1011">
        <v>22</v>
      </c>
      <c r="AM9" s="1011">
        <v>21</v>
      </c>
      <c r="AN9" s="1011">
        <v>23</v>
      </c>
      <c r="AO9" s="1011">
        <v>20</v>
      </c>
      <c r="AP9" s="1011">
        <v>22</v>
      </c>
      <c r="AQ9" s="1011">
        <v>249</v>
      </c>
      <c r="AR9" s="1004">
        <v>3966570</v>
      </c>
      <c r="AS9" s="1011"/>
      <c r="AT9" s="1011"/>
      <c r="AU9" s="1011"/>
      <c r="AV9" s="1011"/>
      <c r="AW9" s="1011"/>
      <c r="AX9" s="1011"/>
      <c r="AY9" s="1011"/>
      <c r="AZ9" s="1011"/>
      <c r="BA9" s="1011"/>
      <c r="BB9" s="1011"/>
      <c r="BC9" s="1011"/>
      <c r="BD9" s="1011"/>
      <c r="BE9" s="1011">
        <v>0</v>
      </c>
      <c r="BF9" s="1004">
        <v>0</v>
      </c>
      <c r="BG9" s="1011"/>
      <c r="BH9" s="1011"/>
      <c r="BI9" s="1011"/>
      <c r="BJ9" s="1011"/>
      <c r="BK9" s="1011"/>
      <c r="BL9" s="1011"/>
      <c r="BM9" s="1011"/>
      <c r="BN9" s="1011"/>
      <c r="BO9" s="1011"/>
      <c r="BP9" s="1011"/>
      <c r="BQ9" s="1011"/>
      <c r="BR9" s="1011"/>
      <c r="BS9" s="1011">
        <v>0</v>
      </c>
      <c r="BT9" s="1004">
        <v>0</v>
      </c>
      <c r="BU9" s="1011">
        <v>460</v>
      </c>
      <c r="BV9" s="1004">
        <v>7327800</v>
      </c>
      <c r="BW9"/>
    </row>
    <row r="10" spans="1:75" ht="12.75">
      <c r="A10" s="1000" t="s">
        <v>2046</v>
      </c>
      <c r="B10" s="751">
        <v>0</v>
      </c>
      <c r="C10" s="1011"/>
      <c r="D10" s="1011"/>
      <c r="E10" s="1011"/>
      <c r="F10" s="1011"/>
      <c r="G10" s="1011"/>
      <c r="H10" s="1011"/>
      <c r="I10" s="1011"/>
      <c r="J10" s="1011"/>
      <c r="K10" s="1011"/>
      <c r="L10" s="1011"/>
      <c r="M10" s="1011"/>
      <c r="N10" s="1011"/>
      <c r="O10" s="1011">
        <v>0</v>
      </c>
      <c r="P10" s="1004">
        <v>0</v>
      </c>
      <c r="Q10" s="1011"/>
      <c r="R10" s="1011"/>
      <c r="S10" s="1011">
        <v>20</v>
      </c>
      <c r="T10" s="1011">
        <v>21</v>
      </c>
      <c r="U10" s="1011">
        <v>20</v>
      </c>
      <c r="V10" s="1011">
        <v>20</v>
      </c>
      <c r="W10" s="1011">
        <v>22</v>
      </c>
      <c r="X10" s="1011">
        <v>1</v>
      </c>
      <c r="Y10" s="1011">
        <v>20</v>
      </c>
      <c r="Z10" s="1011">
        <v>1</v>
      </c>
      <c r="AA10" s="1011">
        <v>1</v>
      </c>
      <c r="AB10" s="1011">
        <v>1</v>
      </c>
      <c r="AC10" s="1011">
        <v>211</v>
      </c>
      <c r="AD10" s="1004">
        <v>2510900</v>
      </c>
      <c r="AE10" s="1011">
        <v>17</v>
      </c>
      <c r="AF10" s="1011">
        <v>19</v>
      </c>
      <c r="AG10" s="1011">
        <v>20</v>
      </c>
      <c r="AH10" s="1011">
        <v>22</v>
      </c>
      <c r="AI10" s="1011">
        <v>21</v>
      </c>
      <c r="AJ10" s="1011">
        <v>19</v>
      </c>
      <c r="AK10" s="1011">
        <v>23</v>
      </c>
      <c r="AL10" s="1011">
        <v>22</v>
      </c>
      <c r="AM10" s="1011">
        <v>21</v>
      </c>
      <c r="AN10" s="1011">
        <v>23</v>
      </c>
      <c r="AO10" s="1011">
        <v>20</v>
      </c>
      <c r="AP10" s="1011">
        <v>22</v>
      </c>
      <c r="AQ10" s="1011">
        <v>249</v>
      </c>
      <c r="AR10" s="1004">
        <v>2963100</v>
      </c>
      <c r="AS10" s="1011"/>
      <c r="AT10" s="1011"/>
      <c r="AU10" s="1011"/>
      <c r="AV10" s="1011"/>
      <c r="AW10" s="1011"/>
      <c r="AX10" s="1011"/>
      <c r="AY10" s="1011"/>
      <c r="AZ10" s="1011"/>
      <c r="BA10" s="1011"/>
      <c r="BB10" s="1011"/>
      <c r="BC10" s="1011"/>
      <c r="BD10" s="1011"/>
      <c r="BE10" s="1011">
        <v>0</v>
      </c>
      <c r="BF10" s="1004">
        <v>0</v>
      </c>
      <c r="BG10" s="1011"/>
      <c r="BH10" s="1011"/>
      <c r="BI10" s="1011"/>
      <c r="BJ10" s="1011"/>
      <c r="BK10" s="1011"/>
      <c r="BL10" s="1011"/>
      <c r="BM10" s="1011"/>
      <c r="BN10" s="1011"/>
      <c r="BO10" s="1011"/>
      <c r="BP10" s="1011"/>
      <c r="BQ10" s="1011"/>
      <c r="BR10" s="1011"/>
      <c r="BS10" s="1011">
        <v>0</v>
      </c>
      <c r="BT10" s="1004">
        <v>0</v>
      </c>
      <c r="BU10" s="1011">
        <v>460</v>
      </c>
      <c r="BV10" s="1004">
        <v>5474000</v>
      </c>
      <c r="BW10"/>
    </row>
    <row r="11" spans="1:75" ht="12.75">
      <c r="A11" s="1001" t="s">
        <v>60</v>
      </c>
      <c r="B11" s="751">
        <v>0</v>
      </c>
      <c r="C11" s="1011"/>
      <c r="D11" s="1011"/>
      <c r="E11" s="1011"/>
      <c r="F11" s="1011"/>
      <c r="G11" s="1011"/>
      <c r="H11" s="1011"/>
      <c r="I11" s="1011"/>
      <c r="J11" s="1011"/>
      <c r="K11" s="1011"/>
      <c r="L11" s="1011"/>
      <c r="M11" s="1011"/>
      <c r="N11" s="1011"/>
      <c r="O11" s="1011">
        <v>0</v>
      </c>
      <c r="P11" s="1004">
        <v>0</v>
      </c>
      <c r="Q11" s="1011"/>
      <c r="R11" s="1011"/>
      <c r="S11" s="1011">
        <v>20</v>
      </c>
      <c r="T11" s="1011">
        <v>21</v>
      </c>
      <c r="U11" s="1011">
        <v>20</v>
      </c>
      <c r="V11" s="1011">
        <v>20</v>
      </c>
      <c r="W11" s="1011">
        <v>22</v>
      </c>
      <c r="X11" s="1011">
        <v>1</v>
      </c>
      <c r="Y11" s="1011">
        <v>20</v>
      </c>
      <c r="Z11" s="1011">
        <v>1</v>
      </c>
      <c r="AA11" s="1011">
        <v>1</v>
      </c>
      <c r="AB11" s="1011">
        <v>1</v>
      </c>
      <c r="AC11" s="1011">
        <v>211</v>
      </c>
      <c r="AD11" s="1004">
        <v>2510900</v>
      </c>
      <c r="AE11" s="1011">
        <v>17</v>
      </c>
      <c r="AF11" s="1011">
        <v>19</v>
      </c>
      <c r="AG11" s="1011">
        <v>20</v>
      </c>
      <c r="AH11" s="1011">
        <v>22</v>
      </c>
      <c r="AI11" s="1011">
        <v>21</v>
      </c>
      <c r="AJ11" s="1011">
        <v>19</v>
      </c>
      <c r="AK11" s="1011">
        <v>23</v>
      </c>
      <c r="AL11" s="1011">
        <v>22</v>
      </c>
      <c r="AM11" s="1011">
        <v>21</v>
      </c>
      <c r="AN11" s="1011">
        <v>23</v>
      </c>
      <c r="AO11" s="1011">
        <v>20</v>
      </c>
      <c r="AP11" s="1011">
        <v>22</v>
      </c>
      <c r="AQ11" s="1011">
        <v>249</v>
      </c>
      <c r="AR11" s="1004">
        <v>2963100</v>
      </c>
      <c r="AS11" s="1011"/>
      <c r="AT11" s="1011"/>
      <c r="AU11" s="1011"/>
      <c r="AV11" s="1011"/>
      <c r="AW11" s="1011"/>
      <c r="AX11" s="1011"/>
      <c r="AY11" s="1011"/>
      <c r="AZ11" s="1011"/>
      <c r="BA11" s="1011"/>
      <c r="BB11" s="1011"/>
      <c r="BC11" s="1011"/>
      <c r="BD11" s="1011"/>
      <c r="BE11" s="1011">
        <v>0</v>
      </c>
      <c r="BF11" s="1004">
        <v>0</v>
      </c>
      <c r="BG11" s="1011"/>
      <c r="BH11" s="1011"/>
      <c r="BI11" s="1011"/>
      <c r="BJ11" s="1011"/>
      <c r="BK11" s="1011"/>
      <c r="BL11" s="1011"/>
      <c r="BM11" s="1011"/>
      <c r="BN11" s="1011"/>
      <c r="BO11" s="1011"/>
      <c r="BP11" s="1011"/>
      <c r="BQ11" s="1011"/>
      <c r="BR11" s="1011"/>
      <c r="BS11" s="1011">
        <v>0</v>
      </c>
      <c r="BT11" s="1004">
        <v>0</v>
      </c>
      <c r="BU11" s="1011">
        <v>460</v>
      </c>
      <c r="BV11" s="1004">
        <v>5474000</v>
      </c>
      <c r="BW11"/>
    </row>
    <row r="12" spans="1:75" ht="12.75">
      <c r="A12" s="1002" t="s">
        <v>1735</v>
      </c>
      <c r="B12" s="751">
        <v>0</v>
      </c>
      <c r="C12" s="1011"/>
      <c r="D12" s="1011"/>
      <c r="E12" s="1011"/>
      <c r="F12" s="1011"/>
      <c r="G12" s="1011"/>
      <c r="H12" s="1011"/>
      <c r="I12" s="1011"/>
      <c r="J12" s="1011"/>
      <c r="K12" s="1011"/>
      <c r="L12" s="1011"/>
      <c r="M12" s="1011"/>
      <c r="N12" s="1011"/>
      <c r="O12" s="1011">
        <v>0</v>
      </c>
      <c r="P12" s="1004">
        <v>0</v>
      </c>
      <c r="Q12" s="1011"/>
      <c r="R12" s="1011"/>
      <c r="S12" s="1011">
        <v>20</v>
      </c>
      <c r="T12" s="1011">
        <v>21</v>
      </c>
      <c r="U12" s="1011">
        <v>20</v>
      </c>
      <c r="V12" s="1011">
        <v>20</v>
      </c>
      <c r="W12" s="1011">
        <v>22</v>
      </c>
      <c r="X12" s="1011">
        <v>1</v>
      </c>
      <c r="Y12" s="1011">
        <v>20</v>
      </c>
      <c r="Z12" s="1011">
        <v>1</v>
      </c>
      <c r="AA12" s="1011">
        <v>1</v>
      </c>
      <c r="AB12" s="1011">
        <v>1</v>
      </c>
      <c r="AC12" s="1011">
        <v>211</v>
      </c>
      <c r="AD12" s="1004">
        <v>2510900</v>
      </c>
      <c r="AE12" s="1011">
        <v>17</v>
      </c>
      <c r="AF12" s="1011">
        <v>19</v>
      </c>
      <c r="AG12" s="1011">
        <v>20</v>
      </c>
      <c r="AH12" s="1011">
        <v>22</v>
      </c>
      <c r="AI12" s="1011">
        <v>21</v>
      </c>
      <c r="AJ12" s="1011">
        <v>19</v>
      </c>
      <c r="AK12" s="1011">
        <v>23</v>
      </c>
      <c r="AL12" s="1011">
        <v>22</v>
      </c>
      <c r="AM12" s="1011">
        <v>21</v>
      </c>
      <c r="AN12" s="1011">
        <v>23</v>
      </c>
      <c r="AO12" s="1011">
        <v>20</v>
      </c>
      <c r="AP12" s="1011">
        <v>22</v>
      </c>
      <c r="AQ12" s="1011">
        <v>249</v>
      </c>
      <c r="AR12" s="1004">
        <v>2963100</v>
      </c>
      <c r="AS12" s="1011"/>
      <c r="AT12" s="1011"/>
      <c r="AU12" s="1011"/>
      <c r="AV12" s="1011"/>
      <c r="AW12" s="1011"/>
      <c r="AX12" s="1011"/>
      <c r="AY12" s="1011"/>
      <c r="AZ12" s="1011"/>
      <c r="BA12" s="1011"/>
      <c r="BB12" s="1011"/>
      <c r="BC12" s="1011"/>
      <c r="BD12" s="1011"/>
      <c r="BE12" s="1011">
        <v>0</v>
      </c>
      <c r="BF12" s="1004">
        <v>0</v>
      </c>
      <c r="BG12" s="1011"/>
      <c r="BH12" s="1011"/>
      <c r="BI12" s="1011"/>
      <c r="BJ12" s="1011"/>
      <c r="BK12" s="1011"/>
      <c r="BL12" s="1011"/>
      <c r="BM12" s="1011"/>
      <c r="BN12" s="1011"/>
      <c r="BO12" s="1011"/>
      <c r="BP12" s="1011"/>
      <c r="BQ12" s="1011"/>
      <c r="BR12" s="1011"/>
      <c r="BS12" s="1011">
        <v>0</v>
      </c>
      <c r="BT12" s="1004">
        <v>0</v>
      </c>
      <c r="BU12" s="1011">
        <v>460</v>
      </c>
      <c r="BV12" s="1004">
        <v>5474000</v>
      </c>
      <c r="BW12"/>
    </row>
    <row r="13" spans="1:75" ht="12.75">
      <c r="A13" s="1003" t="s">
        <v>1616</v>
      </c>
      <c r="B13" s="751">
        <v>0</v>
      </c>
      <c r="C13" s="1011"/>
      <c r="D13" s="1011"/>
      <c r="E13" s="1011"/>
      <c r="F13" s="1011"/>
      <c r="G13" s="1011"/>
      <c r="H13" s="1011"/>
      <c r="I13" s="1011"/>
      <c r="J13" s="1011"/>
      <c r="K13" s="1011"/>
      <c r="L13" s="1011"/>
      <c r="M13" s="1011"/>
      <c r="N13" s="1011"/>
      <c r="O13" s="1011">
        <v>0</v>
      </c>
      <c r="P13" s="1004">
        <v>0</v>
      </c>
      <c r="Q13" s="1011"/>
      <c r="R13" s="1011"/>
      <c r="S13" s="1011">
        <v>20</v>
      </c>
      <c r="T13" s="1011">
        <v>21</v>
      </c>
      <c r="U13" s="1011">
        <v>20</v>
      </c>
      <c r="V13" s="1011">
        <v>20</v>
      </c>
      <c r="W13" s="1011">
        <v>22</v>
      </c>
      <c r="X13" s="1011">
        <v>1</v>
      </c>
      <c r="Y13" s="1011">
        <v>20</v>
      </c>
      <c r="Z13" s="1011">
        <v>1</v>
      </c>
      <c r="AA13" s="1011">
        <v>1</v>
      </c>
      <c r="AB13" s="1011">
        <v>1</v>
      </c>
      <c r="AC13" s="1011">
        <v>211</v>
      </c>
      <c r="AD13" s="1004">
        <v>2510900</v>
      </c>
      <c r="AE13" s="1011">
        <v>17</v>
      </c>
      <c r="AF13" s="1011">
        <v>19</v>
      </c>
      <c r="AG13" s="1011">
        <v>20</v>
      </c>
      <c r="AH13" s="1011">
        <v>22</v>
      </c>
      <c r="AI13" s="1011">
        <v>21</v>
      </c>
      <c r="AJ13" s="1011">
        <v>19</v>
      </c>
      <c r="AK13" s="1011">
        <v>23</v>
      </c>
      <c r="AL13" s="1011">
        <v>22</v>
      </c>
      <c r="AM13" s="1011">
        <v>21</v>
      </c>
      <c r="AN13" s="1011">
        <v>23</v>
      </c>
      <c r="AO13" s="1011">
        <v>20</v>
      </c>
      <c r="AP13" s="1011">
        <v>22</v>
      </c>
      <c r="AQ13" s="1011">
        <v>249</v>
      </c>
      <c r="AR13" s="1004">
        <v>2963100</v>
      </c>
      <c r="AS13" s="1011"/>
      <c r="AT13" s="1011"/>
      <c r="AU13" s="1011"/>
      <c r="AV13" s="1011"/>
      <c r="AW13" s="1011"/>
      <c r="AX13" s="1011"/>
      <c r="AY13" s="1011"/>
      <c r="AZ13" s="1011"/>
      <c r="BA13" s="1011"/>
      <c r="BB13" s="1011"/>
      <c r="BC13" s="1011"/>
      <c r="BD13" s="1011"/>
      <c r="BE13" s="1011">
        <v>0</v>
      </c>
      <c r="BF13" s="1004">
        <v>0</v>
      </c>
      <c r="BG13" s="1011"/>
      <c r="BH13" s="1011"/>
      <c r="BI13" s="1011"/>
      <c r="BJ13" s="1011"/>
      <c r="BK13" s="1011"/>
      <c r="BL13" s="1011"/>
      <c r="BM13" s="1011"/>
      <c r="BN13" s="1011"/>
      <c r="BO13" s="1011"/>
      <c r="BP13" s="1011"/>
      <c r="BQ13" s="1011"/>
      <c r="BR13" s="1011"/>
      <c r="BS13" s="1011">
        <v>0</v>
      </c>
      <c r="BT13" s="1004">
        <v>0</v>
      </c>
      <c r="BU13" s="1011">
        <v>460</v>
      </c>
      <c r="BV13" s="1004">
        <v>5474000</v>
      </c>
      <c r="BW13"/>
    </row>
    <row r="14" spans="1:75" ht="12.75">
      <c r="A14" s="1000" t="s">
        <v>2047</v>
      </c>
      <c r="B14" s="751">
        <v>0</v>
      </c>
      <c r="C14" s="1011"/>
      <c r="D14" s="1011"/>
      <c r="E14" s="1011"/>
      <c r="F14" s="1011"/>
      <c r="G14" s="1011"/>
      <c r="H14" s="1011"/>
      <c r="I14" s="1011"/>
      <c r="J14" s="1011"/>
      <c r="K14" s="1011"/>
      <c r="L14" s="1011"/>
      <c r="M14" s="1011"/>
      <c r="N14" s="1011"/>
      <c r="O14" s="1011">
        <v>0</v>
      </c>
      <c r="P14" s="1004">
        <v>0</v>
      </c>
      <c r="Q14" s="1011"/>
      <c r="R14" s="1011">
        <v>19</v>
      </c>
      <c r="S14" s="1011">
        <v>20</v>
      </c>
      <c r="T14" s="1011">
        <v>21</v>
      </c>
      <c r="U14" s="1011">
        <v>20</v>
      </c>
      <c r="V14" s="1011">
        <v>20</v>
      </c>
      <c r="W14" s="1011"/>
      <c r="X14" s="1011"/>
      <c r="Y14" s="1011"/>
      <c r="Z14" s="1011"/>
      <c r="AA14" s="1011"/>
      <c r="AB14" s="1011"/>
      <c r="AC14" s="1011">
        <v>100</v>
      </c>
      <c r="AD14" s="1004">
        <v>2152000</v>
      </c>
      <c r="AE14" s="1011"/>
      <c r="AF14" s="1011"/>
      <c r="AG14" s="1011"/>
      <c r="AH14" s="1011"/>
      <c r="AI14" s="1011"/>
      <c r="AJ14" s="1011"/>
      <c r="AK14" s="1011"/>
      <c r="AL14" s="1011"/>
      <c r="AM14" s="1011"/>
      <c r="AN14" s="1011"/>
      <c r="AO14" s="1011"/>
      <c r="AP14" s="1011"/>
      <c r="AQ14" s="1011">
        <v>0</v>
      </c>
      <c r="AR14" s="1004">
        <v>0</v>
      </c>
      <c r="AS14" s="1011"/>
      <c r="AT14" s="1011"/>
      <c r="AU14" s="1011"/>
      <c r="AV14" s="1011"/>
      <c r="AW14" s="1011"/>
      <c r="AX14" s="1011"/>
      <c r="AY14" s="1011"/>
      <c r="AZ14" s="1011"/>
      <c r="BA14" s="1011"/>
      <c r="BB14" s="1011"/>
      <c r="BC14" s="1011"/>
      <c r="BD14" s="1011"/>
      <c r="BE14" s="1011">
        <v>0</v>
      </c>
      <c r="BF14" s="1004">
        <v>0</v>
      </c>
      <c r="BG14" s="1011"/>
      <c r="BH14" s="1011"/>
      <c r="BI14" s="1011"/>
      <c r="BJ14" s="1011"/>
      <c r="BK14" s="1011"/>
      <c r="BL14" s="1011"/>
      <c r="BM14" s="1011"/>
      <c r="BN14" s="1011"/>
      <c r="BO14" s="1011"/>
      <c r="BP14" s="1011"/>
      <c r="BQ14" s="1011"/>
      <c r="BR14" s="1011"/>
      <c r="BS14" s="1011">
        <v>0</v>
      </c>
      <c r="BT14" s="1004">
        <v>0</v>
      </c>
      <c r="BU14" s="1011">
        <v>100</v>
      </c>
      <c r="BV14" s="1004">
        <v>2152000</v>
      </c>
      <c r="BW14"/>
    </row>
    <row r="15" spans="1:75">
      <c r="A15" s="1001" t="s">
        <v>1453</v>
      </c>
      <c r="B15" s="751">
        <v>0</v>
      </c>
      <c r="C15" s="1011"/>
      <c r="D15" s="1011"/>
      <c r="E15" s="1011"/>
      <c r="F15" s="1011"/>
      <c r="G15" s="1011"/>
      <c r="H15" s="1011"/>
      <c r="I15" s="1011"/>
      <c r="J15" s="1011"/>
      <c r="K15" s="1011"/>
      <c r="L15" s="1011"/>
      <c r="M15" s="1011"/>
      <c r="N15" s="1011"/>
      <c r="O15" s="1011">
        <v>0</v>
      </c>
      <c r="P15" s="1004">
        <v>0</v>
      </c>
      <c r="Q15" s="1011"/>
      <c r="R15" s="1011">
        <v>19</v>
      </c>
      <c r="S15" s="1011">
        <v>20</v>
      </c>
      <c r="T15" s="1011">
        <v>21</v>
      </c>
      <c r="U15" s="1011">
        <v>20</v>
      </c>
      <c r="V15" s="1011">
        <v>20</v>
      </c>
      <c r="W15" s="1011"/>
      <c r="X15" s="1011"/>
      <c r="Y15" s="1011"/>
      <c r="Z15" s="1011"/>
      <c r="AA15" s="1011"/>
      <c r="AB15" s="1011"/>
      <c r="AC15" s="1011">
        <v>100</v>
      </c>
      <c r="AD15" s="1004">
        <v>2152000</v>
      </c>
      <c r="AE15" s="1011"/>
      <c r="AF15" s="1011"/>
      <c r="AG15" s="1011"/>
      <c r="AH15" s="1011"/>
      <c r="AI15" s="1011"/>
      <c r="AJ15" s="1011"/>
      <c r="AK15" s="1011"/>
      <c r="AL15" s="1011"/>
      <c r="AM15" s="1011"/>
      <c r="AN15" s="1011"/>
      <c r="AO15" s="1011"/>
      <c r="AP15" s="1011"/>
      <c r="AQ15" s="1011">
        <v>0</v>
      </c>
      <c r="AR15" s="1004">
        <v>0</v>
      </c>
      <c r="AS15" s="1011"/>
      <c r="AT15" s="1011"/>
      <c r="AU15" s="1011"/>
      <c r="AV15" s="1011"/>
      <c r="AW15" s="1011"/>
      <c r="AX15" s="1011"/>
      <c r="AY15" s="1011"/>
      <c r="AZ15" s="1011"/>
      <c r="BA15" s="1011"/>
      <c r="BB15" s="1011"/>
      <c r="BC15" s="1011"/>
      <c r="BD15" s="1011"/>
      <c r="BE15" s="1011">
        <v>0</v>
      </c>
      <c r="BF15" s="1004">
        <v>0</v>
      </c>
      <c r="BG15" s="1011"/>
      <c r="BH15" s="1011"/>
      <c r="BI15" s="1011"/>
      <c r="BJ15" s="1011"/>
      <c r="BK15" s="1011"/>
      <c r="BL15" s="1011"/>
      <c r="BM15" s="1011"/>
      <c r="BN15" s="1011"/>
      <c r="BO15" s="1011"/>
      <c r="BP15" s="1011"/>
      <c r="BQ15" s="1011"/>
      <c r="BR15" s="1011"/>
      <c r="BS15" s="1011">
        <v>0</v>
      </c>
      <c r="BT15" s="1004">
        <v>0</v>
      </c>
      <c r="BU15" s="1011">
        <v>100</v>
      </c>
      <c r="BV15" s="1004">
        <v>2152000</v>
      </c>
    </row>
    <row r="16" spans="1:75">
      <c r="A16" s="1002" t="s">
        <v>1735</v>
      </c>
      <c r="B16" s="751">
        <v>0</v>
      </c>
      <c r="C16" s="1011"/>
      <c r="D16" s="1011"/>
      <c r="E16" s="1011"/>
      <c r="F16" s="1011"/>
      <c r="G16" s="1011"/>
      <c r="H16" s="1011"/>
      <c r="I16" s="1011"/>
      <c r="J16" s="1011"/>
      <c r="K16" s="1011"/>
      <c r="L16" s="1011"/>
      <c r="M16" s="1011"/>
      <c r="N16" s="1011"/>
      <c r="O16" s="1011">
        <v>0</v>
      </c>
      <c r="P16" s="1004">
        <v>0</v>
      </c>
      <c r="Q16" s="1011"/>
      <c r="R16" s="1011">
        <v>19</v>
      </c>
      <c r="S16" s="1011">
        <v>20</v>
      </c>
      <c r="T16" s="1011">
        <v>21</v>
      </c>
      <c r="U16" s="1011">
        <v>20</v>
      </c>
      <c r="V16" s="1011">
        <v>20</v>
      </c>
      <c r="W16" s="1011"/>
      <c r="X16" s="1011"/>
      <c r="Y16" s="1011"/>
      <c r="Z16" s="1011"/>
      <c r="AA16" s="1011"/>
      <c r="AB16" s="1011"/>
      <c r="AC16" s="1011">
        <v>100</v>
      </c>
      <c r="AD16" s="1004">
        <v>2152000</v>
      </c>
      <c r="AE16" s="1011"/>
      <c r="AF16" s="1011"/>
      <c r="AG16" s="1011"/>
      <c r="AH16" s="1011"/>
      <c r="AI16" s="1011"/>
      <c r="AJ16" s="1011"/>
      <c r="AK16" s="1011"/>
      <c r="AL16" s="1011"/>
      <c r="AM16" s="1011"/>
      <c r="AN16" s="1011"/>
      <c r="AO16" s="1011"/>
      <c r="AP16" s="1011"/>
      <c r="AQ16" s="1011">
        <v>0</v>
      </c>
      <c r="AR16" s="1004">
        <v>0</v>
      </c>
      <c r="AS16" s="1011"/>
      <c r="AT16" s="1011"/>
      <c r="AU16" s="1011"/>
      <c r="AV16" s="1011"/>
      <c r="AW16" s="1011"/>
      <c r="AX16" s="1011"/>
      <c r="AY16" s="1011"/>
      <c r="AZ16" s="1011"/>
      <c r="BA16" s="1011"/>
      <c r="BB16" s="1011"/>
      <c r="BC16" s="1011"/>
      <c r="BD16" s="1011"/>
      <c r="BE16" s="1011">
        <v>0</v>
      </c>
      <c r="BF16" s="1004">
        <v>0</v>
      </c>
      <c r="BG16" s="1011"/>
      <c r="BH16" s="1011"/>
      <c r="BI16" s="1011"/>
      <c r="BJ16" s="1011"/>
      <c r="BK16" s="1011"/>
      <c r="BL16" s="1011"/>
      <c r="BM16" s="1011"/>
      <c r="BN16" s="1011"/>
      <c r="BO16" s="1011"/>
      <c r="BP16" s="1011"/>
      <c r="BQ16" s="1011"/>
      <c r="BR16" s="1011"/>
      <c r="BS16" s="1011">
        <v>0</v>
      </c>
      <c r="BT16" s="1004">
        <v>0</v>
      </c>
      <c r="BU16" s="1011">
        <v>100</v>
      </c>
      <c r="BV16" s="1004">
        <v>2152000</v>
      </c>
    </row>
    <row r="17" spans="1:74">
      <c r="A17" s="1003" t="s">
        <v>44</v>
      </c>
      <c r="B17" s="751">
        <v>0</v>
      </c>
      <c r="C17" s="1011"/>
      <c r="D17" s="1011"/>
      <c r="E17" s="1011"/>
      <c r="F17" s="1011"/>
      <c r="G17" s="1011"/>
      <c r="H17" s="1011"/>
      <c r="I17" s="1011"/>
      <c r="J17" s="1011"/>
      <c r="K17" s="1011"/>
      <c r="L17" s="1011"/>
      <c r="M17" s="1011"/>
      <c r="N17" s="1011"/>
      <c r="O17" s="1011">
        <v>0</v>
      </c>
      <c r="P17" s="1004">
        <v>0</v>
      </c>
      <c r="Q17" s="1011"/>
      <c r="R17" s="1011">
        <v>19</v>
      </c>
      <c r="S17" s="1011">
        <v>20</v>
      </c>
      <c r="T17" s="1011">
        <v>21</v>
      </c>
      <c r="U17" s="1011">
        <v>20</v>
      </c>
      <c r="V17" s="1011">
        <v>20</v>
      </c>
      <c r="W17" s="1011"/>
      <c r="X17" s="1011"/>
      <c r="Y17" s="1011"/>
      <c r="Z17" s="1011"/>
      <c r="AA17" s="1011"/>
      <c r="AB17" s="1011"/>
      <c r="AC17" s="1011">
        <v>100</v>
      </c>
      <c r="AD17" s="1004">
        <v>2152000</v>
      </c>
      <c r="AE17" s="1011"/>
      <c r="AF17" s="1011"/>
      <c r="AG17" s="1011"/>
      <c r="AH17" s="1011"/>
      <c r="AI17" s="1011"/>
      <c r="AJ17" s="1011"/>
      <c r="AK17" s="1011"/>
      <c r="AL17" s="1011"/>
      <c r="AM17" s="1011"/>
      <c r="AN17" s="1011"/>
      <c r="AO17" s="1011"/>
      <c r="AP17" s="1011"/>
      <c r="AQ17" s="1011">
        <v>0</v>
      </c>
      <c r="AR17" s="1004">
        <v>0</v>
      </c>
      <c r="AS17" s="1011"/>
      <c r="AT17" s="1011"/>
      <c r="AU17" s="1011"/>
      <c r="AV17" s="1011"/>
      <c r="AW17" s="1011"/>
      <c r="AX17" s="1011"/>
      <c r="AY17" s="1011"/>
      <c r="AZ17" s="1011"/>
      <c r="BA17" s="1011"/>
      <c r="BB17" s="1011"/>
      <c r="BC17" s="1011"/>
      <c r="BD17" s="1011"/>
      <c r="BE17" s="1011">
        <v>0</v>
      </c>
      <c r="BF17" s="1004">
        <v>0</v>
      </c>
      <c r="BG17" s="1011"/>
      <c r="BH17" s="1011"/>
      <c r="BI17" s="1011"/>
      <c r="BJ17" s="1011"/>
      <c r="BK17" s="1011"/>
      <c r="BL17" s="1011"/>
      <c r="BM17" s="1011"/>
      <c r="BN17" s="1011"/>
      <c r="BO17" s="1011"/>
      <c r="BP17" s="1011"/>
      <c r="BQ17" s="1011"/>
      <c r="BR17" s="1011"/>
      <c r="BS17" s="1011">
        <v>0</v>
      </c>
      <c r="BT17" s="1004">
        <v>0</v>
      </c>
      <c r="BU17" s="1011">
        <v>100</v>
      </c>
      <c r="BV17" s="1004">
        <v>2152000</v>
      </c>
    </row>
    <row r="18" spans="1:74">
      <c r="A18" s="1000" t="s">
        <v>2048</v>
      </c>
      <c r="B18" s="751">
        <v>0</v>
      </c>
      <c r="C18" s="1011"/>
      <c r="D18" s="1011"/>
      <c r="E18" s="1011"/>
      <c r="F18" s="1011"/>
      <c r="G18" s="1011"/>
      <c r="H18" s="1011"/>
      <c r="I18" s="1011"/>
      <c r="J18" s="1011"/>
      <c r="K18" s="1011"/>
      <c r="L18" s="1011"/>
      <c r="M18" s="1011"/>
      <c r="N18" s="1011"/>
      <c r="O18" s="1011">
        <v>0</v>
      </c>
      <c r="P18" s="1004">
        <v>0</v>
      </c>
      <c r="Q18" s="1011"/>
      <c r="R18" s="1011"/>
      <c r="S18" s="1011">
        <v>5</v>
      </c>
      <c r="T18" s="1011">
        <v>5</v>
      </c>
      <c r="U18" s="1011"/>
      <c r="V18" s="1011">
        <v>10</v>
      </c>
      <c r="W18" s="1011">
        <v>5</v>
      </c>
      <c r="X18" s="1011">
        <v>1</v>
      </c>
      <c r="Y18" s="1011">
        <v>7</v>
      </c>
      <c r="Z18" s="1011">
        <v>3</v>
      </c>
      <c r="AA18" s="1011">
        <v>1</v>
      </c>
      <c r="AB18" s="1011">
        <v>1</v>
      </c>
      <c r="AC18" s="1011">
        <v>52</v>
      </c>
      <c r="AD18" s="1004">
        <v>1119040</v>
      </c>
      <c r="AE18" s="1011"/>
      <c r="AF18" s="1011">
        <v>20</v>
      </c>
      <c r="AG18" s="1011">
        <v>20</v>
      </c>
      <c r="AH18" s="1011">
        <v>10</v>
      </c>
      <c r="AI18" s="1011"/>
      <c r="AJ18" s="1011"/>
      <c r="AK18" s="1011">
        <v>15</v>
      </c>
      <c r="AL18" s="1011">
        <v>5</v>
      </c>
      <c r="AM18" s="1011"/>
      <c r="AN18" s="1011">
        <v>15</v>
      </c>
      <c r="AO18" s="1011"/>
      <c r="AP18" s="1011"/>
      <c r="AQ18" s="1011">
        <v>85</v>
      </c>
      <c r="AR18" s="1004">
        <v>1829200</v>
      </c>
      <c r="AS18" s="1011"/>
      <c r="AT18" s="1011"/>
      <c r="AU18" s="1011"/>
      <c r="AV18" s="1011"/>
      <c r="AW18" s="1011"/>
      <c r="AX18" s="1011"/>
      <c r="AY18" s="1011"/>
      <c r="AZ18" s="1011"/>
      <c r="BA18" s="1011"/>
      <c r="BB18" s="1011"/>
      <c r="BC18" s="1011"/>
      <c r="BD18" s="1011"/>
      <c r="BE18" s="1011">
        <v>0</v>
      </c>
      <c r="BF18" s="1004">
        <v>0</v>
      </c>
      <c r="BG18" s="1011"/>
      <c r="BH18" s="1011"/>
      <c r="BI18" s="1011"/>
      <c r="BJ18" s="1011"/>
      <c r="BK18" s="1011"/>
      <c r="BL18" s="1011"/>
      <c r="BM18" s="1011"/>
      <c r="BN18" s="1011"/>
      <c r="BO18" s="1011"/>
      <c r="BP18" s="1011"/>
      <c r="BQ18" s="1011"/>
      <c r="BR18" s="1011"/>
      <c r="BS18" s="1011">
        <v>0</v>
      </c>
      <c r="BT18" s="1004">
        <v>0</v>
      </c>
      <c r="BU18" s="1011">
        <v>137</v>
      </c>
      <c r="BV18" s="1004">
        <v>2948240</v>
      </c>
    </row>
    <row r="19" spans="1:74">
      <c r="A19" s="1001" t="s">
        <v>1453</v>
      </c>
      <c r="B19" s="751">
        <v>0</v>
      </c>
      <c r="C19" s="1011"/>
      <c r="D19" s="1011"/>
      <c r="E19" s="1011"/>
      <c r="F19" s="1011"/>
      <c r="G19" s="1011"/>
      <c r="H19" s="1011"/>
      <c r="I19" s="1011"/>
      <c r="J19" s="1011"/>
      <c r="K19" s="1011"/>
      <c r="L19" s="1011"/>
      <c r="M19" s="1011"/>
      <c r="N19" s="1011"/>
      <c r="O19" s="1011">
        <v>0</v>
      </c>
      <c r="P19" s="1004">
        <v>0</v>
      </c>
      <c r="Q19" s="1011"/>
      <c r="R19" s="1011"/>
      <c r="S19" s="1011">
        <v>5</v>
      </c>
      <c r="T19" s="1011">
        <v>5</v>
      </c>
      <c r="U19" s="1011"/>
      <c r="V19" s="1011">
        <v>10</v>
      </c>
      <c r="W19" s="1011">
        <v>5</v>
      </c>
      <c r="X19" s="1011">
        <v>1</v>
      </c>
      <c r="Y19" s="1011">
        <v>7</v>
      </c>
      <c r="Z19" s="1011">
        <v>3</v>
      </c>
      <c r="AA19" s="1011">
        <v>1</v>
      </c>
      <c r="AB19" s="1011">
        <v>1</v>
      </c>
      <c r="AC19" s="1011">
        <v>52</v>
      </c>
      <c r="AD19" s="1004">
        <v>1119040</v>
      </c>
      <c r="AE19" s="1011"/>
      <c r="AF19" s="1011">
        <v>20</v>
      </c>
      <c r="AG19" s="1011">
        <v>20</v>
      </c>
      <c r="AH19" s="1011">
        <v>10</v>
      </c>
      <c r="AI19" s="1011"/>
      <c r="AJ19" s="1011"/>
      <c r="AK19" s="1011">
        <v>15</v>
      </c>
      <c r="AL19" s="1011">
        <v>5</v>
      </c>
      <c r="AM19" s="1011"/>
      <c r="AN19" s="1011">
        <v>15</v>
      </c>
      <c r="AO19" s="1011"/>
      <c r="AP19" s="1011"/>
      <c r="AQ19" s="1011">
        <v>85</v>
      </c>
      <c r="AR19" s="1004">
        <v>1829200</v>
      </c>
      <c r="AS19" s="1011"/>
      <c r="AT19" s="1011"/>
      <c r="AU19" s="1011"/>
      <c r="AV19" s="1011"/>
      <c r="AW19" s="1011"/>
      <c r="AX19" s="1011"/>
      <c r="AY19" s="1011"/>
      <c r="AZ19" s="1011"/>
      <c r="BA19" s="1011"/>
      <c r="BB19" s="1011"/>
      <c r="BC19" s="1011"/>
      <c r="BD19" s="1011"/>
      <c r="BE19" s="1011">
        <v>0</v>
      </c>
      <c r="BF19" s="1004">
        <v>0</v>
      </c>
      <c r="BG19" s="1011"/>
      <c r="BH19" s="1011"/>
      <c r="BI19" s="1011"/>
      <c r="BJ19" s="1011"/>
      <c r="BK19" s="1011"/>
      <c r="BL19" s="1011"/>
      <c r="BM19" s="1011"/>
      <c r="BN19" s="1011"/>
      <c r="BO19" s="1011"/>
      <c r="BP19" s="1011"/>
      <c r="BQ19" s="1011"/>
      <c r="BR19" s="1011"/>
      <c r="BS19" s="1011">
        <v>0</v>
      </c>
      <c r="BT19" s="1004">
        <v>0</v>
      </c>
      <c r="BU19" s="1011">
        <v>137</v>
      </c>
      <c r="BV19" s="1004">
        <v>2948240</v>
      </c>
    </row>
    <row r="20" spans="1:74">
      <c r="A20" s="1002" t="s">
        <v>1735</v>
      </c>
      <c r="B20" s="751">
        <v>0</v>
      </c>
      <c r="C20" s="1011"/>
      <c r="D20" s="1011"/>
      <c r="E20" s="1011"/>
      <c r="F20" s="1011"/>
      <c r="G20" s="1011"/>
      <c r="H20" s="1011"/>
      <c r="I20" s="1011"/>
      <c r="J20" s="1011"/>
      <c r="K20" s="1011"/>
      <c r="L20" s="1011"/>
      <c r="M20" s="1011"/>
      <c r="N20" s="1011"/>
      <c r="O20" s="1011">
        <v>0</v>
      </c>
      <c r="P20" s="1004">
        <v>0</v>
      </c>
      <c r="Q20" s="1011"/>
      <c r="R20" s="1011"/>
      <c r="S20" s="1011"/>
      <c r="T20" s="1011"/>
      <c r="U20" s="1011"/>
      <c r="V20" s="1011">
        <v>10</v>
      </c>
      <c r="W20" s="1011">
        <v>5</v>
      </c>
      <c r="X20" s="1011">
        <v>1</v>
      </c>
      <c r="Y20" s="1011">
        <v>7</v>
      </c>
      <c r="Z20" s="1011">
        <v>3</v>
      </c>
      <c r="AA20" s="1011">
        <v>1</v>
      </c>
      <c r="AB20" s="1011">
        <v>1</v>
      </c>
      <c r="AC20" s="1011">
        <v>42</v>
      </c>
      <c r="AD20" s="1004">
        <v>903840</v>
      </c>
      <c r="AE20" s="1011"/>
      <c r="AF20" s="1011">
        <v>20</v>
      </c>
      <c r="AG20" s="1011">
        <v>15</v>
      </c>
      <c r="AH20" s="1011">
        <v>10</v>
      </c>
      <c r="AI20" s="1011"/>
      <c r="AJ20" s="1011"/>
      <c r="AK20" s="1011">
        <v>15</v>
      </c>
      <c r="AL20" s="1011">
        <v>5</v>
      </c>
      <c r="AM20" s="1011"/>
      <c r="AN20" s="1011">
        <v>15</v>
      </c>
      <c r="AO20" s="1011"/>
      <c r="AP20" s="1011"/>
      <c r="AQ20" s="1011">
        <v>80</v>
      </c>
      <c r="AR20" s="1004">
        <v>1721600</v>
      </c>
      <c r="AS20" s="1011"/>
      <c r="AT20" s="1011"/>
      <c r="AU20" s="1011"/>
      <c r="AV20" s="1011"/>
      <c r="AW20" s="1011"/>
      <c r="AX20" s="1011"/>
      <c r="AY20" s="1011"/>
      <c r="AZ20" s="1011"/>
      <c r="BA20" s="1011"/>
      <c r="BB20" s="1011"/>
      <c r="BC20" s="1011"/>
      <c r="BD20" s="1011"/>
      <c r="BE20" s="1011">
        <v>0</v>
      </c>
      <c r="BF20" s="1004">
        <v>0</v>
      </c>
      <c r="BG20" s="1011"/>
      <c r="BH20" s="1011"/>
      <c r="BI20" s="1011"/>
      <c r="BJ20" s="1011"/>
      <c r="BK20" s="1011"/>
      <c r="BL20" s="1011"/>
      <c r="BM20" s="1011"/>
      <c r="BN20" s="1011"/>
      <c r="BO20" s="1011"/>
      <c r="BP20" s="1011"/>
      <c r="BQ20" s="1011"/>
      <c r="BR20" s="1011"/>
      <c r="BS20" s="1011">
        <v>0</v>
      </c>
      <c r="BT20" s="1004">
        <v>0</v>
      </c>
      <c r="BU20" s="1011">
        <v>122</v>
      </c>
      <c r="BV20" s="1004">
        <v>2625440</v>
      </c>
    </row>
    <row r="21" spans="1:74">
      <c r="A21" s="1003" t="s">
        <v>43</v>
      </c>
      <c r="B21" s="751">
        <v>0</v>
      </c>
      <c r="C21" s="1011"/>
      <c r="D21" s="1011"/>
      <c r="E21" s="1011"/>
      <c r="F21" s="1011"/>
      <c r="G21" s="1011"/>
      <c r="H21" s="1011"/>
      <c r="I21" s="1011"/>
      <c r="J21" s="1011"/>
      <c r="K21" s="1011"/>
      <c r="L21" s="1011"/>
      <c r="M21" s="1011"/>
      <c r="N21" s="1011"/>
      <c r="O21" s="1011">
        <v>0</v>
      </c>
      <c r="P21" s="1004">
        <v>0</v>
      </c>
      <c r="Q21" s="1011"/>
      <c r="R21" s="1011"/>
      <c r="S21" s="1011"/>
      <c r="T21" s="1011"/>
      <c r="U21" s="1011"/>
      <c r="V21" s="1011">
        <v>10</v>
      </c>
      <c r="W21" s="1011"/>
      <c r="X21" s="1011"/>
      <c r="Y21" s="1011">
        <v>2</v>
      </c>
      <c r="Z21" s="1011">
        <v>1</v>
      </c>
      <c r="AA21" s="1011">
        <v>1</v>
      </c>
      <c r="AB21" s="1011"/>
      <c r="AC21" s="1011">
        <v>17</v>
      </c>
      <c r="AD21" s="1004">
        <v>365840</v>
      </c>
      <c r="AE21" s="1011"/>
      <c r="AF21" s="1011">
        <v>5</v>
      </c>
      <c r="AG21" s="1011">
        <v>10</v>
      </c>
      <c r="AH21" s="1011">
        <v>5</v>
      </c>
      <c r="AI21" s="1011"/>
      <c r="AJ21" s="1011"/>
      <c r="AK21" s="1011">
        <v>10</v>
      </c>
      <c r="AL21" s="1011">
        <v>5</v>
      </c>
      <c r="AM21" s="1011"/>
      <c r="AN21" s="1011"/>
      <c r="AO21" s="1011"/>
      <c r="AP21" s="1011"/>
      <c r="AQ21" s="1011">
        <v>35</v>
      </c>
      <c r="AR21" s="1004">
        <v>753200</v>
      </c>
      <c r="AS21" s="1011"/>
      <c r="AT21" s="1011"/>
      <c r="AU21" s="1011"/>
      <c r="AV21" s="1011"/>
      <c r="AW21" s="1011"/>
      <c r="AX21" s="1011"/>
      <c r="AY21" s="1011"/>
      <c r="AZ21" s="1011"/>
      <c r="BA21" s="1011"/>
      <c r="BB21" s="1011"/>
      <c r="BC21" s="1011"/>
      <c r="BD21" s="1011"/>
      <c r="BE21" s="1011">
        <v>0</v>
      </c>
      <c r="BF21" s="1004">
        <v>0</v>
      </c>
      <c r="BG21" s="1011"/>
      <c r="BH21" s="1011"/>
      <c r="BI21" s="1011"/>
      <c r="BJ21" s="1011"/>
      <c r="BK21" s="1011"/>
      <c r="BL21" s="1011"/>
      <c r="BM21" s="1011"/>
      <c r="BN21" s="1011"/>
      <c r="BO21" s="1011"/>
      <c r="BP21" s="1011"/>
      <c r="BQ21" s="1011"/>
      <c r="BR21" s="1011"/>
      <c r="BS21" s="1011">
        <v>0</v>
      </c>
      <c r="BT21" s="1004">
        <v>0</v>
      </c>
      <c r="BU21" s="1011">
        <v>52</v>
      </c>
      <c r="BV21" s="1004">
        <v>1119040</v>
      </c>
    </row>
    <row r="22" spans="1:74">
      <c r="A22" s="1003" t="s">
        <v>42</v>
      </c>
      <c r="B22" s="751">
        <v>0</v>
      </c>
      <c r="C22" s="1011"/>
      <c r="D22" s="1011"/>
      <c r="E22" s="1011"/>
      <c r="F22" s="1011"/>
      <c r="G22" s="1011"/>
      <c r="H22" s="1011"/>
      <c r="I22" s="1011"/>
      <c r="J22" s="1011"/>
      <c r="K22" s="1011"/>
      <c r="L22" s="1011"/>
      <c r="M22" s="1011"/>
      <c r="N22" s="1011"/>
      <c r="O22" s="1011">
        <v>0</v>
      </c>
      <c r="P22" s="1004">
        <v>0</v>
      </c>
      <c r="Q22" s="1011"/>
      <c r="R22" s="1011"/>
      <c r="S22" s="1011"/>
      <c r="T22" s="1011"/>
      <c r="U22" s="1011"/>
      <c r="V22" s="1011"/>
      <c r="W22" s="1011">
        <v>5</v>
      </c>
      <c r="X22" s="1011">
        <v>1</v>
      </c>
      <c r="Y22" s="1011">
        <v>5</v>
      </c>
      <c r="Z22" s="1011">
        <v>2</v>
      </c>
      <c r="AA22" s="1011"/>
      <c r="AB22" s="1011">
        <v>1</v>
      </c>
      <c r="AC22" s="1011">
        <v>25</v>
      </c>
      <c r="AD22" s="1004">
        <v>538000</v>
      </c>
      <c r="AE22" s="1011"/>
      <c r="AF22" s="1011">
        <v>15</v>
      </c>
      <c r="AG22" s="1011">
        <v>5</v>
      </c>
      <c r="AH22" s="1011">
        <v>5</v>
      </c>
      <c r="AI22" s="1011"/>
      <c r="AJ22" s="1011"/>
      <c r="AK22" s="1011">
        <v>5</v>
      </c>
      <c r="AL22" s="1011"/>
      <c r="AM22" s="1011"/>
      <c r="AN22" s="1011">
        <v>15</v>
      </c>
      <c r="AO22" s="1011"/>
      <c r="AP22" s="1011"/>
      <c r="AQ22" s="1011">
        <v>45</v>
      </c>
      <c r="AR22" s="1004">
        <v>968400</v>
      </c>
      <c r="AS22" s="1011"/>
      <c r="AT22" s="1011"/>
      <c r="AU22" s="1011"/>
      <c r="AV22" s="1011"/>
      <c r="AW22" s="1011"/>
      <c r="AX22" s="1011"/>
      <c r="AY22" s="1011"/>
      <c r="AZ22" s="1011"/>
      <c r="BA22" s="1011"/>
      <c r="BB22" s="1011"/>
      <c r="BC22" s="1011"/>
      <c r="BD22" s="1011"/>
      <c r="BE22" s="1011">
        <v>0</v>
      </c>
      <c r="BF22" s="1004">
        <v>0</v>
      </c>
      <c r="BG22" s="1011"/>
      <c r="BH22" s="1011"/>
      <c r="BI22" s="1011"/>
      <c r="BJ22" s="1011"/>
      <c r="BK22" s="1011"/>
      <c r="BL22" s="1011"/>
      <c r="BM22" s="1011"/>
      <c r="BN22" s="1011"/>
      <c r="BO22" s="1011"/>
      <c r="BP22" s="1011"/>
      <c r="BQ22" s="1011"/>
      <c r="BR22" s="1011"/>
      <c r="BS22" s="1011">
        <v>0</v>
      </c>
      <c r="BT22" s="1004">
        <v>0</v>
      </c>
      <c r="BU22" s="1011">
        <v>70</v>
      </c>
      <c r="BV22" s="1004">
        <v>1506400</v>
      </c>
    </row>
    <row r="23" spans="1:74">
      <c r="A23" s="1002" t="s">
        <v>1699</v>
      </c>
      <c r="B23" s="751">
        <v>0</v>
      </c>
      <c r="C23" s="1011"/>
      <c r="D23" s="1011"/>
      <c r="E23" s="1011"/>
      <c r="F23" s="1011"/>
      <c r="G23" s="1011"/>
      <c r="H23" s="1011"/>
      <c r="I23" s="1011"/>
      <c r="J23" s="1011"/>
      <c r="K23" s="1011"/>
      <c r="L23" s="1011"/>
      <c r="M23" s="1011"/>
      <c r="N23" s="1011"/>
      <c r="O23" s="1011">
        <v>0</v>
      </c>
      <c r="P23" s="1004">
        <v>0</v>
      </c>
      <c r="Q23" s="1011"/>
      <c r="R23" s="1011"/>
      <c r="S23" s="1011">
        <v>5</v>
      </c>
      <c r="T23" s="1011">
        <v>5</v>
      </c>
      <c r="U23" s="1011"/>
      <c r="V23" s="1011"/>
      <c r="W23" s="1011"/>
      <c r="X23" s="1011"/>
      <c r="Y23" s="1011"/>
      <c r="Z23" s="1011"/>
      <c r="AA23" s="1011"/>
      <c r="AB23" s="1011"/>
      <c r="AC23" s="1011">
        <v>10</v>
      </c>
      <c r="AD23" s="1004">
        <v>215200</v>
      </c>
      <c r="AE23" s="1011"/>
      <c r="AF23" s="1011"/>
      <c r="AG23" s="1011">
        <v>5</v>
      </c>
      <c r="AH23" s="1011"/>
      <c r="AI23" s="1011"/>
      <c r="AJ23" s="1011"/>
      <c r="AK23" s="1011"/>
      <c r="AL23" s="1011"/>
      <c r="AM23" s="1011"/>
      <c r="AN23" s="1011"/>
      <c r="AO23" s="1011"/>
      <c r="AP23" s="1011"/>
      <c r="AQ23" s="1011">
        <v>5</v>
      </c>
      <c r="AR23" s="1004">
        <v>107600</v>
      </c>
      <c r="AS23" s="1011"/>
      <c r="AT23" s="1011"/>
      <c r="AU23" s="1011"/>
      <c r="AV23" s="1011"/>
      <c r="AW23" s="1011"/>
      <c r="AX23" s="1011"/>
      <c r="AY23" s="1011"/>
      <c r="AZ23" s="1011"/>
      <c r="BA23" s="1011"/>
      <c r="BB23" s="1011"/>
      <c r="BC23" s="1011"/>
      <c r="BD23" s="1011"/>
      <c r="BE23" s="1011">
        <v>0</v>
      </c>
      <c r="BF23" s="1004">
        <v>0</v>
      </c>
      <c r="BG23" s="1011"/>
      <c r="BH23" s="1011"/>
      <c r="BI23" s="1011"/>
      <c r="BJ23" s="1011"/>
      <c r="BK23" s="1011"/>
      <c r="BL23" s="1011"/>
      <c r="BM23" s="1011"/>
      <c r="BN23" s="1011"/>
      <c r="BO23" s="1011"/>
      <c r="BP23" s="1011"/>
      <c r="BQ23" s="1011"/>
      <c r="BR23" s="1011"/>
      <c r="BS23" s="1011">
        <v>0</v>
      </c>
      <c r="BT23" s="1004">
        <v>0</v>
      </c>
      <c r="BU23" s="1011">
        <v>15</v>
      </c>
      <c r="BV23" s="1004">
        <v>322800</v>
      </c>
    </row>
    <row r="24" spans="1:74">
      <c r="A24" s="1003" t="s">
        <v>43</v>
      </c>
      <c r="B24" s="751">
        <v>0</v>
      </c>
      <c r="C24" s="1011"/>
      <c r="D24" s="1011"/>
      <c r="E24" s="1011"/>
      <c r="F24" s="1011"/>
      <c r="G24" s="1011"/>
      <c r="H24" s="1011"/>
      <c r="I24" s="1011"/>
      <c r="J24" s="1011"/>
      <c r="K24" s="1011"/>
      <c r="L24" s="1011"/>
      <c r="M24" s="1011"/>
      <c r="N24" s="1011"/>
      <c r="O24" s="1011">
        <v>0</v>
      </c>
      <c r="P24" s="1004">
        <v>0</v>
      </c>
      <c r="Q24" s="1011"/>
      <c r="R24" s="1011"/>
      <c r="S24" s="1011">
        <v>5</v>
      </c>
      <c r="T24" s="1011">
        <v>5</v>
      </c>
      <c r="U24" s="1011"/>
      <c r="V24" s="1011"/>
      <c r="W24" s="1011"/>
      <c r="X24" s="1011"/>
      <c r="Y24" s="1011"/>
      <c r="Z24" s="1011"/>
      <c r="AA24" s="1011"/>
      <c r="AB24" s="1011"/>
      <c r="AC24" s="1011">
        <v>10</v>
      </c>
      <c r="AD24" s="1004">
        <v>215200</v>
      </c>
      <c r="AE24" s="1011"/>
      <c r="AF24" s="1011"/>
      <c r="AG24" s="1011">
        <v>5</v>
      </c>
      <c r="AH24" s="1011"/>
      <c r="AI24" s="1011"/>
      <c r="AJ24" s="1011"/>
      <c r="AK24" s="1011"/>
      <c r="AL24" s="1011"/>
      <c r="AM24" s="1011"/>
      <c r="AN24" s="1011"/>
      <c r="AO24" s="1011"/>
      <c r="AP24" s="1011"/>
      <c r="AQ24" s="1011">
        <v>5</v>
      </c>
      <c r="AR24" s="1004">
        <v>107600</v>
      </c>
      <c r="AS24" s="1011"/>
      <c r="AT24" s="1011"/>
      <c r="AU24" s="1011"/>
      <c r="AV24" s="1011"/>
      <c r="AW24" s="1011"/>
      <c r="AX24" s="1011"/>
      <c r="AY24" s="1011"/>
      <c r="AZ24" s="1011"/>
      <c r="BA24" s="1011"/>
      <c r="BB24" s="1011"/>
      <c r="BC24" s="1011"/>
      <c r="BD24" s="1011"/>
      <c r="BE24" s="1011">
        <v>0</v>
      </c>
      <c r="BF24" s="1004">
        <v>0</v>
      </c>
      <c r="BG24" s="1011"/>
      <c r="BH24" s="1011"/>
      <c r="BI24" s="1011"/>
      <c r="BJ24" s="1011"/>
      <c r="BK24" s="1011"/>
      <c r="BL24" s="1011"/>
      <c r="BM24" s="1011"/>
      <c r="BN24" s="1011"/>
      <c r="BO24" s="1011"/>
      <c r="BP24" s="1011"/>
      <c r="BQ24" s="1011"/>
      <c r="BR24" s="1011"/>
      <c r="BS24" s="1011">
        <v>0</v>
      </c>
      <c r="BT24" s="1004">
        <v>0</v>
      </c>
      <c r="BU24" s="1011">
        <v>15</v>
      </c>
      <c r="BV24" s="1004">
        <v>322800</v>
      </c>
    </row>
    <row r="25" spans="1:74">
      <c r="A25" s="1000" t="s">
        <v>2049</v>
      </c>
      <c r="B25" s="751">
        <v>0</v>
      </c>
      <c r="C25" s="1011"/>
      <c r="D25" s="1011"/>
      <c r="E25" s="1011"/>
      <c r="F25" s="1011"/>
      <c r="G25" s="1011"/>
      <c r="H25" s="1011"/>
      <c r="I25" s="1011"/>
      <c r="J25" s="1011"/>
      <c r="K25" s="1011"/>
      <c r="L25" s="1011"/>
      <c r="M25" s="1011"/>
      <c r="N25" s="1011"/>
      <c r="O25" s="1011">
        <v>0</v>
      </c>
      <c r="P25" s="1004">
        <v>0</v>
      </c>
      <c r="Q25" s="1011"/>
      <c r="R25" s="1011"/>
      <c r="S25" s="1011">
        <v>20</v>
      </c>
      <c r="T25" s="1011">
        <v>21</v>
      </c>
      <c r="U25" s="1011">
        <v>20</v>
      </c>
      <c r="V25" s="1011">
        <v>20</v>
      </c>
      <c r="W25" s="1011">
        <v>22</v>
      </c>
      <c r="X25" s="1011">
        <v>1</v>
      </c>
      <c r="Y25" s="1011">
        <v>20</v>
      </c>
      <c r="Z25" s="1011">
        <v>2</v>
      </c>
      <c r="AA25" s="1011">
        <v>2</v>
      </c>
      <c r="AB25" s="1011">
        <v>1</v>
      </c>
      <c r="AC25" s="1011">
        <v>211</v>
      </c>
      <c r="AD25" s="1004">
        <v>4540720</v>
      </c>
      <c r="AE25" s="1011">
        <v>17</v>
      </c>
      <c r="AF25" s="1011">
        <v>19</v>
      </c>
      <c r="AG25" s="1011">
        <v>20</v>
      </c>
      <c r="AH25" s="1011">
        <v>22</v>
      </c>
      <c r="AI25" s="1011">
        <v>21</v>
      </c>
      <c r="AJ25" s="1011">
        <v>19</v>
      </c>
      <c r="AK25" s="1011">
        <v>23</v>
      </c>
      <c r="AL25" s="1011">
        <v>22</v>
      </c>
      <c r="AM25" s="1011">
        <v>21</v>
      </c>
      <c r="AN25" s="1011">
        <v>23</v>
      </c>
      <c r="AO25" s="1011"/>
      <c r="AP25" s="1011"/>
      <c r="AQ25" s="1011">
        <v>207</v>
      </c>
      <c r="AR25" s="1004">
        <v>4454640</v>
      </c>
      <c r="AS25" s="1011"/>
      <c r="AT25" s="1011"/>
      <c r="AU25" s="1011"/>
      <c r="AV25" s="1011"/>
      <c r="AW25" s="1011"/>
      <c r="AX25" s="1011"/>
      <c r="AY25" s="1011"/>
      <c r="AZ25" s="1011"/>
      <c r="BA25" s="1011"/>
      <c r="BB25" s="1011"/>
      <c r="BC25" s="1011"/>
      <c r="BD25" s="1011"/>
      <c r="BE25" s="1011">
        <v>0</v>
      </c>
      <c r="BF25" s="1004">
        <v>0</v>
      </c>
      <c r="BG25" s="1011"/>
      <c r="BH25" s="1011"/>
      <c r="BI25" s="1011"/>
      <c r="BJ25" s="1011"/>
      <c r="BK25" s="1011"/>
      <c r="BL25" s="1011"/>
      <c r="BM25" s="1011"/>
      <c r="BN25" s="1011"/>
      <c r="BO25" s="1011"/>
      <c r="BP25" s="1011"/>
      <c r="BQ25" s="1011"/>
      <c r="BR25" s="1011"/>
      <c r="BS25" s="1011">
        <v>0</v>
      </c>
      <c r="BT25" s="1004">
        <v>0</v>
      </c>
      <c r="BU25" s="1011">
        <v>418</v>
      </c>
      <c r="BV25" s="1004">
        <v>8995360</v>
      </c>
    </row>
    <row r="26" spans="1:74">
      <c r="A26" s="1001" t="s">
        <v>1453</v>
      </c>
      <c r="B26" s="751">
        <v>0</v>
      </c>
      <c r="C26" s="1011"/>
      <c r="D26" s="1011"/>
      <c r="E26" s="1011"/>
      <c r="F26" s="1011"/>
      <c r="G26" s="1011"/>
      <c r="H26" s="1011"/>
      <c r="I26" s="1011"/>
      <c r="J26" s="1011"/>
      <c r="K26" s="1011"/>
      <c r="L26" s="1011"/>
      <c r="M26" s="1011"/>
      <c r="N26" s="1011"/>
      <c r="O26" s="1011">
        <v>0</v>
      </c>
      <c r="P26" s="1004">
        <v>0</v>
      </c>
      <c r="Q26" s="1011"/>
      <c r="R26" s="1011"/>
      <c r="S26" s="1011">
        <v>20</v>
      </c>
      <c r="T26" s="1011">
        <v>21</v>
      </c>
      <c r="U26" s="1011">
        <v>20</v>
      </c>
      <c r="V26" s="1011">
        <v>20</v>
      </c>
      <c r="W26" s="1011">
        <v>22</v>
      </c>
      <c r="X26" s="1011">
        <v>1</v>
      </c>
      <c r="Y26" s="1011">
        <v>20</v>
      </c>
      <c r="Z26" s="1011">
        <v>2</v>
      </c>
      <c r="AA26" s="1011">
        <v>2</v>
      </c>
      <c r="AB26" s="1011">
        <v>1</v>
      </c>
      <c r="AC26" s="1011">
        <v>211</v>
      </c>
      <c r="AD26" s="1004">
        <v>4540720</v>
      </c>
      <c r="AE26" s="1011">
        <v>17</v>
      </c>
      <c r="AF26" s="1011">
        <v>19</v>
      </c>
      <c r="AG26" s="1011">
        <v>20</v>
      </c>
      <c r="AH26" s="1011">
        <v>22</v>
      </c>
      <c r="AI26" s="1011">
        <v>21</v>
      </c>
      <c r="AJ26" s="1011">
        <v>19</v>
      </c>
      <c r="AK26" s="1011">
        <v>23</v>
      </c>
      <c r="AL26" s="1011">
        <v>22</v>
      </c>
      <c r="AM26" s="1011">
        <v>21</v>
      </c>
      <c r="AN26" s="1011">
        <v>23</v>
      </c>
      <c r="AO26" s="1011"/>
      <c r="AP26" s="1011"/>
      <c r="AQ26" s="1011">
        <v>207</v>
      </c>
      <c r="AR26" s="1004">
        <v>4454640</v>
      </c>
      <c r="AS26" s="1011"/>
      <c r="AT26" s="1011"/>
      <c r="AU26" s="1011"/>
      <c r="AV26" s="1011"/>
      <c r="AW26" s="1011"/>
      <c r="AX26" s="1011"/>
      <c r="AY26" s="1011"/>
      <c r="AZ26" s="1011"/>
      <c r="BA26" s="1011"/>
      <c r="BB26" s="1011"/>
      <c r="BC26" s="1011"/>
      <c r="BD26" s="1011"/>
      <c r="BE26" s="1011">
        <v>0</v>
      </c>
      <c r="BF26" s="1004">
        <v>0</v>
      </c>
      <c r="BG26" s="1011"/>
      <c r="BH26" s="1011"/>
      <c r="BI26" s="1011"/>
      <c r="BJ26" s="1011"/>
      <c r="BK26" s="1011"/>
      <c r="BL26" s="1011"/>
      <c r="BM26" s="1011"/>
      <c r="BN26" s="1011"/>
      <c r="BO26" s="1011"/>
      <c r="BP26" s="1011"/>
      <c r="BQ26" s="1011"/>
      <c r="BR26" s="1011"/>
      <c r="BS26" s="1011">
        <v>0</v>
      </c>
      <c r="BT26" s="1004">
        <v>0</v>
      </c>
      <c r="BU26" s="1011">
        <v>418</v>
      </c>
      <c r="BV26" s="1004">
        <v>8995360</v>
      </c>
    </row>
    <row r="27" spans="1:74">
      <c r="A27" s="1002" t="s">
        <v>1735</v>
      </c>
      <c r="B27" s="751">
        <v>0</v>
      </c>
      <c r="C27" s="1011"/>
      <c r="D27" s="1011"/>
      <c r="E27" s="1011"/>
      <c r="F27" s="1011"/>
      <c r="G27" s="1011"/>
      <c r="H27" s="1011"/>
      <c r="I27" s="1011"/>
      <c r="J27" s="1011"/>
      <c r="K27" s="1011"/>
      <c r="L27" s="1011"/>
      <c r="M27" s="1011"/>
      <c r="N27" s="1011"/>
      <c r="O27" s="1011">
        <v>0</v>
      </c>
      <c r="P27" s="1004">
        <v>0</v>
      </c>
      <c r="Q27" s="1011"/>
      <c r="R27" s="1011"/>
      <c r="S27" s="1011">
        <v>20</v>
      </c>
      <c r="T27" s="1011">
        <v>21</v>
      </c>
      <c r="U27" s="1011">
        <v>20</v>
      </c>
      <c r="V27" s="1011">
        <v>20</v>
      </c>
      <c r="W27" s="1011">
        <v>22</v>
      </c>
      <c r="X27" s="1011">
        <v>1</v>
      </c>
      <c r="Y27" s="1011">
        <v>20</v>
      </c>
      <c r="Z27" s="1011">
        <v>2</v>
      </c>
      <c r="AA27" s="1011">
        <v>2</v>
      </c>
      <c r="AB27" s="1011">
        <v>1</v>
      </c>
      <c r="AC27" s="1011">
        <v>211</v>
      </c>
      <c r="AD27" s="1004">
        <v>4540720</v>
      </c>
      <c r="AE27" s="1011">
        <v>17</v>
      </c>
      <c r="AF27" s="1011">
        <v>19</v>
      </c>
      <c r="AG27" s="1011">
        <v>20</v>
      </c>
      <c r="AH27" s="1011">
        <v>22</v>
      </c>
      <c r="AI27" s="1011">
        <v>21</v>
      </c>
      <c r="AJ27" s="1011">
        <v>19</v>
      </c>
      <c r="AK27" s="1011">
        <v>23</v>
      </c>
      <c r="AL27" s="1011">
        <v>22</v>
      </c>
      <c r="AM27" s="1011">
        <v>21</v>
      </c>
      <c r="AN27" s="1011">
        <v>23</v>
      </c>
      <c r="AO27" s="1011"/>
      <c r="AP27" s="1011"/>
      <c r="AQ27" s="1011">
        <v>207</v>
      </c>
      <c r="AR27" s="1004">
        <v>4454640</v>
      </c>
      <c r="AS27" s="1011"/>
      <c r="AT27" s="1011"/>
      <c r="AU27" s="1011"/>
      <c r="AV27" s="1011"/>
      <c r="AW27" s="1011"/>
      <c r="AX27" s="1011"/>
      <c r="AY27" s="1011"/>
      <c r="AZ27" s="1011"/>
      <c r="BA27" s="1011"/>
      <c r="BB27" s="1011"/>
      <c r="BC27" s="1011"/>
      <c r="BD27" s="1011"/>
      <c r="BE27" s="1011">
        <v>0</v>
      </c>
      <c r="BF27" s="1004">
        <v>0</v>
      </c>
      <c r="BG27" s="1011"/>
      <c r="BH27" s="1011"/>
      <c r="BI27" s="1011"/>
      <c r="BJ27" s="1011"/>
      <c r="BK27" s="1011"/>
      <c r="BL27" s="1011"/>
      <c r="BM27" s="1011"/>
      <c r="BN27" s="1011"/>
      <c r="BO27" s="1011"/>
      <c r="BP27" s="1011"/>
      <c r="BQ27" s="1011"/>
      <c r="BR27" s="1011"/>
      <c r="BS27" s="1011">
        <v>0</v>
      </c>
      <c r="BT27" s="1004">
        <v>0</v>
      </c>
      <c r="BU27" s="1011">
        <v>418</v>
      </c>
      <c r="BV27" s="1004">
        <v>8995360</v>
      </c>
    </row>
    <row r="28" spans="1:74">
      <c r="A28" s="1003" t="s">
        <v>40</v>
      </c>
      <c r="B28" s="751">
        <v>0</v>
      </c>
      <c r="C28" s="1011"/>
      <c r="D28" s="1011"/>
      <c r="E28" s="1011"/>
      <c r="F28" s="1011"/>
      <c r="G28" s="1011"/>
      <c r="H28" s="1011"/>
      <c r="I28" s="1011"/>
      <c r="J28" s="1011"/>
      <c r="K28" s="1011"/>
      <c r="L28" s="1011"/>
      <c r="M28" s="1011"/>
      <c r="N28" s="1011"/>
      <c r="O28" s="1011">
        <v>0</v>
      </c>
      <c r="P28" s="1004">
        <v>0</v>
      </c>
      <c r="Q28" s="1011"/>
      <c r="R28" s="1011"/>
      <c r="S28" s="1011">
        <v>20</v>
      </c>
      <c r="T28" s="1011">
        <v>21</v>
      </c>
      <c r="U28" s="1011">
        <v>20</v>
      </c>
      <c r="V28" s="1011">
        <v>20</v>
      </c>
      <c r="W28" s="1011">
        <v>22</v>
      </c>
      <c r="X28" s="1011">
        <v>1</v>
      </c>
      <c r="Y28" s="1011">
        <v>20</v>
      </c>
      <c r="Z28" s="1011">
        <v>2</v>
      </c>
      <c r="AA28" s="1011">
        <v>2</v>
      </c>
      <c r="AB28" s="1011">
        <v>1</v>
      </c>
      <c r="AC28" s="1011">
        <v>211</v>
      </c>
      <c r="AD28" s="1004">
        <v>4540720</v>
      </c>
      <c r="AE28" s="1011">
        <v>17</v>
      </c>
      <c r="AF28" s="1011">
        <v>19</v>
      </c>
      <c r="AG28" s="1011">
        <v>20</v>
      </c>
      <c r="AH28" s="1011">
        <v>22</v>
      </c>
      <c r="AI28" s="1011">
        <v>21</v>
      </c>
      <c r="AJ28" s="1011">
        <v>19</v>
      </c>
      <c r="AK28" s="1011">
        <v>23</v>
      </c>
      <c r="AL28" s="1011">
        <v>22</v>
      </c>
      <c r="AM28" s="1011">
        <v>21</v>
      </c>
      <c r="AN28" s="1011">
        <v>23</v>
      </c>
      <c r="AO28" s="1011"/>
      <c r="AP28" s="1011"/>
      <c r="AQ28" s="1011">
        <v>207</v>
      </c>
      <c r="AR28" s="1004">
        <v>4454640</v>
      </c>
      <c r="AS28" s="1011"/>
      <c r="AT28" s="1011"/>
      <c r="AU28" s="1011"/>
      <c r="AV28" s="1011"/>
      <c r="AW28" s="1011"/>
      <c r="AX28" s="1011"/>
      <c r="AY28" s="1011"/>
      <c r="AZ28" s="1011"/>
      <c r="BA28" s="1011"/>
      <c r="BB28" s="1011"/>
      <c r="BC28" s="1011"/>
      <c r="BD28" s="1011"/>
      <c r="BE28" s="1011">
        <v>0</v>
      </c>
      <c r="BF28" s="1004">
        <v>0</v>
      </c>
      <c r="BG28" s="1011"/>
      <c r="BH28" s="1011"/>
      <c r="BI28" s="1011"/>
      <c r="BJ28" s="1011"/>
      <c r="BK28" s="1011"/>
      <c r="BL28" s="1011"/>
      <c r="BM28" s="1011"/>
      <c r="BN28" s="1011"/>
      <c r="BO28" s="1011"/>
      <c r="BP28" s="1011"/>
      <c r="BQ28" s="1011"/>
      <c r="BR28" s="1011"/>
      <c r="BS28" s="1011">
        <v>0</v>
      </c>
      <c r="BT28" s="1004">
        <v>0</v>
      </c>
      <c r="BU28" s="1011">
        <v>418</v>
      </c>
      <c r="BV28" s="1004">
        <v>8995360</v>
      </c>
    </row>
    <row r="29" spans="1:74">
      <c r="A29" s="1000" t="s">
        <v>2050</v>
      </c>
      <c r="B29" s="751">
        <v>0</v>
      </c>
      <c r="C29" s="1011"/>
      <c r="D29" s="1011"/>
      <c r="E29" s="1011"/>
      <c r="F29" s="1011"/>
      <c r="G29" s="1011"/>
      <c r="H29" s="1011"/>
      <c r="I29" s="1011"/>
      <c r="J29" s="1011"/>
      <c r="K29" s="1011"/>
      <c r="L29" s="1011"/>
      <c r="M29" s="1011"/>
      <c r="N29" s="1011"/>
      <c r="O29" s="1011">
        <v>0</v>
      </c>
      <c r="P29" s="1004">
        <v>0</v>
      </c>
      <c r="Q29" s="1011"/>
      <c r="R29" s="1011"/>
      <c r="S29" s="1011"/>
      <c r="T29" s="1011"/>
      <c r="U29" s="1011">
        <v>10</v>
      </c>
      <c r="V29" s="1011">
        <v>5</v>
      </c>
      <c r="W29" s="1011"/>
      <c r="X29" s="1011"/>
      <c r="Y29" s="1011"/>
      <c r="Z29" s="1011">
        <v>1</v>
      </c>
      <c r="AA29" s="1011"/>
      <c r="AB29" s="1011"/>
      <c r="AC29" s="1011">
        <v>17</v>
      </c>
      <c r="AD29" s="1004">
        <v>202300</v>
      </c>
      <c r="AE29" s="1011"/>
      <c r="AF29" s="1011"/>
      <c r="AG29" s="1011"/>
      <c r="AH29" s="1011"/>
      <c r="AI29" s="1011"/>
      <c r="AJ29" s="1011"/>
      <c r="AK29" s="1011"/>
      <c r="AL29" s="1011"/>
      <c r="AM29" s="1011"/>
      <c r="AN29" s="1011"/>
      <c r="AO29" s="1011"/>
      <c r="AP29" s="1011"/>
      <c r="AQ29" s="1011">
        <v>0</v>
      </c>
      <c r="AR29" s="1004">
        <v>0</v>
      </c>
      <c r="AS29" s="1011"/>
      <c r="AT29" s="1011"/>
      <c r="AU29" s="1011"/>
      <c r="AV29" s="1011"/>
      <c r="AW29" s="1011"/>
      <c r="AX29" s="1011"/>
      <c r="AY29" s="1011"/>
      <c r="AZ29" s="1011"/>
      <c r="BA29" s="1011"/>
      <c r="BB29" s="1011"/>
      <c r="BC29" s="1011"/>
      <c r="BD29" s="1011"/>
      <c r="BE29" s="1011">
        <v>0</v>
      </c>
      <c r="BF29" s="1004">
        <v>0</v>
      </c>
      <c r="BG29" s="1011"/>
      <c r="BH29" s="1011"/>
      <c r="BI29" s="1011"/>
      <c r="BJ29" s="1011"/>
      <c r="BK29" s="1011"/>
      <c r="BL29" s="1011"/>
      <c r="BM29" s="1011"/>
      <c r="BN29" s="1011"/>
      <c r="BO29" s="1011"/>
      <c r="BP29" s="1011"/>
      <c r="BQ29" s="1011"/>
      <c r="BR29" s="1011"/>
      <c r="BS29" s="1011">
        <v>0</v>
      </c>
      <c r="BT29" s="1004">
        <v>0</v>
      </c>
      <c r="BU29" s="1011">
        <v>17</v>
      </c>
      <c r="BV29" s="1004">
        <v>202300</v>
      </c>
    </row>
    <row r="30" spans="1:74">
      <c r="A30" s="1001" t="s">
        <v>60</v>
      </c>
      <c r="B30" s="751">
        <v>0</v>
      </c>
      <c r="C30" s="1011"/>
      <c r="D30" s="1011"/>
      <c r="E30" s="1011"/>
      <c r="F30" s="1011"/>
      <c r="G30" s="1011"/>
      <c r="H30" s="1011"/>
      <c r="I30" s="1011"/>
      <c r="J30" s="1011"/>
      <c r="K30" s="1011"/>
      <c r="L30" s="1011"/>
      <c r="M30" s="1011"/>
      <c r="N30" s="1011"/>
      <c r="O30" s="1011">
        <v>0</v>
      </c>
      <c r="P30" s="1004">
        <v>0</v>
      </c>
      <c r="Q30" s="1011"/>
      <c r="R30" s="1011"/>
      <c r="S30" s="1011"/>
      <c r="T30" s="1011"/>
      <c r="U30" s="1011">
        <v>10</v>
      </c>
      <c r="V30" s="1011">
        <v>5</v>
      </c>
      <c r="W30" s="1011"/>
      <c r="X30" s="1011"/>
      <c r="Y30" s="1011"/>
      <c r="Z30" s="1011">
        <v>1</v>
      </c>
      <c r="AA30" s="1011"/>
      <c r="AB30" s="1011"/>
      <c r="AC30" s="1011">
        <v>17</v>
      </c>
      <c r="AD30" s="1004">
        <v>202300</v>
      </c>
      <c r="AE30" s="1011"/>
      <c r="AF30" s="1011"/>
      <c r="AG30" s="1011"/>
      <c r="AH30" s="1011"/>
      <c r="AI30" s="1011"/>
      <c r="AJ30" s="1011"/>
      <c r="AK30" s="1011"/>
      <c r="AL30" s="1011"/>
      <c r="AM30" s="1011"/>
      <c r="AN30" s="1011"/>
      <c r="AO30" s="1011"/>
      <c r="AP30" s="1011"/>
      <c r="AQ30" s="1011">
        <v>0</v>
      </c>
      <c r="AR30" s="1004">
        <v>0</v>
      </c>
      <c r="AS30" s="1011"/>
      <c r="AT30" s="1011"/>
      <c r="AU30" s="1011"/>
      <c r="AV30" s="1011"/>
      <c r="AW30" s="1011"/>
      <c r="AX30" s="1011"/>
      <c r="AY30" s="1011"/>
      <c r="AZ30" s="1011"/>
      <c r="BA30" s="1011"/>
      <c r="BB30" s="1011"/>
      <c r="BC30" s="1011"/>
      <c r="BD30" s="1011"/>
      <c r="BE30" s="1011">
        <v>0</v>
      </c>
      <c r="BF30" s="1004">
        <v>0</v>
      </c>
      <c r="BG30" s="1011"/>
      <c r="BH30" s="1011"/>
      <c r="BI30" s="1011"/>
      <c r="BJ30" s="1011"/>
      <c r="BK30" s="1011"/>
      <c r="BL30" s="1011"/>
      <c r="BM30" s="1011"/>
      <c r="BN30" s="1011"/>
      <c r="BO30" s="1011"/>
      <c r="BP30" s="1011"/>
      <c r="BQ30" s="1011"/>
      <c r="BR30" s="1011"/>
      <c r="BS30" s="1011">
        <v>0</v>
      </c>
      <c r="BT30" s="1004">
        <v>0</v>
      </c>
      <c r="BU30" s="1011">
        <v>17</v>
      </c>
      <c r="BV30" s="1004">
        <v>202300</v>
      </c>
    </row>
    <row r="31" spans="1:74">
      <c r="A31" s="1002" t="s">
        <v>1699</v>
      </c>
      <c r="B31" s="751">
        <v>0</v>
      </c>
      <c r="C31" s="1011"/>
      <c r="D31" s="1011"/>
      <c r="E31" s="1011"/>
      <c r="F31" s="1011"/>
      <c r="G31" s="1011"/>
      <c r="H31" s="1011"/>
      <c r="I31" s="1011"/>
      <c r="J31" s="1011"/>
      <c r="K31" s="1011"/>
      <c r="L31" s="1011"/>
      <c r="M31" s="1011"/>
      <c r="N31" s="1011"/>
      <c r="O31" s="1011">
        <v>0</v>
      </c>
      <c r="P31" s="1004">
        <v>0</v>
      </c>
      <c r="Q31" s="1011"/>
      <c r="R31" s="1011"/>
      <c r="S31" s="1011"/>
      <c r="T31" s="1011"/>
      <c r="U31" s="1011">
        <v>10</v>
      </c>
      <c r="V31" s="1011">
        <v>5</v>
      </c>
      <c r="W31" s="1011"/>
      <c r="X31" s="1011"/>
      <c r="Y31" s="1011"/>
      <c r="Z31" s="1011">
        <v>1</v>
      </c>
      <c r="AA31" s="1011"/>
      <c r="AB31" s="1011"/>
      <c r="AC31" s="1011">
        <v>17</v>
      </c>
      <c r="AD31" s="1004">
        <v>202300</v>
      </c>
      <c r="AE31" s="1011"/>
      <c r="AF31" s="1011"/>
      <c r="AG31" s="1011"/>
      <c r="AH31" s="1011"/>
      <c r="AI31" s="1011"/>
      <c r="AJ31" s="1011"/>
      <c r="AK31" s="1011"/>
      <c r="AL31" s="1011"/>
      <c r="AM31" s="1011"/>
      <c r="AN31" s="1011"/>
      <c r="AO31" s="1011"/>
      <c r="AP31" s="1011"/>
      <c r="AQ31" s="1011">
        <v>0</v>
      </c>
      <c r="AR31" s="1004">
        <v>0</v>
      </c>
      <c r="AS31" s="1011"/>
      <c r="AT31" s="1011"/>
      <c r="AU31" s="1011"/>
      <c r="AV31" s="1011"/>
      <c r="AW31" s="1011"/>
      <c r="AX31" s="1011"/>
      <c r="AY31" s="1011"/>
      <c r="AZ31" s="1011"/>
      <c r="BA31" s="1011"/>
      <c r="BB31" s="1011"/>
      <c r="BC31" s="1011"/>
      <c r="BD31" s="1011"/>
      <c r="BE31" s="1011">
        <v>0</v>
      </c>
      <c r="BF31" s="1004">
        <v>0</v>
      </c>
      <c r="BG31" s="1011"/>
      <c r="BH31" s="1011"/>
      <c r="BI31" s="1011"/>
      <c r="BJ31" s="1011"/>
      <c r="BK31" s="1011"/>
      <c r="BL31" s="1011"/>
      <c r="BM31" s="1011"/>
      <c r="BN31" s="1011"/>
      <c r="BO31" s="1011"/>
      <c r="BP31" s="1011"/>
      <c r="BQ31" s="1011"/>
      <c r="BR31" s="1011"/>
      <c r="BS31" s="1011">
        <v>0</v>
      </c>
      <c r="BT31" s="1004">
        <v>0</v>
      </c>
      <c r="BU31" s="1011">
        <v>17</v>
      </c>
      <c r="BV31" s="1004">
        <v>202300</v>
      </c>
    </row>
    <row r="32" spans="1:74">
      <c r="A32" s="1003" t="s">
        <v>1619</v>
      </c>
      <c r="B32" s="751">
        <v>0</v>
      </c>
      <c r="C32" s="1011"/>
      <c r="D32" s="1011"/>
      <c r="E32" s="1011"/>
      <c r="F32" s="1011"/>
      <c r="G32" s="1011"/>
      <c r="H32" s="1011"/>
      <c r="I32" s="1011"/>
      <c r="J32" s="1011"/>
      <c r="K32" s="1011"/>
      <c r="L32" s="1011"/>
      <c r="M32" s="1011"/>
      <c r="N32" s="1011"/>
      <c r="O32" s="1011">
        <v>0</v>
      </c>
      <c r="P32" s="1004">
        <v>0</v>
      </c>
      <c r="Q32" s="1011"/>
      <c r="R32" s="1011"/>
      <c r="S32" s="1011"/>
      <c r="T32" s="1011"/>
      <c r="U32" s="1011">
        <v>10</v>
      </c>
      <c r="V32" s="1011">
        <v>5</v>
      </c>
      <c r="W32" s="1011"/>
      <c r="X32" s="1011"/>
      <c r="Y32" s="1011"/>
      <c r="Z32" s="1011">
        <v>1</v>
      </c>
      <c r="AA32" s="1011"/>
      <c r="AB32" s="1011"/>
      <c r="AC32" s="1011">
        <v>17</v>
      </c>
      <c r="AD32" s="1004">
        <v>202300</v>
      </c>
      <c r="AE32" s="1011"/>
      <c r="AF32" s="1011"/>
      <c r="AG32" s="1011"/>
      <c r="AH32" s="1011"/>
      <c r="AI32" s="1011"/>
      <c r="AJ32" s="1011"/>
      <c r="AK32" s="1011"/>
      <c r="AL32" s="1011"/>
      <c r="AM32" s="1011"/>
      <c r="AN32" s="1011"/>
      <c r="AO32" s="1011"/>
      <c r="AP32" s="1011"/>
      <c r="AQ32" s="1011">
        <v>0</v>
      </c>
      <c r="AR32" s="1004">
        <v>0</v>
      </c>
      <c r="AS32" s="1011"/>
      <c r="AT32" s="1011"/>
      <c r="AU32" s="1011"/>
      <c r="AV32" s="1011"/>
      <c r="AW32" s="1011"/>
      <c r="AX32" s="1011"/>
      <c r="AY32" s="1011"/>
      <c r="AZ32" s="1011"/>
      <c r="BA32" s="1011"/>
      <c r="BB32" s="1011"/>
      <c r="BC32" s="1011"/>
      <c r="BD32" s="1011"/>
      <c r="BE32" s="1011">
        <v>0</v>
      </c>
      <c r="BF32" s="1004">
        <v>0</v>
      </c>
      <c r="BG32" s="1011"/>
      <c r="BH32" s="1011"/>
      <c r="BI32" s="1011"/>
      <c r="BJ32" s="1011"/>
      <c r="BK32" s="1011"/>
      <c r="BL32" s="1011"/>
      <c r="BM32" s="1011"/>
      <c r="BN32" s="1011"/>
      <c r="BO32" s="1011"/>
      <c r="BP32" s="1011"/>
      <c r="BQ32" s="1011"/>
      <c r="BR32" s="1011"/>
      <c r="BS32" s="1011">
        <v>0</v>
      </c>
      <c r="BT32" s="1004">
        <v>0</v>
      </c>
      <c r="BU32" s="1011">
        <v>17</v>
      </c>
      <c r="BV32" s="1004">
        <v>202300</v>
      </c>
    </row>
    <row r="33" spans="1:74">
      <c r="A33" s="1000" t="s">
        <v>2051</v>
      </c>
      <c r="B33" s="751">
        <v>0</v>
      </c>
      <c r="C33" s="1011"/>
      <c r="D33" s="1011"/>
      <c r="E33" s="1011"/>
      <c r="F33" s="1011"/>
      <c r="G33" s="1011"/>
      <c r="H33" s="1011"/>
      <c r="I33" s="1011"/>
      <c r="J33" s="1011"/>
      <c r="K33" s="1011"/>
      <c r="L33" s="1011"/>
      <c r="M33" s="1011"/>
      <c r="N33" s="1011"/>
      <c r="O33" s="1011">
        <v>0</v>
      </c>
      <c r="P33" s="1004">
        <v>0</v>
      </c>
      <c r="Q33" s="1011"/>
      <c r="R33" s="1011"/>
      <c r="S33" s="1011"/>
      <c r="T33" s="1011"/>
      <c r="U33" s="1011">
        <v>7</v>
      </c>
      <c r="V33" s="1011"/>
      <c r="W33" s="1011">
        <v>3</v>
      </c>
      <c r="X33" s="1011">
        <v>1</v>
      </c>
      <c r="Y33" s="1011">
        <v>1</v>
      </c>
      <c r="Z33" s="1011">
        <v>3</v>
      </c>
      <c r="AA33" s="1011"/>
      <c r="AB33" s="1011"/>
      <c r="AC33" s="1011">
        <v>17</v>
      </c>
      <c r="AD33" s="1004">
        <v>281990</v>
      </c>
      <c r="AE33" s="1011"/>
      <c r="AF33" s="1011">
        <v>8</v>
      </c>
      <c r="AG33" s="1011"/>
      <c r="AH33" s="1011"/>
      <c r="AI33" s="1011"/>
      <c r="AJ33" s="1011">
        <v>2</v>
      </c>
      <c r="AK33" s="1011">
        <v>2</v>
      </c>
      <c r="AL33" s="1011">
        <v>2</v>
      </c>
      <c r="AM33" s="1011">
        <v>2</v>
      </c>
      <c r="AN33" s="1011"/>
      <c r="AO33" s="1011"/>
      <c r="AP33" s="1011"/>
      <c r="AQ33" s="1011">
        <v>16</v>
      </c>
      <c r="AR33" s="1004">
        <v>254880</v>
      </c>
      <c r="AS33" s="1011"/>
      <c r="AT33" s="1011"/>
      <c r="AU33" s="1011"/>
      <c r="AV33" s="1011"/>
      <c r="AW33" s="1011"/>
      <c r="AX33" s="1011"/>
      <c r="AY33" s="1011"/>
      <c r="AZ33" s="1011"/>
      <c r="BA33" s="1011"/>
      <c r="BB33" s="1011"/>
      <c r="BC33" s="1011"/>
      <c r="BD33" s="1011"/>
      <c r="BE33" s="1011">
        <v>0</v>
      </c>
      <c r="BF33" s="1004">
        <v>0</v>
      </c>
      <c r="BG33" s="1011">
        <v>2</v>
      </c>
      <c r="BH33" s="1011"/>
      <c r="BI33" s="1011"/>
      <c r="BJ33" s="1011"/>
      <c r="BK33" s="1011"/>
      <c r="BL33" s="1011"/>
      <c r="BM33" s="1011"/>
      <c r="BN33" s="1011"/>
      <c r="BO33" s="1011"/>
      <c r="BP33" s="1011"/>
      <c r="BQ33" s="1011"/>
      <c r="BR33" s="1011"/>
      <c r="BS33" s="1011">
        <v>2</v>
      </c>
      <c r="BT33" s="1004">
        <v>31860</v>
      </c>
      <c r="BU33" s="1011">
        <v>35</v>
      </c>
      <c r="BV33" s="1004">
        <v>568730</v>
      </c>
    </row>
    <row r="34" spans="1:74">
      <c r="A34" s="1001" t="s">
        <v>61</v>
      </c>
      <c r="B34" s="751">
        <v>0</v>
      </c>
      <c r="C34" s="1011"/>
      <c r="D34" s="1011"/>
      <c r="E34" s="1011"/>
      <c r="F34" s="1011"/>
      <c r="G34" s="1011"/>
      <c r="H34" s="1011"/>
      <c r="I34" s="1011"/>
      <c r="J34" s="1011"/>
      <c r="K34" s="1011"/>
      <c r="L34" s="1011"/>
      <c r="M34" s="1011"/>
      <c r="N34" s="1011"/>
      <c r="O34" s="1011">
        <v>0</v>
      </c>
      <c r="P34" s="1004">
        <v>0</v>
      </c>
      <c r="Q34" s="1011"/>
      <c r="R34" s="1011"/>
      <c r="S34" s="1011"/>
      <c r="T34" s="1011"/>
      <c r="U34" s="1011">
        <v>6</v>
      </c>
      <c r="V34" s="1011"/>
      <c r="W34" s="1011">
        <v>3</v>
      </c>
      <c r="X34" s="1011">
        <v>1</v>
      </c>
      <c r="Y34" s="1011">
        <v>1</v>
      </c>
      <c r="Z34" s="1011">
        <v>2</v>
      </c>
      <c r="AA34" s="1011"/>
      <c r="AB34" s="1011"/>
      <c r="AC34" s="1011">
        <v>15</v>
      </c>
      <c r="AD34" s="1004">
        <v>238950</v>
      </c>
      <c r="AE34" s="1011"/>
      <c r="AF34" s="1011">
        <v>8</v>
      </c>
      <c r="AG34" s="1011"/>
      <c r="AH34" s="1011"/>
      <c r="AI34" s="1011"/>
      <c r="AJ34" s="1011">
        <v>2</v>
      </c>
      <c r="AK34" s="1011">
        <v>2</v>
      </c>
      <c r="AL34" s="1011">
        <v>2</v>
      </c>
      <c r="AM34" s="1011">
        <v>2</v>
      </c>
      <c r="AN34" s="1011"/>
      <c r="AO34" s="1011"/>
      <c r="AP34" s="1011"/>
      <c r="AQ34" s="1011">
        <v>16</v>
      </c>
      <c r="AR34" s="1004">
        <v>254880</v>
      </c>
      <c r="AS34" s="1011"/>
      <c r="AT34" s="1011"/>
      <c r="AU34" s="1011"/>
      <c r="AV34" s="1011"/>
      <c r="AW34" s="1011"/>
      <c r="AX34" s="1011"/>
      <c r="AY34" s="1011"/>
      <c r="AZ34" s="1011"/>
      <c r="BA34" s="1011"/>
      <c r="BB34" s="1011"/>
      <c r="BC34" s="1011"/>
      <c r="BD34" s="1011"/>
      <c r="BE34" s="1011">
        <v>0</v>
      </c>
      <c r="BF34" s="1004">
        <v>0</v>
      </c>
      <c r="BG34" s="1011">
        <v>2</v>
      </c>
      <c r="BH34" s="1011"/>
      <c r="BI34" s="1011"/>
      <c r="BJ34" s="1011"/>
      <c r="BK34" s="1011"/>
      <c r="BL34" s="1011"/>
      <c r="BM34" s="1011"/>
      <c r="BN34" s="1011"/>
      <c r="BO34" s="1011"/>
      <c r="BP34" s="1011"/>
      <c r="BQ34" s="1011"/>
      <c r="BR34" s="1011"/>
      <c r="BS34" s="1011">
        <v>2</v>
      </c>
      <c r="BT34" s="1004">
        <v>31860</v>
      </c>
      <c r="BU34" s="1011">
        <v>33</v>
      </c>
      <c r="BV34" s="1004">
        <v>525690</v>
      </c>
    </row>
    <row r="35" spans="1:74">
      <c r="A35" s="1002" t="s">
        <v>1735</v>
      </c>
      <c r="B35" s="751">
        <v>0</v>
      </c>
      <c r="C35" s="1011"/>
      <c r="D35" s="1011"/>
      <c r="E35" s="1011"/>
      <c r="F35" s="1011"/>
      <c r="G35" s="1011"/>
      <c r="H35" s="1011"/>
      <c r="I35" s="1011"/>
      <c r="J35" s="1011"/>
      <c r="K35" s="1011"/>
      <c r="L35" s="1011"/>
      <c r="M35" s="1011"/>
      <c r="N35" s="1011"/>
      <c r="O35" s="1011">
        <v>0</v>
      </c>
      <c r="P35" s="1004">
        <v>0</v>
      </c>
      <c r="Q35" s="1011"/>
      <c r="R35" s="1011"/>
      <c r="S35" s="1011"/>
      <c r="T35" s="1011"/>
      <c r="U35" s="1011">
        <v>6</v>
      </c>
      <c r="V35" s="1011"/>
      <c r="W35" s="1011">
        <v>3</v>
      </c>
      <c r="X35" s="1011">
        <v>1</v>
      </c>
      <c r="Y35" s="1011">
        <v>1</v>
      </c>
      <c r="Z35" s="1011">
        <v>2</v>
      </c>
      <c r="AA35" s="1011"/>
      <c r="AB35" s="1011"/>
      <c r="AC35" s="1011">
        <v>15</v>
      </c>
      <c r="AD35" s="1004">
        <v>238950</v>
      </c>
      <c r="AE35" s="1011"/>
      <c r="AF35" s="1011">
        <v>8</v>
      </c>
      <c r="AG35" s="1011"/>
      <c r="AH35" s="1011"/>
      <c r="AI35" s="1011"/>
      <c r="AJ35" s="1011">
        <v>2</v>
      </c>
      <c r="AK35" s="1011">
        <v>2</v>
      </c>
      <c r="AL35" s="1011">
        <v>2</v>
      </c>
      <c r="AM35" s="1011">
        <v>2</v>
      </c>
      <c r="AN35" s="1011"/>
      <c r="AO35" s="1011"/>
      <c r="AP35" s="1011"/>
      <c r="AQ35" s="1011">
        <v>16</v>
      </c>
      <c r="AR35" s="1004">
        <v>254880</v>
      </c>
      <c r="AS35" s="1011"/>
      <c r="AT35" s="1011"/>
      <c r="AU35" s="1011"/>
      <c r="AV35" s="1011"/>
      <c r="AW35" s="1011"/>
      <c r="AX35" s="1011"/>
      <c r="AY35" s="1011"/>
      <c r="AZ35" s="1011"/>
      <c r="BA35" s="1011"/>
      <c r="BB35" s="1011"/>
      <c r="BC35" s="1011"/>
      <c r="BD35" s="1011"/>
      <c r="BE35" s="1011">
        <v>0</v>
      </c>
      <c r="BF35" s="1004">
        <v>0</v>
      </c>
      <c r="BG35" s="1011">
        <v>2</v>
      </c>
      <c r="BH35" s="1011"/>
      <c r="BI35" s="1011"/>
      <c r="BJ35" s="1011"/>
      <c r="BK35" s="1011"/>
      <c r="BL35" s="1011"/>
      <c r="BM35" s="1011"/>
      <c r="BN35" s="1011"/>
      <c r="BO35" s="1011"/>
      <c r="BP35" s="1011"/>
      <c r="BQ35" s="1011"/>
      <c r="BR35" s="1011"/>
      <c r="BS35" s="1011">
        <v>2</v>
      </c>
      <c r="BT35" s="1004">
        <v>31860</v>
      </c>
      <c r="BU35" s="1011">
        <v>33</v>
      </c>
      <c r="BV35" s="1004">
        <v>525690</v>
      </c>
    </row>
    <row r="36" spans="1:74">
      <c r="A36" s="1003" t="s">
        <v>43</v>
      </c>
      <c r="B36" s="751">
        <v>0</v>
      </c>
      <c r="C36" s="1011"/>
      <c r="D36" s="1011"/>
      <c r="E36" s="1011"/>
      <c r="F36" s="1011"/>
      <c r="G36" s="1011"/>
      <c r="H36" s="1011"/>
      <c r="I36" s="1011"/>
      <c r="J36" s="1011"/>
      <c r="K36" s="1011"/>
      <c r="L36" s="1011"/>
      <c r="M36" s="1011"/>
      <c r="N36" s="1011"/>
      <c r="O36" s="1011">
        <v>0</v>
      </c>
      <c r="P36" s="1004">
        <v>0</v>
      </c>
      <c r="Q36" s="1011"/>
      <c r="R36" s="1011"/>
      <c r="S36" s="1011"/>
      <c r="T36" s="1011"/>
      <c r="U36" s="1011">
        <v>6</v>
      </c>
      <c r="V36" s="1011"/>
      <c r="W36" s="1011">
        <v>3</v>
      </c>
      <c r="X36" s="1011">
        <v>1</v>
      </c>
      <c r="Y36" s="1011">
        <v>1</v>
      </c>
      <c r="Z36" s="1011">
        <v>2</v>
      </c>
      <c r="AA36" s="1011"/>
      <c r="AB36" s="1011"/>
      <c r="AC36" s="1011">
        <v>15</v>
      </c>
      <c r="AD36" s="1004">
        <v>238950</v>
      </c>
      <c r="AE36" s="1011"/>
      <c r="AF36" s="1011">
        <v>8</v>
      </c>
      <c r="AG36" s="1011"/>
      <c r="AH36" s="1011"/>
      <c r="AI36" s="1011"/>
      <c r="AJ36" s="1011">
        <v>2</v>
      </c>
      <c r="AK36" s="1011">
        <v>2</v>
      </c>
      <c r="AL36" s="1011">
        <v>2</v>
      </c>
      <c r="AM36" s="1011">
        <v>2</v>
      </c>
      <c r="AN36" s="1011"/>
      <c r="AO36" s="1011"/>
      <c r="AP36" s="1011"/>
      <c r="AQ36" s="1011">
        <v>16</v>
      </c>
      <c r="AR36" s="1004">
        <v>254880</v>
      </c>
      <c r="AS36" s="1011"/>
      <c r="AT36" s="1011"/>
      <c r="AU36" s="1011"/>
      <c r="AV36" s="1011"/>
      <c r="AW36" s="1011"/>
      <c r="AX36" s="1011"/>
      <c r="AY36" s="1011"/>
      <c r="AZ36" s="1011"/>
      <c r="BA36" s="1011"/>
      <c r="BB36" s="1011"/>
      <c r="BC36" s="1011"/>
      <c r="BD36" s="1011"/>
      <c r="BE36" s="1011">
        <v>0</v>
      </c>
      <c r="BF36" s="1004">
        <v>0</v>
      </c>
      <c r="BG36" s="1011">
        <v>2</v>
      </c>
      <c r="BH36" s="1011"/>
      <c r="BI36" s="1011"/>
      <c r="BJ36" s="1011"/>
      <c r="BK36" s="1011"/>
      <c r="BL36" s="1011"/>
      <c r="BM36" s="1011"/>
      <c r="BN36" s="1011"/>
      <c r="BO36" s="1011"/>
      <c r="BP36" s="1011"/>
      <c r="BQ36" s="1011"/>
      <c r="BR36" s="1011"/>
      <c r="BS36" s="1011">
        <v>2</v>
      </c>
      <c r="BT36" s="1004">
        <v>31860</v>
      </c>
      <c r="BU36" s="1011">
        <v>33</v>
      </c>
      <c r="BV36" s="1004">
        <v>525690</v>
      </c>
    </row>
    <row r="37" spans="1:74">
      <c r="A37" s="1001" t="s">
        <v>1453</v>
      </c>
      <c r="B37" s="751">
        <v>0</v>
      </c>
      <c r="C37" s="1011"/>
      <c r="D37" s="1011"/>
      <c r="E37" s="1011"/>
      <c r="F37" s="1011"/>
      <c r="G37" s="1011"/>
      <c r="H37" s="1011"/>
      <c r="I37" s="1011"/>
      <c r="J37" s="1011"/>
      <c r="K37" s="1011"/>
      <c r="L37" s="1011"/>
      <c r="M37" s="1011"/>
      <c r="N37" s="1011"/>
      <c r="O37" s="1011">
        <v>0</v>
      </c>
      <c r="P37" s="1004">
        <v>0</v>
      </c>
      <c r="Q37" s="1011"/>
      <c r="R37" s="1011"/>
      <c r="S37" s="1011"/>
      <c r="T37" s="1011"/>
      <c r="U37" s="1011">
        <v>1</v>
      </c>
      <c r="V37" s="1011"/>
      <c r="W37" s="1011"/>
      <c r="X37" s="1011"/>
      <c r="Y37" s="1011"/>
      <c r="Z37" s="1011">
        <v>1</v>
      </c>
      <c r="AA37" s="1011"/>
      <c r="AB37" s="1011"/>
      <c r="AC37" s="1011">
        <v>2</v>
      </c>
      <c r="AD37" s="1004">
        <v>43040</v>
      </c>
      <c r="AE37" s="1011"/>
      <c r="AF37" s="1011"/>
      <c r="AG37" s="1011"/>
      <c r="AH37" s="1011"/>
      <c r="AI37" s="1011"/>
      <c r="AJ37" s="1011"/>
      <c r="AK37" s="1011"/>
      <c r="AL37" s="1011"/>
      <c r="AM37" s="1011"/>
      <c r="AN37" s="1011"/>
      <c r="AO37" s="1011"/>
      <c r="AP37" s="1011"/>
      <c r="AQ37" s="1011">
        <v>0</v>
      </c>
      <c r="AR37" s="1004">
        <v>0</v>
      </c>
      <c r="AS37" s="1011"/>
      <c r="AT37" s="1011"/>
      <c r="AU37" s="1011"/>
      <c r="AV37" s="1011"/>
      <c r="AW37" s="1011"/>
      <c r="AX37" s="1011"/>
      <c r="AY37" s="1011"/>
      <c r="AZ37" s="1011"/>
      <c r="BA37" s="1011"/>
      <c r="BB37" s="1011"/>
      <c r="BC37" s="1011"/>
      <c r="BD37" s="1011"/>
      <c r="BE37" s="1011">
        <v>0</v>
      </c>
      <c r="BF37" s="1004">
        <v>0</v>
      </c>
      <c r="BG37" s="1011"/>
      <c r="BH37" s="1011"/>
      <c r="BI37" s="1011"/>
      <c r="BJ37" s="1011"/>
      <c r="BK37" s="1011"/>
      <c r="BL37" s="1011"/>
      <c r="BM37" s="1011"/>
      <c r="BN37" s="1011"/>
      <c r="BO37" s="1011"/>
      <c r="BP37" s="1011"/>
      <c r="BQ37" s="1011"/>
      <c r="BR37" s="1011"/>
      <c r="BS37" s="1011">
        <v>0</v>
      </c>
      <c r="BT37" s="1004">
        <v>0</v>
      </c>
      <c r="BU37" s="1011">
        <v>2</v>
      </c>
      <c r="BV37" s="1004">
        <v>43040</v>
      </c>
    </row>
    <row r="38" spans="1:74">
      <c r="A38" s="1002" t="s">
        <v>1699</v>
      </c>
      <c r="B38" s="751">
        <v>0</v>
      </c>
      <c r="C38" s="1011"/>
      <c r="D38" s="1011"/>
      <c r="E38" s="1011"/>
      <c r="F38" s="1011"/>
      <c r="G38" s="1011"/>
      <c r="H38" s="1011"/>
      <c r="I38" s="1011"/>
      <c r="J38" s="1011"/>
      <c r="K38" s="1011"/>
      <c r="L38" s="1011"/>
      <c r="M38" s="1011"/>
      <c r="N38" s="1011"/>
      <c r="O38" s="1011">
        <v>0</v>
      </c>
      <c r="P38" s="1004">
        <v>0</v>
      </c>
      <c r="Q38" s="1011"/>
      <c r="R38" s="1011"/>
      <c r="S38" s="1011"/>
      <c r="T38" s="1011"/>
      <c r="U38" s="1011">
        <v>1</v>
      </c>
      <c r="V38" s="1011"/>
      <c r="W38" s="1011"/>
      <c r="X38" s="1011"/>
      <c r="Y38" s="1011"/>
      <c r="Z38" s="1011">
        <v>1</v>
      </c>
      <c r="AA38" s="1011"/>
      <c r="AB38" s="1011"/>
      <c r="AC38" s="1011">
        <v>2</v>
      </c>
      <c r="AD38" s="1004">
        <v>43040</v>
      </c>
      <c r="AE38" s="1011"/>
      <c r="AF38" s="1011"/>
      <c r="AG38" s="1011"/>
      <c r="AH38" s="1011"/>
      <c r="AI38" s="1011"/>
      <c r="AJ38" s="1011"/>
      <c r="AK38" s="1011"/>
      <c r="AL38" s="1011"/>
      <c r="AM38" s="1011"/>
      <c r="AN38" s="1011"/>
      <c r="AO38" s="1011"/>
      <c r="AP38" s="1011"/>
      <c r="AQ38" s="1011">
        <v>0</v>
      </c>
      <c r="AR38" s="1004">
        <v>0</v>
      </c>
      <c r="AS38" s="1011"/>
      <c r="AT38" s="1011"/>
      <c r="AU38" s="1011"/>
      <c r="AV38" s="1011"/>
      <c r="AW38" s="1011"/>
      <c r="AX38" s="1011"/>
      <c r="AY38" s="1011"/>
      <c r="AZ38" s="1011"/>
      <c r="BA38" s="1011"/>
      <c r="BB38" s="1011"/>
      <c r="BC38" s="1011"/>
      <c r="BD38" s="1011"/>
      <c r="BE38" s="1011">
        <v>0</v>
      </c>
      <c r="BF38" s="1004">
        <v>0</v>
      </c>
      <c r="BG38" s="1011"/>
      <c r="BH38" s="1011"/>
      <c r="BI38" s="1011"/>
      <c r="BJ38" s="1011"/>
      <c r="BK38" s="1011"/>
      <c r="BL38" s="1011"/>
      <c r="BM38" s="1011"/>
      <c r="BN38" s="1011"/>
      <c r="BO38" s="1011"/>
      <c r="BP38" s="1011"/>
      <c r="BQ38" s="1011"/>
      <c r="BR38" s="1011"/>
      <c r="BS38" s="1011">
        <v>0</v>
      </c>
      <c r="BT38" s="1004">
        <v>0</v>
      </c>
      <c r="BU38" s="1011">
        <v>2</v>
      </c>
      <c r="BV38" s="1004">
        <v>43040</v>
      </c>
    </row>
    <row r="39" spans="1:74">
      <c r="A39" s="1003" t="s">
        <v>43</v>
      </c>
      <c r="B39" s="751">
        <v>0</v>
      </c>
      <c r="C39" s="1011"/>
      <c r="D39" s="1011"/>
      <c r="E39" s="1011"/>
      <c r="F39" s="1011"/>
      <c r="G39" s="1011"/>
      <c r="H39" s="1011"/>
      <c r="I39" s="1011"/>
      <c r="J39" s="1011"/>
      <c r="K39" s="1011"/>
      <c r="L39" s="1011"/>
      <c r="M39" s="1011"/>
      <c r="N39" s="1011"/>
      <c r="O39" s="1011">
        <v>0</v>
      </c>
      <c r="P39" s="1004">
        <v>0</v>
      </c>
      <c r="Q39" s="1011"/>
      <c r="R39" s="1011"/>
      <c r="S39" s="1011"/>
      <c r="T39" s="1011"/>
      <c r="U39" s="1011">
        <v>1</v>
      </c>
      <c r="V39" s="1011"/>
      <c r="W39" s="1011"/>
      <c r="X39" s="1011"/>
      <c r="Y39" s="1011"/>
      <c r="Z39" s="1011">
        <v>1</v>
      </c>
      <c r="AA39" s="1011"/>
      <c r="AB39" s="1011"/>
      <c r="AC39" s="1011">
        <v>2</v>
      </c>
      <c r="AD39" s="1004">
        <v>43040</v>
      </c>
      <c r="AE39" s="1011"/>
      <c r="AF39" s="1011"/>
      <c r="AG39" s="1011"/>
      <c r="AH39" s="1011"/>
      <c r="AI39" s="1011"/>
      <c r="AJ39" s="1011"/>
      <c r="AK39" s="1011"/>
      <c r="AL39" s="1011"/>
      <c r="AM39" s="1011"/>
      <c r="AN39" s="1011"/>
      <c r="AO39" s="1011"/>
      <c r="AP39" s="1011"/>
      <c r="AQ39" s="1011">
        <v>0</v>
      </c>
      <c r="AR39" s="1004">
        <v>0</v>
      </c>
      <c r="AS39" s="1011"/>
      <c r="AT39" s="1011"/>
      <c r="AU39" s="1011"/>
      <c r="AV39" s="1011"/>
      <c r="AW39" s="1011"/>
      <c r="AX39" s="1011"/>
      <c r="AY39" s="1011"/>
      <c r="AZ39" s="1011"/>
      <c r="BA39" s="1011"/>
      <c r="BB39" s="1011"/>
      <c r="BC39" s="1011"/>
      <c r="BD39" s="1011"/>
      <c r="BE39" s="1011">
        <v>0</v>
      </c>
      <c r="BF39" s="1004">
        <v>0</v>
      </c>
      <c r="BG39" s="1011"/>
      <c r="BH39" s="1011"/>
      <c r="BI39" s="1011"/>
      <c r="BJ39" s="1011"/>
      <c r="BK39" s="1011"/>
      <c r="BL39" s="1011"/>
      <c r="BM39" s="1011"/>
      <c r="BN39" s="1011"/>
      <c r="BO39" s="1011"/>
      <c r="BP39" s="1011"/>
      <c r="BQ39" s="1011"/>
      <c r="BR39" s="1011"/>
      <c r="BS39" s="1011">
        <v>0</v>
      </c>
      <c r="BT39" s="1004">
        <v>0</v>
      </c>
      <c r="BU39" s="1011">
        <v>2</v>
      </c>
      <c r="BV39" s="1004">
        <v>43040</v>
      </c>
    </row>
    <row r="40" spans="1:74">
      <c r="A40" s="1000" t="s">
        <v>2052</v>
      </c>
      <c r="B40" s="751">
        <v>0</v>
      </c>
      <c r="C40" s="1011"/>
      <c r="D40" s="1011"/>
      <c r="E40" s="1011"/>
      <c r="F40" s="1011"/>
      <c r="G40" s="1011"/>
      <c r="H40" s="1011"/>
      <c r="I40" s="1011"/>
      <c r="J40" s="1011"/>
      <c r="K40" s="1011"/>
      <c r="L40" s="1011"/>
      <c r="M40" s="1011"/>
      <c r="N40" s="1011"/>
      <c r="O40" s="1011">
        <v>0</v>
      </c>
      <c r="P40" s="1004">
        <v>0</v>
      </c>
      <c r="Q40" s="1011"/>
      <c r="R40" s="1011"/>
      <c r="S40" s="1011">
        <v>20</v>
      </c>
      <c r="T40" s="1011">
        <v>21</v>
      </c>
      <c r="U40" s="1011">
        <v>20</v>
      </c>
      <c r="V40" s="1011">
        <v>20</v>
      </c>
      <c r="W40" s="1011">
        <v>22</v>
      </c>
      <c r="X40" s="1011">
        <v>2</v>
      </c>
      <c r="Y40" s="1011">
        <v>20</v>
      </c>
      <c r="Z40" s="1011">
        <v>3</v>
      </c>
      <c r="AA40" s="1011">
        <v>3</v>
      </c>
      <c r="AB40" s="1011">
        <v>2</v>
      </c>
      <c r="AC40" s="1011">
        <v>211</v>
      </c>
      <c r="AD40" s="1004">
        <v>3361230</v>
      </c>
      <c r="AE40" s="1011">
        <v>17</v>
      </c>
      <c r="AF40" s="1011">
        <v>19</v>
      </c>
      <c r="AG40" s="1011">
        <v>20</v>
      </c>
      <c r="AH40" s="1011">
        <v>22</v>
      </c>
      <c r="AI40" s="1011">
        <v>21</v>
      </c>
      <c r="AJ40" s="1011">
        <v>19</v>
      </c>
      <c r="AK40" s="1011">
        <v>23</v>
      </c>
      <c r="AL40" s="1011">
        <v>22</v>
      </c>
      <c r="AM40" s="1011">
        <v>21</v>
      </c>
      <c r="AN40" s="1011">
        <v>23</v>
      </c>
      <c r="AO40" s="1011">
        <v>20</v>
      </c>
      <c r="AP40" s="1011"/>
      <c r="AQ40" s="1011">
        <v>227</v>
      </c>
      <c r="AR40" s="1004">
        <v>3616110</v>
      </c>
      <c r="AS40" s="1011"/>
      <c r="AT40" s="1011"/>
      <c r="AU40" s="1011"/>
      <c r="AV40" s="1011"/>
      <c r="AW40" s="1011"/>
      <c r="AX40" s="1011"/>
      <c r="AY40" s="1011"/>
      <c r="AZ40" s="1011"/>
      <c r="BA40" s="1011"/>
      <c r="BB40" s="1011"/>
      <c r="BC40" s="1011"/>
      <c r="BD40" s="1011"/>
      <c r="BE40" s="1011">
        <v>0</v>
      </c>
      <c r="BF40" s="1004">
        <v>0</v>
      </c>
      <c r="BG40" s="1011"/>
      <c r="BH40" s="1011"/>
      <c r="BI40" s="1011"/>
      <c r="BJ40" s="1011"/>
      <c r="BK40" s="1011"/>
      <c r="BL40" s="1011"/>
      <c r="BM40" s="1011"/>
      <c r="BN40" s="1011"/>
      <c r="BO40" s="1011"/>
      <c r="BP40" s="1011"/>
      <c r="BQ40" s="1011"/>
      <c r="BR40" s="1011"/>
      <c r="BS40" s="1011">
        <v>0</v>
      </c>
      <c r="BT40" s="1004">
        <v>0</v>
      </c>
      <c r="BU40" s="1011">
        <v>438</v>
      </c>
      <c r="BV40" s="1004">
        <v>6977340</v>
      </c>
    </row>
    <row r="41" spans="1:74">
      <c r="A41" s="1001" t="s">
        <v>61</v>
      </c>
      <c r="B41" s="751">
        <v>0</v>
      </c>
      <c r="C41" s="1011"/>
      <c r="D41" s="1011"/>
      <c r="E41" s="1011"/>
      <c r="F41" s="1011"/>
      <c r="G41" s="1011"/>
      <c r="H41" s="1011"/>
      <c r="I41" s="1011"/>
      <c r="J41" s="1011"/>
      <c r="K41" s="1011"/>
      <c r="L41" s="1011"/>
      <c r="M41" s="1011"/>
      <c r="N41" s="1011"/>
      <c r="O41" s="1011">
        <v>0</v>
      </c>
      <c r="P41" s="1004">
        <v>0</v>
      </c>
      <c r="Q41" s="1011"/>
      <c r="R41" s="1011"/>
      <c r="S41" s="1011">
        <v>20</v>
      </c>
      <c r="T41" s="1011">
        <v>21</v>
      </c>
      <c r="U41" s="1011">
        <v>20</v>
      </c>
      <c r="V41" s="1011">
        <v>20</v>
      </c>
      <c r="W41" s="1011">
        <v>22</v>
      </c>
      <c r="X41" s="1011">
        <v>2</v>
      </c>
      <c r="Y41" s="1011">
        <v>20</v>
      </c>
      <c r="Z41" s="1011">
        <v>3</v>
      </c>
      <c r="AA41" s="1011">
        <v>3</v>
      </c>
      <c r="AB41" s="1011">
        <v>2</v>
      </c>
      <c r="AC41" s="1011">
        <v>211</v>
      </c>
      <c r="AD41" s="1004">
        <v>3361230</v>
      </c>
      <c r="AE41" s="1011">
        <v>17</v>
      </c>
      <c r="AF41" s="1011">
        <v>19</v>
      </c>
      <c r="AG41" s="1011">
        <v>20</v>
      </c>
      <c r="AH41" s="1011">
        <v>22</v>
      </c>
      <c r="AI41" s="1011">
        <v>21</v>
      </c>
      <c r="AJ41" s="1011">
        <v>19</v>
      </c>
      <c r="AK41" s="1011">
        <v>23</v>
      </c>
      <c r="AL41" s="1011">
        <v>22</v>
      </c>
      <c r="AM41" s="1011">
        <v>21</v>
      </c>
      <c r="AN41" s="1011">
        <v>23</v>
      </c>
      <c r="AO41" s="1011">
        <v>20</v>
      </c>
      <c r="AP41" s="1011"/>
      <c r="AQ41" s="1011">
        <v>227</v>
      </c>
      <c r="AR41" s="1004">
        <v>3616110</v>
      </c>
      <c r="AS41" s="1011"/>
      <c r="AT41" s="1011"/>
      <c r="AU41" s="1011"/>
      <c r="AV41" s="1011"/>
      <c r="AW41" s="1011"/>
      <c r="AX41" s="1011"/>
      <c r="AY41" s="1011"/>
      <c r="AZ41" s="1011"/>
      <c r="BA41" s="1011"/>
      <c r="BB41" s="1011"/>
      <c r="BC41" s="1011"/>
      <c r="BD41" s="1011"/>
      <c r="BE41" s="1011">
        <v>0</v>
      </c>
      <c r="BF41" s="1004">
        <v>0</v>
      </c>
      <c r="BG41" s="1011"/>
      <c r="BH41" s="1011"/>
      <c r="BI41" s="1011"/>
      <c r="BJ41" s="1011"/>
      <c r="BK41" s="1011"/>
      <c r="BL41" s="1011"/>
      <c r="BM41" s="1011"/>
      <c r="BN41" s="1011"/>
      <c r="BO41" s="1011"/>
      <c r="BP41" s="1011"/>
      <c r="BQ41" s="1011"/>
      <c r="BR41" s="1011"/>
      <c r="BS41" s="1011">
        <v>0</v>
      </c>
      <c r="BT41" s="1004">
        <v>0</v>
      </c>
      <c r="BU41" s="1011">
        <v>438</v>
      </c>
      <c r="BV41" s="1004">
        <v>6977340</v>
      </c>
    </row>
    <row r="42" spans="1:74">
      <c r="A42" s="1002" t="s">
        <v>1735</v>
      </c>
      <c r="B42" s="751">
        <v>0</v>
      </c>
      <c r="C42" s="1011"/>
      <c r="D42" s="1011"/>
      <c r="E42" s="1011"/>
      <c r="F42" s="1011"/>
      <c r="G42" s="1011"/>
      <c r="H42" s="1011"/>
      <c r="I42" s="1011"/>
      <c r="J42" s="1011"/>
      <c r="K42" s="1011"/>
      <c r="L42" s="1011"/>
      <c r="M42" s="1011"/>
      <c r="N42" s="1011"/>
      <c r="O42" s="1011">
        <v>0</v>
      </c>
      <c r="P42" s="1004">
        <v>0</v>
      </c>
      <c r="Q42" s="1011"/>
      <c r="R42" s="1011"/>
      <c r="S42" s="1011">
        <v>20</v>
      </c>
      <c r="T42" s="1011">
        <v>21</v>
      </c>
      <c r="U42" s="1011">
        <v>20</v>
      </c>
      <c r="V42" s="1011">
        <v>20</v>
      </c>
      <c r="W42" s="1011"/>
      <c r="X42" s="1011">
        <v>1</v>
      </c>
      <c r="Y42" s="1011">
        <v>15</v>
      </c>
      <c r="Z42" s="1011">
        <v>2</v>
      </c>
      <c r="AA42" s="1011">
        <v>3</v>
      </c>
      <c r="AB42" s="1011">
        <v>2</v>
      </c>
      <c r="AC42" s="1011">
        <v>171</v>
      </c>
      <c r="AD42" s="1004">
        <v>2724030</v>
      </c>
      <c r="AE42" s="1011">
        <v>17</v>
      </c>
      <c r="AF42" s="1011">
        <v>19</v>
      </c>
      <c r="AG42" s="1011">
        <v>20</v>
      </c>
      <c r="AH42" s="1011">
        <v>22</v>
      </c>
      <c r="AI42" s="1011">
        <v>21</v>
      </c>
      <c r="AJ42" s="1011">
        <v>19</v>
      </c>
      <c r="AK42" s="1011">
        <v>23</v>
      </c>
      <c r="AL42" s="1011">
        <v>22</v>
      </c>
      <c r="AM42" s="1011">
        <v>21</v>
      </c>
      <c r="AN42" s="1011">
        <v>23</v>
      </c>
      <c r="AO42" s="1011">
        <v>20</v>
      </c>
      <c r="AP42" s="1011"/>
      <c r="AQ42" s="1011">
        <v>227</v>
      </c>
      <c r="AR42" s="1004">
        <v>3616110</v>
      </c>
      <c r="AS42" s="1011"/>
      <c r="AT42" s="1011"/>
      <c r="AU42" s="1011"/>
      <c r="AV42" s="1011"/>
      <c r="AW42" s="1011"/>
      <c r="AX42" s="1011"/>
      <c r="AY42" s="1011"/>
      <c r="AZ42" s="1011"/>
      <c r="BA42" s="1011"/>
      <c r="BB42" s="1011"/>
      <c r="BC42" s="1011"/>
      <c r="BD42" s="1011"/>
      <c r="BE42" s="1011">
        <v>0</v>
      </c>
      <c r="BF42" s="1004">
        <v>0</v>
      </c>
      <c r="BG42" s="1011"/>
      <c r="BH42" s="1011"/>
      <c r="BI42" s="1011"/>
      <c r="BJ42" s="1011"/>
      <c r="BK42" s="1011"/>
      <c r="BL42" s="1011"/>
      <c r="BM42" s="1011"/>
      <c r="BN42" s="1011"/>
      <c r="BO42" s="1011"/>
      <c r="BP42" s="1011"/>
      <c r="BQ42" s="1011"/>
      <c r="BR42" s="1011"/>
      <c r="BS42" s="1011">
        <v>0</v>
      </c>
      <c r="BT42" s="1004">
        <v>0</v>
      </c>
      <c r="BU42" s="1011">
        <v>398</v>
      </c>
      <c r="BV42" s="1004">
        <v>6340140</v>
      </c>
    </row>
    <row r="43" spans="1:74">
      <c r="A43" s="1003" t="s">
        <v>43</v>
      </c>
      <c r="B43" s="751">
        <v>0</v>
      </c>
      <c r="C43" s="1011"/>
      <c r="D43" s="1011"/>
      <c r="E43" s="1011"/>
      <c r="F43" s="1011"/>
      <c r="G43" s="1011"/>
      <c r="H43" s="1011"/>
      <c r="I43" s="1011"/>
      <c r="J43" s="1011"/>
      <c r="K43" s="1011"/>
      <c r="L43" s="1011"/>
      <c r="M43" s="1011"/>
      <c r="N43" s="1011"/>
      <c r="O43" s="1011">
        <v>0</v>
      </c>
      <c r="P43" s="1004">
        <v>0</v>
      </c>
      <c r="Q43" s="1011"/>
      <c r="R43" s="1011"/>
      <c r="S43" s="1011">
        <v>20</v>
      </c>
      <c r="T43" s="1011">
        <v>21</v>
      </c>
      <c r="U43" s="1011">
        <v>20</v>
      </c>
      <c r="V43" s="1011">
        <v>20</v>
      </c>
      <c r="W43" s="1011"/>
      <c r="X43" s="1011">
        <v>1</v>
      </c>
      <c r="Y43" s="1011">
        <v>15</v>
      </c>
      <c r="Z43" s="1011">
        <v>2</v>
      </c>
      <c r="AA43" s="1011">
        <v>3</v>
      </c>
      <c r="AB43" s="1011">
        <v>2</v>
      </c>
      <c r="AC43" s="1011">
        <v>171</v>
      </c>
      <c r="AD43" s="1004">
        <v>2724030</v>
      </c>
      <c r="AE43" s="1011">
        <v>17</v>
      </c>
      <c r="AF43" s="1011">
        <v>19</v>
      </c>
      <c r="AG43" s="1011">
        <v>20</v>
      </c>
      <c r="AH43" s="1011">
        <v>22</v>
      </c>
      <c r="AI43" s="1011">
        <v>21</v>
      </c>
      <c r="AJ43" s="1011">
        <v>19</v>
      </c>
      <c r="AK43" s="1011">
        <v>23</v>
      </c>
      <c r="AL43" s="1011">
        <v>22</v>
      </c>
      <c r="AM43" s="1011">
        <v>21</v>
      </c>
      <c r="AN43" s="1011">
        <v>23</v>
      </c>
      <c r="AO43" s="1011">
        <v>20</v>
      </c>
      <c r="AP43" s="1011"/>
      <c r="AQ43" s="1011">
        <v>227</v>
      </c>
      <c r="AR43" s="1004">
        <v>3616110</v>
      </c>
      <c r="AS43" s="1011"/>
      <c r="AT43" s="1011"/>
      <c r="AU43" s="1011"/>
      <c r="AV43" s="1011"/>
      <c r="AW43" s="1011"/>
      <c r="AX43" s="1011"/>
      <c r="AY43" s="1011"/>
      <c r="AZ43" s="1011"/>
      <c r="BA43" s="1011"/>
      <c r="BB43" s="1011"/>
      <c r="BC43" s="1011"/>
      <c r="BD43" s="1011"/>
      <c r="BE43" s="1011">
        <v>0</v>
      </c>
      <c r="BF43" s="1004">
        <v>0</v>
      </c>
      <c r="BG43" s="1011"/>
      <c r="BH43" s="1011"/>
      <c r="BI43" s="1011"/>
      <c r="BJ43" s="1011"/>
      <c r="BK43" s="1011"/>
      <c r="BL43" s="1011"/>
      <c r="BM43" s="1011"/>
      <c r="BN43" s="1011"/>
      <c r="BO43" s="1011"/>
      <c r="BP43" s="1011"/>
      <c r="BQ43" s="1011"/>
      <c r="BR43" s="1011"/>
      <c r="BS43" s="1011">
        <v>0</v>
      </c>
      <c r="BT43" s="1004">
        <v>0</v>
      </c>
      <c r="BU43" s="1011">
        <v>398</v>
      </c>
      <c r="BV43" s="1004">
        <v>6340140</v>
      </c>
    </row>
    <row r="44" spans="1:74">
      <c r="A44" s="1002" t="s">
        <v>1699</v>
      </c>
      <c r="B44" s="751">
        <v>0</v>
      </c>
      <c r="C44" s="1011"/>
      <c r="D44" s="1011"/>
      <c r="E44" s="1011"/>
      <c r="F44" s="1011"/>
      <c r="G44" s="1011"/>
      <c r="H44" s="1011"/>
      <c r="I44" s="1011"/>
      <c r="J44" s="1011"/>
      <c r="K44" s="1011"/>
      <c r="L44" s="1011"/>
      <c r="M44" s="1011"/>
      <c r="N44" s="1011"/>
      <c r="O44" s="1011">
        <v>0</v>
      </c>
      <c r="P44" s="1004">
        <v>0</v>
      </c>
      <c r="Q44" s="1011"/>
      <c r="R44" s="1011"/>
      <c r="S44" s="1011"/>
      <c r="T44" s="1011"/>
      <c r="U44" s="1011"/>
      <c r="V44" s="1011"/>
      <c r="W44" s="1011">
        <v>22</v>
      </c>
      <c r="X44" s="1011">
        <v>1</v>
      </c>
      <c r="Y44" s="1011">
        <v>5</v>
      </c>
      <c r="Z44" s="1011">
        <v>1</v>
      </c>
      <c r="AA44" s="1011"/>
      <c r="AB44" s="1011"/>
      <c r="AC44" s="1011">
        <v>40</v>
      </c>
      <c r="AD44" s="1004">
        <v>637200</v>
      </c>
      <c r="AE44" s="1011"/>
      <c r="AF44" s="1011"/>
      <c r="AG44" s="1011"/>
      <c r="AH44" s="1011"/>
      <c r="AI44" s="1011"/>
      <c r="AJ44" s="1011"/>
      <c r="AK44" s="1011"/>
      <c r="AL44" s="1011"/>
      <c r="AM44" s="1011"/>
      <c r="AN44" s="1011"/>
      <c r="AO44" s="1011"/>
      <c r="AP44" s="1011"/>
      <c r="AQ44" s="1011">
        <v>0</v>
      </c>
      <c r="AR44" s="1004">
        <v>0</v>
      </c>
      <c r="AS44" s="1011"/>
      <c r="AT44" s="1011"/>
      <c r="AU44" s="1011"/>
      <c r="AV44" s="1011"/>
      <c r="AW44" s="1011"/>
      <c r="AX44" s="1011"/>
      <c r="AY44" s="1011"/>
      <c r="AZ44" s="1011"/>
      <c r="BA44" s="1011"/>
      <c r="BB44" s="1011"/>
      <c r="BC44" s="1011"/>
      <c r="BD44" s="1011"/>
      <c r="BE44" s="1011">
        <v>0</v>
      </c>
      <c r="BF44" s="1004">
        <v>0</v>
      </c>
      <c r="BG44" s="1011"/>
      <c r="BH44" s="1011"/>
      <c r="BI44" s="1011"/>
      <c r="BJ44" s="1011"/>
      <c r="BK44" s="1011"/>
      <c r="BL44" s="1011"/>
      <c r="BM44" s="1011"/>
      <c r="BN44" s="1011"/>
      <c r="BO44" s="1011"/>
      <c r="BP44" s="1011"/>
      <c r="BQ44" s="1011"/>
      <c r="BR44" s="1011"/>
      <c r="BS44" s="1011">
        <v>0</v>
      </c>
      <c r="BT44" s="1004">
        <v>0</v>
      </c>
      <c r="BU44" s="1011">
        <v>40</v>
      </c>
      <c r="BV44" s="1004">
        <v>637200</v>
      </c>
    </row>
    <row r="45" spans="1:74">
      <c r="A45" s="1003" t="s">
        <v>43</v>
      </c>
      <c r="B45" s="751">
        <v>0</v>
      </c>
      <c r="C45" s="1011"/>
      <c r="D45" s="1011"/>
      <c r="E45" s="1011"/>
      <c r="F45" s="1011"/>
      <c r="G45" s="1011"/>
      <c r="H45" s="1011"/>
      <c r="I45" s="1011"/>
      <c r="J45" s="1011"/>
      <c r="K45" s="1011"/>
      <c r="L45" s="1011"/>
      <c r="M45" s="1011"/>
      <c r="N45" s="1011"/>
      <c r="O45" s="1011">
        <v>0</v>
      </c>
      <c r="P45" s="1004">
        <v>0</v>
      </c>
      <c r="Q45" s="1011"/>
      <c r="R45" s="1011"/>
      <c r="S45" s="1011"/>
      <c r="T45" s="1011"/>
      <c r="U45" s="1011"/>
      <c r="V45" s="1011"/>
      <c r="W45" s="1011">
        <v>22</v>
      </c>
      <c r="X45" s="1011">
        <v>1</v>
      </c>
      <c r="Y45" s="1011">
        <v>5</v>
      </c>
      <c r="Z45" s="1011">
        <v>1</v>
      </c>
      <c r="AA45" s="1011"/>
      <c r="AB45" s="1011"/>
      <c r="AC45" s="1011">
        <v>40</v>
      </c>
      <c r="AD45" s="1004">
        <v>637200</v>
      </c>
      <c r="AE45" s="1011"/>
      <c r="AF45" s="1011"/>
      <c r="AG45" s="1011"/>
      <c r="AH45" s="1011"/>
      <c r="AI45" s="1011"/>
      <c r="AJ45" s="1011"/>
      <c r="AK45" s="1011"/>
      <c r="AL45" s="1011"/>
      <c r="AM45" s="1011"/>
      <c r="AN45" s="1011"/>
      <c r="AO45" s="1011"/>
      <c r="AP45" s="1011"/>
      <c r="AQ45" s="1011">
        <v>0</v>
      </c>
      <c r="AR45" s="1004">
        <v>0</v>
      </c>
      <c r="AS45" s="1011"/>
      <c r="AT45" s="1011"/>
      <c r="AU45" s="1011"/>
      <c r="AV45" s="1011"/>
      <c r="AW45" s="1011"/>
      <c r="AX45" s="1011"/>
      <c r="AY45" s="1011"/>
      <c r="AZ45" s="1011"/>
      <c r="BA45" s="1011"/>
      <c r="BB45" s="1011"/>
      <c r="BC45" s="1011"/>
      <c r="BD45" s="1011"/>
      <c r="BE45" s="1011">
        <v>0</v>
      </c>
      <c r="BF45" s="1004">
        <v>0</v>
      </c>
      <c r="BG45" s="1011"/>
      <c r="BH45" s="1011"/>
      <c r="BI45" s="1011"/>
      <c r="BJ45" s="1011"/>
      <c r="BK45" s="1011"/>
      <c r="BL45" s="1011"/>
      <c r="BM45" s="1011"/>
      <c r="BN45" s="1011"/>
      <c r="BO45" s="1011"/>
      <c r="BP45" s="1011"/>
      <c r="BQ45" s="1011"/>
      <c r="BR45" s="1011"/>
      <c r="BS45" s="1011">
        <v>0</v>
      </c>
      <c r="BT45" s="1004">
        <v>0</v>
      </c>
      <c r="BU45" s="1011">
        <v>40</v>
      </c>
      <c r="BV45" s="1004">
        <v>637200</v>
      </c>
    </row>
    <row r="46" spans="1:74">
      <c r="A46" s="1000" t="s">
        <v>2053</v>
      </c>
      <c r="B46" s="751">
        <v>0</v>
      </c>
      <c r="C46" s="1011"/>
      <c r="D46" s="1011"/>
      <c r="E46" s="1011"/>
      <c r="F46" s="1011"/>
      <c r="G46" s="1011"/>
      <c r="H46" s="1011"/>
      <c r="I46" s="1011"/>
      <c r="J46" s="1011"/>
      <c r="K46" s="1011"/>
      <c r="L46" s="1011"/>
      <c r="M46" s="1011"/>
      <c r="N46" s="1011"/>
      <c r="O46" s="1011">
        <v>0</v>
      </c>
      <c r="P46" s="1004">
        <v>0</v>
      </c>
      <c r="Q46" s="1011"/>
      <c r="R46" s="1011"/>
      <c r="S46" s="1011">
        <v>20</v>
      </c>
      <c r="T46" s="1011">
        <v>21</v>
      </c>
      <c r="U46" s="1011">
        <v>20</v>
      </c>
      <c r="V46" s="1011">
        <v>20</v>
      </c>
      <c r="W46" s="1011">
        <v>20</v>
      </c>
      <c r="X46" s="1011">
        <v>2</v>
      </c>
      <c r="Y46" s="1011">
        <v>20</v>
      </c>
      <c r="Z46" s="1011">
        <v>3</v>
      </c>
      <c r="AA46" s="1011">
        <v>3</v>
      </c>
      <c r="AB46" s="1011">
        <v>2</v>
      </c>
      <c r="AC46" s="1011">
        <v>209</v>
      </c>
      <c r="AD46" s="1004">
        <v>3329370</v>
      </c>
      <c r="AE46" s="1011">
        <v>19</v>
      </c>
      <c r="AF46" s="1011">
        <v>19</v>
      </c>
      <c r="AG46" s="1011">
        <v>20</v>
      </c>
      <c r="AH46" s="1011">
        <v>22</v>
      </c>
      <c r="AI46" s="1011">
        <v>21</v>
      </c>
      <c r="AJ46" s="1011">
        <v>19</v>
      </c>
      <c r="AK46" s="1011">
        <v>23</v>
      </c>
      <c r="AL46" s="1011">
        <v>22</v>
      </c>
      <c r="AM46" s="1011">
        <v>21</v>
      </c>
      <c r="AN46" s="1011">
        <v>23</v>
      </c>
      <c r="AO46" s="1011">
        <v>20</v>
      </c>
      <c r="AP46" s="1011"/>
      <c r="AQ46" s="1011">
        <v>229</v>
      </c>
      <c r="AR46" s="1004">
        <v>3647970</v>
      </c>
      <c r="AS46" s="1011"/>
      <c r="AT46" s="1011"/>
      <c r="AU46" s="1011"/>
      <c r="AV46" s="1011"/>
      <c r="AW46" s="1011"/>
      <c r="AX46" s="1011"/>
      <c r="AY46" s="1011"/>
      <c r="AZ46" s="1011"/>
      <c r="BA46" s="1011"/>
      <c r="BB46" s="1011"/>
      <c r="BC46" s="1011"/>
      <c r="BD46" s="1011"/>
      <c r="BE46" s="1011">
        <v>0</v>
      </c>
      <c r="BF46" s="1004">
        <v>0</v>
      </c>
      <c r="BG46" s="1011"/>
      <c r="BH46" s="1011"/>
      <c r="BI46" s="1011"/>
      <c r="BJ46" s="1011"/>
      <c r="BK46" s="1011"/>
      <c r="BL46" s="1011"/>
      <c r="BM46" s="1011"/>
      <c r="BN46" s="1011"/>
      <c r="BO46" s="1011"/>
      <c r="BP46" s="1011"/>
      <c r="BQ46" s="1011"/>
      <c r="BR46" s="1011"/>
      <c r="BS46" s="1011">
        <v>0</v>
      </c>
      <c r="BT46" s="1004">
        <v>0</v>
      </c>
      <c r="BU46" s="1011">
        <v>438</v>
      </c>
      <c r="BV46" s="1004">
        <v>6977340</v>
      </c>
    </row>
    <row r="47" spans="1:74">
      <c r="A47" s="1001" t="s">
        <v>61</v>
      </c>
      <c r="B47" s="751">
        <v>0</v>
      </c>
      <c r="C47" s="1011"/>
      <c r="D47" s="1011"/>
      <c r="E47" s="1011"/>
      <c r="F47" s="1011"/>
      <c r="G47" s="1011"/>
      <c r="H47" s="1011"/>
      <c r="I47" s="1011"/>
      <c r="J47" s="1011"/>
      <c r="K47" s="1011"/>
      <c r="L47" s="1011"/>
      <c r="M47" s="1011"/>
      <c r="N47" s="1011"/>
      <c r="O47" s="1011">
        <v>0</v>
      </c>
      <c r="P47" s="1004">
        <v>0</v>
      </c>
      <c r="Q47" s="1011"/>
      <c r="R47" s="1011"/>
      <c r="S47" s="1011">
        <v>20</v>
      </c>
      <c r="T47" s="1011">
        <v>21</v>
      </c>
      <c r="U47" s="1011">
        <v>20</v>
      </c>
      <c r="V47" s="1011">
        <v>20</v>
      </c>
      <c r="W47" s="1011">
        <v>20</v>
      </c>
      <c r="X47" s="1011">
        <v>2</v>
      </c>
      <c r="Y47" s="1011">
        <v>20</v>
      </c>
      <c r="Z47" s="1011">
        <v>3</v>
      </c>
      <c r="AA47" s="1011">
        <v>3</v>
      </c>
      <c r="AB47" s="1011">
        <v>2</v>
      </c>
      <c r="AC47" s="1011">
        <v>209</v>
      </c>
      <c r="AD47" s="1004">
        <v>3329370</v>
      </c>
      <c r="AE47" s="1011">
        <v>19</v>
      </c>
      <c r="AF47" s="1011">
        <v>19</v>
      </c>
      <c r="AG47" s="1011">
        <v>20</v>
      </c>
      <c r="AH47" s="1011">
        <v>22</v>
      </c>
      <c r="AI47" s="1011">
        <v>21</v>
      </c>
      <c r="AJ47" s="1011">
        <v>19</v>
      </c>
      <c r="AK47" s="1011">
        <v>23</v>
      </c>
      <c r="AL47" s="1011">
        <v>22</v>
      </c>
      <c r="AM47" s="1011">
        <v>21</v>
      </c>
      <c r="AN47" s="1011">
        <v>23</v>
      </c>
      <c r="AO47" s="1011">
        <v>20</v>
      </c>
      <c r="AP47" s="1011"/>
      <c r="AQ47" s="1011">
        <v>229</v>
      </c>
      <c r="AR47" s="1004">
        <v>3647970</v>
      </c>
      <c r="AS47" s="1011"/>
      <c r="AT47" s="1011"/>
      <c r="AU47" s="1011"/>
      <c r="AV47" s="1011"/>
      <c r="AW47" s="1011"/>
      <c r="AX47" s="1011"/>
      <c r="AY47" s="1011"/>
      <c r="AZ47" s="1011"/>
      <c r="BA47" s="1011"/>
      <c r="BB47" s="1011"/>
      <c r="BC47" s="1011"/>
      <c r="BD47" s="1011"/>
      <c r="BE47" s="1011">
        <v>0</v>
      </c>
      <c r="BF47" s="1004">
        <v>0</v>
      </c>
      <c r="BG47" s="1011"/>
      <c r="BH47" s="1011"/>
      <c r="BI47" s="1011"/>
      <c r="BJ47" s="1011"/>
      <c r="BK47" s="1011"/>
      <c r="BL47" s="1011"/>
      <c r="BM47" s="1011"/>
      <c r="BN47" s="1011"/>
      <c r="BO47" s="1011"/>
      <c r="BP47" s="1011"/>
      <c r="BQ47" s="1011"/>
      <c r="BR47" s="1011"/>
      <c r="BS47" s="1011">
        <v>0</v>
      </c>
      <c r="BT47" s="1004">
        <v>0</v>
      </c>
      <c r="BU47" s="1011">
        <v>438</v>
      </c>
      <c r="BV47" s="1004">
        <v>6977340</v>
      </c>
    </row>
    <row r="48" spans="1:74">
      <c r="A48" s="1002" t="s">
        <v>1735</v>
      </c>
      <c r="B48" s="751">
        <v>0</v>
      </c>
      <c r="C48" s="1011"/>
      <c r="D48" s="1011"/>
      <c r="E48" s="1011"/>
      <c r="F48" s="1011"/>
      <c r="G48" s="1011"/>
      <c r="H48" s="1011"/>
      <c r="I48" s="1011"/>
      <c r="J48" s="1011"/>
      <c r="K48" s="1011"/>
      <c r="L48" s="1011"/>
      <c r="M48" s="1011"/>
      <c r="N48" s="1011"/>
      <c r="O48" s="1011">
        <v>0</v>
      </c>
      <c r="P48" s="1004">
        <v>0</v>
      </c>
      <c r="Q48" s="1011"/>
      <c r="R48" s="1011"/>
      <c r="S48" s="1011">
        <v>20</v>
      </c>
      <c r="T48" s="1011">
        <v>21</v>
      </c>
      <c r="U48" s="1011">
        <v>20</v>
      </c>
      <c r="V48" s="1011">
        <v>20</v>
      </c>
      <c r="W48" s="1011"/>
      <c r="X48" s="1011">
        <v>1</v>
      </c>
      <c r="Y48" s="1011">
        <v>15</v>
      </c>
      <c r="Z48" s="1011">
        <v>2</v>
      </c>
      <c r="AA48" s="1011">
        <v>3</v>
      </c>
      <c r="AB48" s="1011">
        <v>2</v>
      </c>
      <c r="AC48" s="1011">
        <v>171</v>
      </c>
      <c r="AD48" s="1004">
        <v>2724030</v>
      </c>
      <c r="AE48" s="1011">
        <v>19</v>
      </c>
      <c r="AF48" s="1011">
        <v>19</v>
      </c>
      <c r="AG48" s="1011">
        <v>20</v>
      </c>
      <c r="AH48" s="1011">
        <v>22</v>
      </c>
      <c r="AI48" s="1011">
        <v>21</v>
      </c>
      <c r="AJ48" s="1011">
        <v>19</v>
      </c>
      <c r="AK48" s="1011">
        <v>23</v>
      </c>
      <c r="AL48" s="1011">
        <v>22</v>
      </c>
      <c r="AM48" s="1011">
        <v>21</v>
      </c>
      <c r="AN48" s="1011">
        <v>23</v>
      </c>
      <c r="AO48" s="1011">
        <v>20</v>
      </c>
      <c r="AP48" s="1011"/>
      <c r="AQ48" s="1011">
        <v>229</v>
      </c>
      <c r="AR48" s="1004">
        <v>3647970</v>
      </c>
      <c r="AS48" s="1011"/>
      <c r="AT48" s="1011"/>
      <c r="AU48" s="1011"/>
      <c r="AV48" s="1011"/>
      <c r="AW48" s="1011"/>
      <c r="AX48" s="1011"/>
      <c r="AY48" s="1011"/>
      <c r="AZ48" s="1011"/>
      <c r="BA48" s="1011"/>
      <c r="BB48" s="1011"/>
      <c r="BC48" s="1011"/>
      <c r="BD48" s="1011"/>
      <c r="BE48" s="1011">
        <v>0</v>
      </c>
      <c r="BF48" s="1004">
        <v>0</v>
      </c>
      <c r="BG48" s="1011"/>
      <c r="BH48" s="1011"/>
      <c r="BI48" s="1011"/>
      <c r="BJ48" s="1011"/>
      <c r="BK48" s="1011"/>
      <c r="BL48" s="1011"/>
      <c r="BM48" s="1011"/>
      <c r="BN48" s="1011"/>
      <c r="BO48" s="1011"/>
      <c r="BP48" s="1011"/>
      <c r="BQ48" s="1011"/>
      <c r="BR48" s="1011"/>
      <c r="BS48" s="1011">
        <v>0</v>
      </c>
      <c r="BT48" s="1004">
        <v>0</v>
      </c>
      <c r="BU48" s="1011">
        <v>400</v>
      </c>
      <c r="BV48" s="1004">
        <v>6372000</v>
      </c>
    </row>
    <row r="49" spans="1:74">
      <c r="A49" s="1003" t="s">
        <v>43</v>
      </c>
      <c r="B49" s="751">
        <v>0</v>
      </c>
      <c r="C49" s="1011"/>
      <c r="D49" s="1011"/>
      <c r="E49" s="1011"/>
      <c r="F49" s="1011"/>
      <c r="G49" s="1011"/>
      <c r="H49" s="1011"/>
      <c r="I49" s="1011"/>
      <c r="J49" s="1011"/>
      <c r="K49" s="1011"/>
      <c r="L49" s="1011"/>
      <c r="M49" s="1011"/>
      <c r="N49" s="1011"/>
      <c r="O49" s="1011">
        <v>0</v>
      </c>
      <c r="P49" s="1004">
        <v>0</v>
      </c>
      <c r="Q49" s="1011"/>
      <c r="R49" s="1011"/>
      <c r="S49" s="1011">
        <v>20</v>
      </c>
      <c r="T49" s="1011">
        <v>21</v>
      </c>
      <c r="U49" s="1011">
        <v>20</v>
      </c>
      <c r="V49" s="1011">
        <v>20</v>
      </c>
      <c r="W49" s="1011"/>
      <c r="X49" s="1011">
        <v>1</v>
      </c>
      <c r="Y49" s="1011">
        <v>15</v>
      </c>
      <c r="Z49" s="1011">
        <v>2</v>
      </c>
      <c r="AA49" s="1011">
        <v>3</v>
      </c>
      <c r="AB49" s="1011">
        <v>2</v>
      </c>
      <c r="AC49" s="1011">
        <v>171</v>
      </c>
      <c r="AD49" s="1004">
        <v>2724030</v>
      </c>
      <c r="AE49" s="1011">
        <v>19</v>
      </c>
      <c r="AF49" s="1011">
        <v>19</v>
      </c>
      <c r="AG49" s="1011">
        <v>20</v>
      </c>
      <c r="AH49" s="1011">
        <v>22</v>
      </c>
      <c r="AI49" s="1011">
        <v>21</v>
      </c>
      <c r="AJ49" s="1011">
        <v>19</v>
      </c>
      <c r="AK49" s="1011">
        <v>23</v>
      </c>
      <c r="AL49" s="1011">
        <v>22</v>
      </c>
      <c r="AM49" s="1011">
        <v>21</v>
      </c>
      <c r="AN49" s="1011">
        <v>23</v>
      </c>
      <c r="AO49" s="1011">
        <v>20</v>
      </c>
      <c r="AP49" s="1011"/>
      <c r="AQ49" s="1011">
        <v>229</v>
      </c>
      <c r="AR49" s="1004">
        <v>3647970</v>
      </c>
      <c r="AS49" s="1011"/>
      <c r="AT49" s="1011"/>
      <c r="AU49" s="1011"/>
      <c r="AV49" s="1011"/>
      <c r="AW49" s="1011"/>
      <c r="AX49" s="1011"/>
      <c r="AY49" s="1011"/>
      <c r="AZ49" s="1011"/>
      <c r="BA49" s="1011"/>
      <c r="BB49" s="1011"/>
      <c r="BC49" s="1011"/>
      <c r="BD49" s="1011"/>
      <c r="BE49" s="1011">
        <v>0</v>
      </c>
      <c r="BF49" s="1004">
        <v>0</v>
      </c>
      <c r="BG49" s="1011"/>
      <c r="BH49" s="1011"/>
      <c r="BI49" s="1011"/>
      <c r="BJ49" s="1011"/>
      <c r="BK49" s="1011"/>
      <c r="BL49" s="1011"/>
      <c r="BM49" s="1011"/>
      <c r="BN49" s="1011"/>
      <c r="BO49" s="1011"/>
      <c r="BP49" s="1011"/>
      <c r="BQ49" s="1011"/>
      <c r="BR49" s="1011"/>
      <c r="BS49" s="1011">
        <v>0</v>
      </c>
      <c r="BT49" s="1004">
        <v>0</v>
      </c>
      <c r="BU49" s="1011">
        <v>400</v>
      </c>
      <c r="BV49" s="1004">
        <v>6372000</v>
      </c>
    </row>
    <row r="50" spans="1:74">
      <c r="A50" s="1002" t="s">
        <v>1699</v>
      </c>
      <c r="B50" s="751">
        <v>0</v>
      </c>
      <c r="C50" s="1011"/>
      <c r="D50" s="1011"/>
      <c r="E50" s="1011"/>
      <c r="F50" s="1011"/>
      <c r="G50" s="1011"/>
      <c r="H50" s="1011"/>
      <c r="I50" s="1011"/>
      <c r="J50" s="1011"/>
      <c r="K50" s="1011"/>
      <c r="L50" s="1011"/>
      <c r="M50" s="1011"/>
      <c r="N50" s="1011"/>
      <c r="O50" s="1011">
        <v>0</v>
      </c>
      <c r="P50" s="1004">
        <v>0</v>
      </c>
      <c r="Q50" s="1011"/>
      <c r="R50" s="1011"/>
      <c r="S50" s="1011"/>
      <c r="T50" s="1011"/>
      <c r="U50" s="1011"/>
      <c r="V50" s="1011"/>
      <c r="W50" s="1011">
        <v>20</v>
      </c>
      <c r="X50" s="1011">
        <v>1</v>
      </c>
      <c r="Y50" s="1011">
        <v>5</v>
      </c>
      <c r="Z50" s="1011">
        <v>1</v>
      </c>
      <c r="AA50" s="1011"/>
      <c r="AB50" s="1011"/>
      <c r="AC50" s="1011">
        <v>38</v>
      </c>
      <c r="AD50" s="1004">
        <v>605340</v>
      </c>
      <c r="AE50" s="1011"/>
      <c r="AF50" s="1011"/>
      <c r="AG50" s="1011"/>
      <c r="AH50" s="1011"/>
      <c r="AI50" s="1011"/>
      <c r="AJ50" s="1011"/>
      <c r="AK50" s="1011"/>
      <c r="AL50" s="1011"/>
      <c r="AM50" s="1011"/>
      <c r="AN50" s="1011"/>
      <c r="AO50" s="1011"/>
      <c r="AP50" s="1011"/>
      <c r="AQ50" s="1011">
        <v>0</v>
      </c>
      <c r="AR50" s="1004">
        <v>0</v>
      </c>
      <c r="AS50" s="1011"/>
      <c r="AT50" s="1011"/>
      <c r="AU50" s="1011"/>
      <c r="AV50" s="1011"/>
      <c r="AW50" s="1011"/>
      <c r="AX50" s="1011"/>
      <c r="AY50" s="1011"/>
      <c r="AZ50" s="1011"/>
      <c r="BA50" s="1011"/>
      <c r="BB50" s="1011"/>
      <c r="BC50" s="1011"/>
      <c r="BD50" s="1011"/>
      <c r="BE50" s="1011">
        <v>0</v>
      </c>
      <c r="BF50" s="1004">
        <v>0</v>
      </c>
      <c r="BG50" s="1011"/>
      <c r="BH50" s="1011"/>
      <c r="BI50" s="1011"/>
      <c r="BJ50" s="1011"/>
      <c r="BK50" s="1011"/>
      <c r="BL50" s="1011"/>
      <c r="BM50" s="1011"/>
      <c r="BN50" s="1011"/>
      <c r="BO50" s="1011"/>
      <c r="BP50" s="1011"/>
      <c r="BQ50" s="1011"/>
      <c r="BR50" s="1011"/>
      <c r="BS50" s="1011">
        <v>0</v>
      </c>
      <c r="BT50" s="1004">
        <v>0</v>
      </c>
      <c r="BU50" s="1011">
        <v>38</v>
      </c>
      <c r="BV50" s="1004">
        <v>605340</v>
      </c>
    </row>
    <row r="51" spans="1:74">
      <c r="A51" s="1003" t="s">
        <v>43</v>
      </c>
      <c r="B51" s="751">
        <v>0</v>
      </c>
      <c r="C51" s="1011"/>
      <c r="D51" s="1011"/>
      <c r="E51" s="1011"/>
      <c r="F51" s="1011"/>
      <c r="G51" s="1011"/>
      <c r="H51" s="1011"/>
      <c r="I51" s="1011"/>
      <c r="J51" s="1011"/>
      <c r="K51" s="1011"/>
      <c r="L51" s="1011"/>
      <c r="M51" s="1011"/>
      <c r="N51" s="1011"/>
      <c r="O51" s="1011">
        <v>0</v>
      </c>
      <c r="P51" s="1004">
        <v>0</v>
      </c>
      <c r="Q51" s="1011"/>
      <c r="R51" s="1011"/>
      <c r="S51" s="1011"/>
      <c r="T51" s="1011"/>
      <c r="U51" s="1011"/>
      <c r="V51" s="1011"/>
      <c r="W51" s="1011">
        <v>20</v>
      </c>
      <c r="X51" s="1011">
        <v>1</v>
      </c>
      <c r="Y51" s="1011">
        <v>5</v>
      </c>
      <c r="Z51" s="1011">
        <v>1</v>
      </c>
      <c r="AA51" s="1011"/>
      <c r="AB51" s="1011"/>
      <c r="AC51" s="1011">
        <v>38</v>
      </c>
      <c r="AD51" s="1004">
        <v>605340</v>
      </c>
      <c r="AE51" s="1011"/>
      <c r="AF51" s="1011"/>
      <c r="AG51" s="1011"/>
      <c r="AH51" s="1011"/>
      <c r="AI51" s="1011"/>
      <c r="AJ51" s="1011"/>
      <c r="AK51" s="1011"/>
      <c r="AL51" s="1011"/>
      <c r="AM51" s="1011"/>
      <c r="AN51" s="1011"/>
      <c r="AO51" s="1011"/>
      <c r="AP51" s="1011"/>
      <c r="AQ51" s="1011">
        <v>0</v>
      </c>
      <c r="AR51" s="1004">
        <v>0</v>
      </c>
      <c r="AS51" s="1011"/>
      <c r="AT51" s="1011"/>
      <c r="AU51" s="1011"/>
      <c r="AV51" s="1011"/>
      <c r="AW51" s="1011"/>
      <c r="AX51" s="1011"/>
      <c r="AY51" s="1011"/>
      <c r="AZ51" s="1011"/>
      <c r="BA51" s="1011"/>
      <c r="BB51" s="1011"/>
      <c r="BC51" s="1011"/>
      <c r="BD51" s="1011"/>
      <c r="BE51" s="1011">
        <v>0</v>
      </c>
      <c r="BF51" s="1004">
        <v>0</v>
      </c>
      <c r="BG51" s="1011"/>
      <c r="BH51" s="1011"/>
      <c r="BI51" s="1011"/>
      <c r="BJ51" s="1011"/>
      <c r="BK51" s="1011"/>
      <c r="BL51" s="1011"/>
      <c r="BM51" s="1011"/>
      <c r="BN51" s="1011"/>
      <c r="BO51" s="1011"/>
      <c r="BP51" s="1011"/>
      <c r="BQ51" s="1011"/>
      <c r="BR51" s="1011"/>
      <c r="BS51" s="1011">
        <v>0</v>
      </c>
      <c r="BT51" s="1004">
        <v>0</v>
      </c>
      <c r="BU51" s="1011">
        <v>38</v>
      </c>
      <c r="BV51" s="1004">
        <v>605340</v>
      </c>
    </row>
    <row r="52" spans="1:74">
      <c r="A52" s="1000" t="s">
        <v>2054</v>
      </c>
      <c r="B52" s="751">
        <v>0</v>
      </c>
      <c r="C52" s="1011"/>
      <c r="D52" s="1011"/>
      <c r="E52" s="1011"/>
      <c r="F52" s="1011"/>
      <c r="G52" s="1011"/>
      <c r="H52" s="1011"/>
      <c r="I52" s="1011"/>
      <c r="J52" s="1011"/>
      <c r="K52" s="1011"/>
      <c r="L52" s="1011"/>
      <c r="M52" s="1011"/>
      <c r="N52" s="1011"/>
      <c r="O52" s="1011">
        <v>0</v>
      </c>
      <c r="P52" s="1004">
        <v>0</v>
      </c>
      <c r="Q52" s="1011"/>
      <c r="R52" s="1011"/>
      <c r="S52" s="1011"/>
      <c r="T52" s="1011"/>
      <c r="U52" s="1011"/>
      <c r="V52" s="1011"/>
      <c r="W52" s="1011"/>
      <c r="X52" s="1011"/>
      <c r="Y52" s="1011">
        <v>20</v>
      </c>
      <c r="Z52" s="1011">
        <v>2</v>
      </c>
      <c r="AA52" s="1011">
        <v>2</v>
      </c>
      <c r="AB52" s="1011">
        <v>3</v>
      </c>
      <c r="AC52" s="1011">
        <v>85</v>
      </c>
      <c r="AD52" s="1004">
        <v>593300</v>
      </c>
      <c r="AE52" s="1011">
        <v>17</v>
      </c>
      <c r="AF52" s="1011">
        <v>19</v>
      </c>
      <c r="AG52" s="1011">
        <v>20</v>
      </c>
      <c r="AH52" s="1011">
        <v>22</v>
      </c>
      <c r="AI52" s="1011">
        <v>21</v>
      </c>
      <c r="AJ52" s="1011">
        <v>19</v>
      </c>
      <c r="AK52" s="1011">
        <v>23</v>
      </c>
      <c r="AL52" s="1011">
        <v>22</v>
      </c>
      <c r="AM52" s="1011">
        <v>21</v>
      </c>
      <c r="AN52" s="1011">
        <v>23</v>
      </c>
      <c r="AO52" s="1011">
        <v>20</v>
      </c>
      <c r="AP52" s="1011"/>
      <c r="AQ52" s="1011">
        <v>227</v>
      </c>
      <c r="AR52" s="1004">
        <v>1584460</v>
      </c>
      <c r="AS52" s="1011"/>
      <c r="AT52" s="1011"/>
      <c r="AU52" s="1011"/>
      <c r="AV52" s="1011"/>
      <c r="AW52" s="1011"/>
      <c r="AX52" s="1011"/>
      <c r="AY52" s="1011"/>
      <c r="AZ52" s="1011"/>
      <c r="BA52" s="1011"/>
      <c r="BB52" s="1011"/>
      <c r="BC52" s="1011"/>
      <c r="BD52" s="1011"/>
      <c r="BE52" s="1011">
        <v>0</v>
      </c>
      <c r="BF52" s="1004">
        <v>0</v>
      </c>
      <c r="BG52" s="1011"/>
      <c r="BH52" s="1011"/>
      <c r="BI52" s="1011"/>
      <c r="BJ52" s="1011"/>
      <c r="BK52" s="1011"/>
      <c r="BL52" s="1011"/>
      <c r="BM52" s="1011"/>
      <c r="BN52" s="1011"/>
      <c r="BO52" s="1011"/>
      <c r="BP52" s="1011"/>
      <c r="BQ52" s="1011"/>
      <c r="BR52" s="1011"/>
      <c r="BS52" s="1011">
        <v>0</v>
      </c>
      <c r="BT52" s="1004">
        <v>0</v>
      </c>
      <c r="BU52" s="1011">
        <v>312</v>
      </c>
      <c r="BV52" s="1004">
        <v>2177760</v>
      </c>
    </row>
    <row r="53" spans="1:74">
      <c r="A53" s="1001" t="s">
        <v>58</v>
      </c>
      <c r="B53" s="751">
        <v>0</v>
      </c>
      <c r="C53" s="1011"/>
      <c r="D53" s="1011"/>
      <c r="E53" s="1011"/>
      <c r="F53" s="1011"/>
      <c r="G53" s="1011"/>
      <c r="H53" s="1011"/>
      <c r="I53" s="1011"/>
      <c r="J53" s="1011"/>
      <c r="K53" s="1011"/>
      <c r="L53" s="1011"/>
      <c r="M53" s="1011"/>
      <c r="N53" s="1011"/>
      <c r="O53" s="1011">
        <v>0</v>
      </c>
      <c r="P53" s="1004">
        <v>0</v>
      </c>
      <c r="Q53" s="1011"/>
      <c r="R53" s="1011"/>
      <c r="S53" s="1011"/>
      <c r="T53" s="1011"/>
      <c r="U53" s="1011"/>
      <c r="V53" s="1011"/>
      <c r="W53" s="1011"/>
      <c r="X53" s="1011"/>
      <c r="Y53" s="1011">
        <v>20</v>
      </c>
      <c r="Z53" s="1011">
        <v>2</v>
      </c>
      <c r="AA53" s="1011">
        <v>2</v>
      </c>
      <c r="AB53" s="1011">
        <v>3</v>
      </c>
      <c r="AC53" s="1011">
        <v>85</v>
      </c>
      <c r="AD53" s="1004">
        <v>593300</v>
      </c>
      <c r="AE53" s="1011">
        <v>17</v>
      </c>
      <c r="AF53" s="1011">
        <v>19</v>
      </c>
      <c r="AG53" s="1011">
        <v>20</v>
      </c>
      <c r="AH53" s="1011">
        <v>22</v>
      </c>
      <c r="AI53" s="1011">
        <v>21</v>
      </c>
      <c r="AJ53" s="1011">
        <v>19</v>
      </c>
      <c r="AK53" s="1011">
        <v>23</v>
      </c>
      <c r="AL53" s="1011">
        <v>22</v>
      </c>
      <c r="AM53" s="1011">
        <v>21</v>
      </c>
      <c r="AN53" s="1011">
        <v>23</v>
      </c>
      <c r="AO53" s="1011">
        <v>20</v>
      </c>
      <c r="AP53" s="1011"/>
      <c r="AQ53" s="1011">
        <v>227</v>
      </c>
      <c r="AR53" s="1004">
        <v>1584460</v>
      </c>
      <c r="AS53" s="1011"/>
      <c r="AT53" s="1011"/>
      <c r="AU53" s="1011"/>
      <c r="AV53" s="1011"/>
      <c r="AW53" s="1011"/>
      <c r="AX53" s="1011"/>
      <c r="AY53" s="1011"/>
      <c r="AZ53" s="1011"/>
      <c r="BA53" s="1011"/>
      <c r="BB53" s="1011"/>
      <c r="BC53" s="1011"/>
      <c r="BD53" s="1011"/>
      <c r="BE53" s="1011">
        <v>0</v>
      </c>
      <c r="BF53" s="1004">
        <v>0</v>
      </c>
      <c r="BG53" s="1011"/>
      <c r="BH53" s="1011"/>
      <c r="BI53" s="1011"/>
      <c r="BJ53" s="1011"/>
      <c r="BK53" s="1011"/>
      <c r="BL53" s="1011"/>
      <c r="BM53" s="1011"/>
      <c r="BN53" s="1011"/>
      <c r="BO53" s="1011"/>
      <c r="BP53" s="1011"/>
      <c r="BQ53" s="1011"/>
      <c r="BR53" s="1011"/>
      <c r="BS53" s="1011">
        <v>0</v>
      </c>
      <c r="BT53" s="1004">
        <v>0</v>
      </c>
      <c r="BU53" s="1011">
        <v>312</v>
      </c>
      <c r="BV53" s="1004">
        <v>2177760</v>
      </c>
    </row>
    <row r="54" spans="1:74">
      <c r="A54" s="1002" t="s">
        <v>1735</v>
      </c>
      <c r="B54" s="751">
        <v>0</v>
      </c>
      <c r="C54" s="1011"/>
      <c r="D54" s="1011"/>
      <c r="E54" s="1011"/>
      <c r="F54" s="1011"/>
      <c r="G54" s="1011"/>
      <c r="H54" s="1011"/>
      <c r="I54" s="1011"/>
      <c r="J54" s="1011"/>
      <c r="K54" s="1011"/>
      <c r="L54" s="1011"/>
      <c r="M54" s="1011"/>
      <c r="N54" s="1011"/>
      <c r="O54" s="1011">
        <v>0</v>
      </c>
      <c r="P54" s="1004">
        <v>0</v>
      </c>
      <c r="Q54" s="1011"/>
      <c r="R54" s="1011"/>
      <c r="S54" s="1011"/>
      <c r="T54" s="1011"/>
      <c r="U54" s="1011"/>
      <c r="V54" s="1011"/>
      <c r="W54" s="1011"/>
      <c r="X54" s="1011"/>
      <c r="Y54" s="1011">
        <v>20</v>
      </c>
      <c r="Z54" s="1011">
        <v>2</v>
      </c>
      <c r="AA54" s="1011">
        <v>2</v>
      </c>
      <c r="AB54" s="1011">
        <v>3</v>
      </c>
      <c r="AC54" s="1011">
        <v>85</v>
      </c>
      <c r="AD54" s="1004">
        <v>593300</v>
      </c>
      <c r="AE54" s="1011">
        <v>17</v>
      </c>
      <c r="AF54" s="1011">
        <v>19</v>
      </c>
      <c r="AG54" s="1011">
        <v>20</v>
      </c>
      <c r="AH54" s="1011">
        <v>22</v>
      </c>
      <c r="AI54" s="1011">
        <v>21</v>
      </c>
      <c r="AJ54" s="1011">
        <v>19</v>
      </c>
      <c r="AK54" s="1011">
        <v>23</v>
      </c>
      <c r="AL54" s="1011">
        <v>22</v>
      </c>
      <c r="AM54" s="1011">
        <v>21</v>
      </c>
      <c r="AN54" s="1011">
        <v>23</v>
      </c>
      <c r="AO54" s="1011">
        <v>20</v>
      </c>
      <c r="AP54" s="1011"/>
      <c r="AQ54" s="1011">
        <v>227</v>
      </c>
      <c r="AR54" s="1004">
        <v>1584460</v>
      </c>
      <c r="AS54" s="1011"/>
      <c r="AT54" s="1011"/>
      <c r="AU54" s="1011"/>
      <c r="AV54" s="1011"/>
      <c r="AW54" s="1011"/>
      <c r="AX54" s="1011"/>
      <c r="AY54" s="1011"/>
      <c r="AZ54" s="1011"/>
      <c r="BA54" s="1011"/>
      <c r="BB54" s="1011"/>
      <c r="BC54" s="1011"/>
      <c r="BD54" s="1011"/>
      <c r="BE54" s="1011">
        <v>0</v>
      </c>
      <c r="BF54" s="1004">
        <v>0</v>
      </c>
      <c r="BG54" s="1011"/>
      <c r="BH54" s="1011"/>
      <c r="BI54" s="1011"/>
      <c r="BJ54" s="1011"/>
      <c r="BK54" s="1011"/>
      <c r="BL54" s="1011"/>
      <c r="BM54" s="1011"/>
      <c r="BN54" s="1011"/>
      <c r="BO54" s="1011"/>
      <c r="BP54" s="1011"/>
      <c r="BQ54" s="1011"/>
      <c r="BR54" s="1011"/>
      <c r="BS54" s="1011">
        <v>0</v>
      </c>
      <c r="BT54" s="1004">
        <v>0</v>
      </c>
      <c r="BU54" s="1011">
        <v>312</v>
      </c>
      <c r="BV54" s="1004">
        <v>2177760</v>
      </c>
    </row>
    <row r="55" spans="1:74">
      <c r="A55" s="1003" t="s">
        <v>1625</v>
      </c>
      <c r="B55" s="751">
        <v>0</v>
      </c>
      <c r="C55" s="1011"/>
      <c r="D55" s="1011"/>
      <c r="E55" s="1011"/>
      <c r="F55" s="1011"/>
      <c r="G55" s="1011"/>
      <c r="H55" s="1011"/>
      <c r="I55" s="1011"/>
      <c r="J55" s="1011"/>
      <c r="K55" s="1011"/>
      <c r="L55" s="1011"/>
      <c r="M55" s="1011"/>
      <c r="N55" s="1011"/>
      <c r="O55" s="1011">
        <v>0</v>
      </c>
      <c r="P55" s="1004">
        <v>0</v>
      </c>
      <c r="Q55" s="1011"/>
      <c r="R55" s="1011"/>
      <c r="S55" s="1011"/>
      <c r="T55" s="1011"/>
      <c r="U55" s="1011"/>
      <c r="V55" s="1011"/>
      <c r="W55" s="1011"/>
      <c r="X55" s="1011"/>
      <c r="Y55" s="1011">
        <v>20</v>
      </c>
      <c r="Z55" s="1011">
        <v>2</v>
      </c>
      <c r="AA55" s="1011">
        <v>2</v>
      </c>
      <c r="AB55" s="1011">
        <v>3</v>
      </c>
      <c r="AC55" s="1011">
        <v>85</v>
      </c>
      <c r="AD55" s="1004">
        <v>593300</v>
      </c>
      <c r="AE55" s="1011">
        <v>17</v>
      </c>
      <c r="AF55" s="1011">
        <v>19</v>
      </c>
      <c r="AG55" s="1011">
        <v>20</v>
      </c>
      <c r="AH55" s="1011">
        <v>22</v>
      </c>
      <c r="AI55" s="1011">
        <v>21</v>
      </c>
      <c r="AJ55" s="1011">
        <v>19</v>
      </c>
      <c r="AK55" s="1011">
        <v>23</v>
      </c>
      <c r="AL55" s="1011">
        <v>22</v>
      </c>
      <c r="AM55" s="1011">
        <v>21</v>
      </c>
      <c r="AN55" s="1011">
        <v>23</v>
      </c>
      <c r="AO55" s="1011">
        <v>20</v>
      </c>
      <c r="AP55" s="1011"/>
      <c r="AQ55" s="1011">
        <v>227</v>
      </c>
      <c r="AR55" s="1004">
        <v>1584460</v>
      </c>
      <c r="AS55" s="1011"/>
      <c r="AT55" s="1011"/>
      <c r="AU55" s="1011"/>
      <c r="AV55" s="1011"/>
      <c r="AW55" s="1011"/>
      <c r="AX55" s="1011"/>
      <c r="AY55" s="1011"/>
      <c r="AZ55" s="1011"/>
      <c r="BA55" s="1011"/>
      <c r="BB55" s="1011"/>
      <c r="BC55" s="1011"/>
      <c r="BD55" s="1011"/>
      <c r="BE55" s="1011">
        <v>0</v>
      </c>
      <c r="BF55" s="1004">
        <v>0</v>
      </c>
      <c r="BG55" s="1011"/>
      <c r="BH55" s="1011"/>
      <c r="BI55" s="1011"/>
      <c r="BJ55" s="1011"/>
      <c r="BK55" s="1011"/>
      <c r="BL55" s="1011"/>
      <c r="BM55" s="1011"/>
      <c r="BN55" s="1011"/>
      <c r="BO55" s="1011"/>
      <c r="BP55" s="1011"/>
      <c r="BQ55" s="1011"/>
      <c r="BR55" s="1011"/>
      <c r="BS55" s="1011">
        <v>0</v>
      </c>
      <c r="BT55" s="1004">
        <v>0</v>
      </c>
      <c r="BU55" s="1011">
        <v>312</v>
      </c>
      <c r="BV55" s="1004">
        <v>2177760</v>
      </c>
    </row>
    <row r="56" spans="1:74">
      <c r="A56" s="1000" t="s">
        <v>2055</v>
      </c>
      <c r="B56" s="751">
        <v>0</v>
      </c>
      <c r="C56" s="1011"/>
      <c r="D56" s="1011"/>
      <c r="E56" s="1011"/>
      <c r="F56" s="1011"/>
      <c r="G56" s="1011"/>
      <c r="H56" s="1011"/>
      <c r="I56" s="1011"/>
      <c r="J56" s="1011"/>
      <c r="K56" s="1011"/>
      <c r="L56" s="1011"/>
      <c r="M56" s="1011"/>
      <c r="N56" s="1011"/>
      <c r="O56" s="1011">
        <v>0</v>
      </c>
      <c r="P56" s="1004">
        <v>0</v>
      </c>
      <c r="Q56" s="1011"/>
      <c r="R56" s="1011"/>
      <c r="S56" s="1011"/>
      <c r="T56" s="1011"/>
      <c r="U56" s="1011"/>
      <c r="V56" s="1011"/>
      <c r="W56" s="1011"/>
      <c r="X56" s="1011"/>
      <c r="Y56" s="1011">
        <v>20</v>
      </c>
      <c r="Z56" s="1011">
        <v>2</v>
      </c>
      <c r="AA56" s="1011">
        <v>2</v>
      </c>
      <c r="AB56" s="1011">
        <v>3</v>
      </c>
      <c r="AC56" s="1011">
        <v>85</v>
      </c>
      <c r="AD56" s="1004">
        <v>593300</v>
      </c>
      <c r="AE56" s="1011">
        <v>17</v>
      </c>
      <c r="AF56" s="1011">
        <v>19</v>
      </c>
      <c r="AG56" s="1011">
        <v>20</v>
      </c>
      <c r="AH56" s="1011">
        <v>22</v>
      </c>
      <c r="AI56" s="1011">
        <v>21</v>
      </c>
      <c r="AJ56" s="1011">
        <v>19</v>
      </c>
      <c r="AK56" s="1011">
        <v>23</v>
      </c>
      <c r="AL56" s="1011">
        <v>22</v>
      </c>
      <c r="AM56" s="1011">
        <v>21</v>
      </c>
      <c r="AN56" s="1011">
        <v>23</v>
      </c>
      <c r="AO56" s="1011">
        <v>20</v>
      </c>
      <c r="AP56" s="1011"/>
      <c r="AQ56" s="1011">
        <v>227</v>
      </c>
      <c r="AR56" s="1004">
        <v>1584460</v>
      </c>
      <c r="AS56" s="1011"/>
      <c r="AT56" s="1011"/>
      <c r="AU56" s="1011"/>
      <c r="AV56" s="1011"/>
      <c r="AW56" s="1011"/>
      <c r="AX56" s="1011"/>
      <c r="AY56" s="1011"/>
      <c r="AZ56" s="1011"/>
      <c r="BA56" s="1011"/>
      <c r="BB56" s="1011"/>
      <c r="BC56" s="1011"/>
      <c r="BD56" s="1011"/>
      <c r="BE56" s="1011">
        <v>0</v>
      </c>
      <c r="BF56" s="1004">
        <v>0</v>
      </c>
      <c r="BG56" s="1011"/>
      <c r="BH56" s="1011"/>
      <c r="BI56" s="1011"/>
      <c r="BJ56" s="1011"/>
      <c r="BK56" s="1011"/>
      <c r="BL56" s="1011"/>
      <c r="BM56" s="1011"/>
      <c r="BN56" s="1011"/>
      <c r="BO56" s="1011"/>
      <c r="BP56" s="1011"/>
      <c r="BQ56" s="1011"/>
      <c r="BR56" s="1011"/>
      <c r="BS56" s="1011">
        <v>0</v>
      </c>
      <c r="BT56" s="1004">
        <v>0</v>
      </c>
      <c r="BU56" s="1011">
        <v>312</v>
      </c>
      <c r="BV56" s="1004">
        <v>2177760</v>
      </c>
    </row>
    <row r="57" spans="1:74">
      <c r="A57" s="1001" t="s">
        <v>58</v>
      </c>
      <c r="B57" s="751">
        <v>0</v>
      </c>
      <c r="C57" s="1011"/>
      <c r="D57" s="1011"/>
      <c r="E57" s="1011"/>
      <c r="F57" s="1011"/>
      <c r="G57" s="1011"/>
      <c r="H57" s="1011"/>
      <c r="I57" s="1011"/>
      <c r="J57" s="1011"/>
      <c r="K57" s="1011"/>
      <c r="L57" s="1011"/>
      <c r="M57" s="1011"/>
      <c r="N57" s="1011"/>
      <c r="O57" s="1011">
        <v>0</v>
      </c>
      <c r="P57" s="1004">
        <v>0</v>
      </c>
      <c r="Q57" s="1011"/>
      <c r="R57" s="1011"/>
      <c r="S57" s="1011"/>
      <c r="T57" s="1011"/>
      <c r="U57" s="1011"/>
      <c r="V57" s="1011"/>
      <c r="W57" s="1011"/>
      <c r="X57" s="1011"/>
      <c r="Y57" s="1011">
        <v>20</v>
      </c>
      <c r="Z57" s="1011">
        <v>2</v>
      </c>
      <c r="AA57" s="1011">
        <v>2</v>
      </c>
      <c r="AB57" s="1011">
        <v>3</v>
      </c>
      <c r="AC57" s="1011">
        <v>85</v>
      </c>
      <c r="AD57" s="1004">
        <v>593300</v>
      </c>
      <c r="AE57" s="1011">
        <v>17</v>
      </c>
      <c r="AF57" s="1011">
        <v>19</v>
      </c>
      <c r="AG57" s="1011">
        <v>20</v>
      </c>
      <c r="AH57" s="1011">
        <v>22</v>
      </c>
      <c r="AI57" s="1011">
        <v>21</v>
      </c>
      <c r="AJ57" s="1011">
        <v>19</v>
      </c>
      <c r="AK57" s="1011">
        <v>23</v>
      </c>
      <c r="AL57" s="1011">
        <v>22</v>
      </c>
      <c r="AM57" s="1011">
        <v>21</v>
      </c>
      <c r="AN57" s="1011">
        <v>23</v>
      </c>
      <c r="AO57" s="1011">
        <v>20</v>
      </c>
      <c r="AP57" s="1011"/>
      <c r="AQ57" s="1011">
        <v>227</v>
      </c>
      <c r="AR57" s="1004">
        <v>1584460</v>
      </c>
      <c r="AS57" s="1011"/>
      <c r="AT57" s="1011"/>
      <c r="AU57" s="1011"/>
      <c r="AV57" s="1011"/>
      <c r="AW57" s="1011"/>
      <c r="AX57" s="1011"/>
      <c r="AY57" s="1011"/>
      <c r="AZ57" s="1011"/>
      <c r="BA57" s="1011"/>
      <c r="BB57" s="1011"/>
      <c r="BC57" s="1011"/>
      <c r="BD57" s="1011"/>
      <c r="BE57" s="1011">
        <v>0</v>
      </c>
      <c r="BF57" s="1004">
        <v>0</v>
      </c>
      <c r="BG57" s="1011"/>
      <c r="BH57" s="1011"/>
      <c r="BI57" s="1011"/>
      <c r="BJ57" s="1011"/>
      <c r="BK57" s="1011"/>
      <c r="BL57" s="1011"/>
      <c r="BM57" s="1011"/>
      <c r="BN57" s="1011"/>
      <c r="BO57" s="1011"/>
      <c r="BP57" s="1011"/>
      <c r="BQ57" s="1011"/>
      <c r="BR57" s="1011"/>
      <c r="BS57" s="1011">
        <v>0</v>
      </c>
      <c r="BT57" s="1004">
        <v>0</v>
      </c>
      <c r="BU57" s="1011">
        <v>312</v>
      </c>
      <c r="BV57" s="1004">
        <v>2177760</v>
      </c>
    </row>
    <row r="58" spans="1:74">
      <c r="A58" s="1002" t="s">
        <v>1735</v>
      </c>
      <c r="B58" s="751">
        <v>0</v>
      </c>
      <c r="C58" s="1011"/>
      <c r="D58" s="1011"/>
      <c r="E58" s="1011"/>
      <c r="F58" s="1011"/>
      <c r="G58" s="1011"/>
      <c r="H58" s="1011"/>
      <c r="I58" s="1011"/>
      <c r="J58" s="1011"/>
      <c r="K58" s="1011"/>
      <c r="L58" s="1011"/>
      <c r="M58" s="1011"/>
      <c r="N58" s="1011"/>
      <c r="O58" s="1011">
        <v>0</v>
      </c>
      <c r="P58" s="1004">
        <v>0</v>
      </c>
      <c r="Q58" s="1011"/>
      <c r="R58" s="1011"/>
      <c r="S58" s="1011"/>
      <c r="T58" s="1011"/>
      <c r="U58" s="1011"/>
      <c r="V58" s="1011"/>
      <c r="W58" s="1011"/>
      <c r="X58" s="1011"/>
      <c r="Y58" s="1011">
        <v>20</v>
      </c>
      <c r="Z58" s="1011">
        <v>2</v>
      </c>
      <c r="AA58" s="1011">
        <v>2</v>
      </c>
      <c r="AB58" s="1011">
        <v>3</v>
      </c>
      <c r="AC58" s="1011">
        <v>85</v>
      </c>
      <c r="AD58" s="1004">
        <v>593300</v>
      </c>
      <c r="AE58" s="1011">
        <v>17</v>
      </c>
      <c r="AF58" s="1011">
        <v>19</v>
      </c>
      <c r="AG58" s="1011">
        <v>20</v>
      </c>
      <c r="AH58" s="1011">
        <v>22</v>
      </c>
      <c r="AI58" s="1011">
        <v>21</v>
      </c>
      <c r="AJ58" s="1011">
        <v>19</v>
      </c>
      <c r="AK58" s="1011">
        <v>23</v>
      </c>
      <c r="AL58" s="1011">
        <v>22</v>
      </c>
      <c r="AM58" s="1011">
        <v>21</v>
      </c>
      <c r="AN58" s="1011">
        <v>23</v>
      </c>
      <c r="AO58" s="1011">
        <v>20</v>
      </c>
      <c r="AP58" s="1011"/>
      <c r="AQ58" s="1011">
        <v>227</v>
      </c>
      <c r="AR58" s="1004">
        <v>1584460</v>
      </c>
      <c r="AS58" s="1011"/>
      <c r="AT58" s="1011"/>
      <c r="AU58" s="1011"/>
      <c r="AV58" s="1011"/>
      <c r="AW58" s="1011"/>
      <c r="AX58" s="1011"/>
      <c r="AY58" s="1011"/>
      <c r="AZ58" s="1011"/>
      <c r="BA58" s="1011"/>
      <c r="BB58" s="1011"/>
      <c r="BC58" s="1011"/>
      <c r="BD58" s="1011"/>
      <c r="BE58" s="1011">
        <v>0</v>
      </c>
      <c r="BF58" s="1004">
        <v>0</v>
      </c>
      <c r="BG58" s="1011"/>
      <c r="BH58" s="1011"/>
      <c r="BI58" s="1011"/>
      <c r="BJ58" s="1011"/>
      <c r="BK58" s="1011"/>
      <c r="BL58" s="1011"/>
      <c r="BM58" s="1011"/>
      <c r="BN58" s="1011"/>
      <c r="BO58" s="1011"/>
      <c r="BP58" s="1011"/>
      <c r="BQ58" s="1011"/>
      <c r="BR58" s="1011"/>
      <c r="BS58" s="1011">
        <v>0</v>
      </c>
      <c r="BT58" s="1004">
        <v>0</v>
      </c>
      <c r="BU58" s="1011">
        <v>312</v>
      </c>
      <c r="BV58" s="1004">
        <v>2177760</v>
      </c>
    </row>
    <row r="59" spans="1:74">
      <c r="A59" s="1003" t="s">
        <v>1625</v>
      </c>
      <c r="B59" s="751">
        <v>0</v>
      </c>
      <c r="C59" s="1011"/>
      <c r="D59" s="1011"/>
      <c r="E59" s="1011"/>
      <c r="F59" s="1011"/>
      <c r="G59" s="1011"/>
      <c r="H59" s="1011"/>
      <c r="I59" s="1011"/>
      <c r="J59" s="1011"/>
      <c r="K59" s="1011"/>
      <c r="L59" s="1011"/>
      <c r="M59" s="1011"/>
      <c r="N59" s="1011"/>
      <c r="O59" s="1011">
        <v>0</v>
      </c>
      <c r="P59" s="1004">
        <v>0</v>
      </c>
      <c r="Q59" s="1011"/>
      <c r="R59" s="1011"/>
      <c r="S59" s="1011"/>
      <c r="T59" s="1011"/>
      <c r="U59" s="1011"/>
      <c r="V59" s="1011"/>
      <c r="W59" s="1011"/>
      <c r="X59" s="1011"/>
      <c r="Y59" s="1011">
        <v>20</v>
      </c>
      <c r="Z59" s="1011">
        <v>2</v>
      </c>
      <c r="AA59" s="1011">
        <v>2</v>
      </c>
      <c r="AB59" s="1011">
        <v>3</v>
      </c>
      <c r="AC59" s="1011">
        <v>85</v>
      </c>
      <c r="AD59" s="1004">
        <v>593300</v>
      </c>
      <c r="AE59" s="1011">
        <v>17</v>
      </c>
      <c r="AF59" s="1011">
        <v>19</v>
      </c>
      <c r="AG59" s="1011">
        <v>20</v>
      </c>
      <c r="AH59" s="1011">
        <v>22</v>
      </c>
      <c r="AI59" s="1011">
        <v>21</v>
      </c>
      <c r="AJ59" s="1011">
        <v>19</v>
      </c>
      <c r="AK59" s="1011">
        <v>23</v>
      </c>
      <c r="AL59" s="1011">
        <v>22</v>
      </c>
      <c r="AM59" s="1011">
        <v>21</v>
      </c>
      <c r="AN59" s="1011">
        <v>23</v>
      </c>
      <c r="AO59" s="1011">
        <v>20</v>
      </c>
      <c r="AP59" s="1011"/>
      <c r="AQ59" s="1011">
        <v>227</v>
      </c>
      <c r="AR59" s="1004">
        <v>1584460</v>
      </c>
      <c r="AS59" s="1011"/>
      <c r="AT59" s="1011"/>
      <c r="AU59" s="1011"/>
      <c r="AV59" s="1011"/>
      <c r="AW59" s="1011"/>
      <c r="AX59" s="1011"/>
      <c r="AY59" s="1011"/>
      <c r="AZ59" s="1011"/>
      <c r="BA59" s="1011"/>
      <c r="BB59" s="1011"/>
      <c r="BC59" s="1011"/>
      <c r="BD59" s="1011"/>
      <c r="BE59" s="1011">
        <v>0</v>
      </c>
      <c r="BF59" s="1004">
        <v>0</v>
      </c>
      <c r="BG59" s="1011"/>
      <c r="BH59" s="1011"/>
      <c r="BI59" s="1011"/>
      <c r="BJ59" s="1011"/>
      <c r="BK59" s="1011"/>
      <c r="BL59" s="1011"/>
      <c r="BM59" s="1011"/>
      <c r="BN59" s="1011"/>
      <c r="BO59" s="1011"/>
      <c r="BP59" s="1011"/>
      <c r="BQ59" s="1011"/>
      <c r="BR59" s="1011"/>
      <c r="BS59" s="1011">
        <v>0</v>
      </c>
      <c r="BT59" s="1004">
        <v>0</v>
      </c>
      <c r="BU59" s="1011">
        <v>312</v>
      </c>
      <c r="BV59" s="1004">
        <v>2177760</v>
      </c>
    </row>
    <row r="60" spans="1:74">
      <c r="A60" s="1000" t="s">
        <v>2056</v>
      </c>
      <c r="B60" s="751">
        <v>0</v>
      </c>
      <c r="C60" s="1011"/>
      <c r="D60" s="1011"/>
      <c r="E60" s="1011"/>
      <c r="F60" s="1011"/>
      <c r="G60" s="1011"/>
      <c r="H60" s="1011"/>
      <c r="I60" s="1011"/>
      <c r="J60" s="1011"/>
      <c r="K60" s="1011"/>
      <c r="L60" s="1011"/>
      <c r="M60" s="1011"/>
      <c r="N60" s="1011"/>
      <c r="O60" s="1011">
        <v>0</v>
      </c>
      <c r="P60" s="1004">
        <v>0</v>
      </c>
      <c r="Q60" s="1011"/>
      <c r="R60" s="1011">
        <v>5</v>
      </c>
      <c r="S60" s="1011">
        <v>10</v>
      </c>
      <c r="T60" s="1011">
        <v>19</v>
      </c>
      <c r="U60" s="1011">
        <v>5</v>
      </c>
      <c r="V60" s="1011"/>
      <c r="W60" s="1011"/>
      <c r="X60" s="1011"/>
      <c r="Y60" s="1011"/>
      <c r="Z60" s="1011"/>
      <c r="AA60" s="1011"/>
      <c r="AB60" s="1011"/>
      <c r="AC60" s="1011">
        <v>39</v>
      </c>
      <c r="AD60" s="1004">
        <v>352950</v>
      </c>
      <c r="AE60" s="1011"/>
      <c r="AF60" s="1011">
        <v>5</v>
      </c>
      <c r="AG60" s="1011"/>
      <c r="AH60" s="1011"/>
      <c r="AI60" s="1011"/>
      <c r="AJ60" s="1011"/>
      <c r="AK60" s="1011"/>
      <c r="AL60" s="1011"/>
      <c r="AM60" s="1011"/>
      <c r="AN60" s="1011"/>
      <c r="AO60" s="1011"/>
      <c r="AP60" s="1011"/>
      <c r="AQ60" s="1011">
        <v>5</v>
      </c>
      <c r="AR60" s="1004">
        <v>45250</v>
      </c>
      <c r="AS60" s="1011"/>
      <c r="AT60" s="1011"/>
      <c r="AU60" s="1011"/>
      <c r="AV60" s="1011"/>
      <c r="AW60" s="1011"/>
      <c r="AX60" s="1011"/>
      <c r="AY60" s="1011"/>
      <c r="AZ60" s="1011"/>
      <c r="BA60" s="1011"/>
      <c r="BB60" s="1011"/>
      <c r="BC60" s="1011"/>
      <c r="BD60" s="1011"/>
      <c r="BE60" s="1011">
        <v>0</v>
      </c>
      <c r="BF60" s="1004">
        <v>0</v>
      </c>
      <c r="BG60" s="1011"/>
      <c r="BH60" s="1011"/>
      <c r="BI60" s="1011"/>
      <c r="BJ60" s="1011"/>
      <c r="BK60" s="1011"/>
      <c r="BL60" s="1011"/>
      <c r="BM60" s="1011"/>
      <c r="BN60" s="1011"/>
      <c r="BO60" s="1011"/>
      <c r="BP60" s="1011"/>
      <c r="BQ60" s="1011"/>
      <c r="BR60" s="1011"/>
      <c r="BS60" s="1011">
        <v>0</v>
      </c>
      <c r="BT60" s="1004">
        <v>0</v>
      </c>
      <c r="BU60" s="1011">
        <v>44</v>
      </c>
      <c r="BV60" s="1004">
        <v>398200</v>
      </c>
    </row>
    <row r="61" spans="1:74">
      <c r="A61" s="1001" t="s">
        <v>59</v>
      </c>
      <c r="B61" s="751">
        <v>0</v>
      </c>
      <c r="C61" s="1011"/>
      <c r="D61" s="1011"/>
      <c r="E61" s="1011"/>
      <c r="F61" s="1011"/>
      <c r="G61" s="1011"/>
      <c r="H61" s="1011"/>
      <c r="I61" s="1011"/>
      <c r="J61" s="1011"/>
      <c r="K61" s="1011"/>
      <c r="L61" s="1011"/>
      <c r="M61" s="1011"/>
      <c r="N61" s="1011"/>
      <c r="O61" s="1011">
        <v>0</v>
      </c>
      <c r="P61" s="1004">
        <v>0</v>
      </c>
      <c r="Q61" s="1011"/>
      <c r="R61" s="1011">
        <v>5</v>
      </c>
      <c r="S61" s="1011">
        <v>10</v>
      </c>
      <c r="T61" s="1011">
        <v>19</v>
      </c>
      <c r="U61" s="1011">
        <v>5</v>
      </c>
      <c r="V61" s="1011"/>
      <c r="W61" s="1011"/>
      <c r="X61" s="1011"/>
      <c r="Y61" s="1011"/>
      <c r="Z61" s="1011"/>
      <c r="AA61" s="1011"/>
      <c r="AB61" s="1011"/>
      <c r="AC61" s="1011">
        <v>39</v>
      </c>
      <c r="AD61" s="1004">
        <v>352950</v>
      </c>
      <c r="AE61" s="1011"/>
      <c r="AF61" s="1011">
        <v>5</v>
      </c>
      <c r="AG61" s="1011"/>
      <c r="AH61" s="1011"/>
      <c r="AI61" s="1011"/>
      <c r="AJ61" s="1011"/>
      <c r="AK61" s="1011"/>
      <c r="AL61" s="1011"/>
      <c r="AM61" s="1011"/>
      <c r="AN61" s="1011"/>
      <c r="AO61" s="1011"/>
      <c r="AP61" s="1011"/>
      <c r="AQ61" s="1011">
        <v>5</v>
      </c>
      <c r="AR61" s="1004">
        <v>45250</v>
      </c>
      <c r="AS61" s="1011"/>
      <c r="AT61" s="1011"/>
      <c r="AU61" s="1011"/>
      <c r="AV61" s="1011"/>
      <c r="AW61" s="1011"/>
      <c r="AX61" s="1011"/>
      <c r="AY61" s="1011"/>
      <c r="AZ61" s="1011"/>
      <c r="BA61" s="1011"/>
      <c r="BB61" s="1011"/>
      <c r="BC61" s="1011"/>
      <c r="BD61" s="1011"/>
      <c r="BE61" s="1011">
        <v>0</v>
      </c>
      <c r="BF61" s="1004">
        <v>0</v>
      </c>
      <c r="BG61" s="1011"/>
      <c r="BH61" s="1011"/>
      <c r="BI61" s="1011"/>
      <c r="BJ61" s="1011"/>
      <c r="BK61" s="1011"/>
      <c r="BL61" s="1011"/>
      <c r="BM61" s="1011"/>
      <c r="BN61" s="1011"/>
      <c r="BO61" s="1011"/>
      <c r="BP61" s="1011"/>
      <c r="BQ61" s="1011"/>
      <c r="BR61" s="1011"/>
      <c r="BS61" s="1011">
        <v>0</v>
      </c>
      <c r="BT61" s="1004">
        <v>0</v>
      </c>
      <c r="BU61" s="1011">
        <v>44</v>
      </c>
      <c r="BV61" s="1004">
        <v>398200</v>
      </c>
    </row>
    <row r="62" spans="1:74">
      <c r="A62" s="1002" t="s">
        <v>1735</v>
      </c>
      <c r="B62" s="751">
        <v>0</v>
      </c>
      <c r="C62" s="1011"/>
      <c r="D62" s="1011"/>
      <c r="E62" s="1011"/>
      <c r="F62" s="1011"/>
      <c r="G62" s="1011"/>
      <c r="H62" s="1011"/>
      <c r="I62" s="1011"/>
      <c r="J62" s="1011"/>
      <c r="K62" s="1011"/>
      <c r="L62" s="1011"/>
      <c r="M62" s="1011"/>
      <c r="N62" s="1011"/>
      <c r="O62" s="1011">
        <v>0</v>
      </c>
      <c r="P62" s="1004">
        <v>0</v>
      </c>
      <c r="Q62" s="1011"/>
      <c r="R62" s="1011">
        <v>5</v>
      </c>
      <c r="S62" s="1011">
        <v>10</v>
      </c>
      <c r="T62" s="1011">
        <v>19</v>
      </c>
      <c r="U62" s="1011">
        <v>5</v>
      </c>
      <c r="V62" s="1011"/>
      <c r="W62" s="1011"/>
      <c r="X62" s="1011"/>
      <c r="Y62" s="1011"/>
      <c r="Z62" s="1011"/>
      <c r="AA62" s="1011"/>
      <c r="AB62" s="1011"/>
      <c r="AC62" s="1011">
        <v>39</v>
      </c>
      <c r="AD62" s="1004">
        <v>352950</v>
      </c>
      <c r="AE62" s="1011"/>
      <c r="AF62" s="1011">
        <v>5</v>
      </c>
      <c r="AG62" s="1011"/>
      <c r="AH62" s="1011"/>
      <c r="AI62" s="1011"/>
      <c r="AJ62" s="1011"/>
      <c r="AK62" s="1011"/>
      <c r="AL62" s="1011"/>
      <c r="AM62" s="1011"/>
      <c r="AN62" s="1011"/>
      <c r="AO62" s="1011"/>
      <c r="AP62" s="1011"/>
      <c r="AQ62" s="1011">
        <v>5</v>
      </c>
      <c r="AR62" s="1004">
        <v>45250</v>
      </c>
      <c r="AS62" s="1011"/>
      <c r="AT62" s="1011"/>
      <c r="AU62" s="1011"/>
      <c r="AV62" s="1011"/>
      <c r="AW62" s="1011"/>
      <c r="AX62" s="1011"/>
      <c r="AY62" s="1011"/>
      <c r="AZ62" s="1011"/>
      <c r="BA62" s="1011"/>
      <c r="BB62" s="1011"/>
      <c r="BC62" s="1011"/>
      <c r="BD62" s="1011"/>
      <c r="BE62" s="1011">
        <v>0</v>
      </c>
      <c r="BF62" s="1004">
        <v>0</v>
      </c>
      <c r="BG62" s="1011"/>
      <c r="BH62" s="1011"/>
      <c r="BI62" s="1011"/>
      <c r="BJ62" s="1011"/>
      <c r="BK62" s="1011"/>
      <c r="BL62" s="1011"/>
      <c r="BM62" s="1011"/>
      <c r="BN62" s="1011"/>
      <c r="BO62" s="1011"/>
      <c r="BP62" s="1011"/>
      <c r="BQ62" s="1011"/>
      <c r="BR62" s="1011"/>
      <c r="BS62" s="1011">
        <v>0</v>
      </c>
      <c r="BT62" s="1004">
        <v>0</v>
      </c>
      <c r="BU62" s="1011">
        <v>44</v>
      </c>
      <c r="BV62" s="1004">
        <v>398200</v>
      </c>
    </row>
    <row r="63" spans="1:74" ht="12" thickBot="1">
      <c r="A63" s="1003" t="s">
        <v>1628</v>
      </c>
      <c r="B63" s="751">
        <v>0</v>
      </c>
      <c r="C63" s="1011"/>
      <c r="D63" s="1011"/>
      <c r="E63" s="1011"/>
      <c r="F63" s="1011"/>
      <c r="G63" s="1011"/>
      <c r="H63" s="1011"/>
      <c r="I63" s="1011"/>
      <c r="J63" s="1011"/>
      <c r="K63" s="1011"/>
      <c r="L63" s="1011"/>
      <c r="M63" s="1011"/>
      <c r="N63" s="1011"/>
      <c r="O63" s="1011">
        <v>0</v>
      </c>
      <c r="P63" s="1004">
        <v>0</v>
      </c>
      <c r="Q63" s="1011"/>
      <c r="R63" s="1011">
        <v>5</v>
      </c>
      <c r="S63" s="1011">
        <v>10</v>
      </c>
      <c r="T63" s="1011">
        <v>19</v>
      </c>
      <c r="U63" s="1011">
        <v>5</v>
      </c>
      <c r="V63" s="1011"/>
      <c r="W63" s="1011"/>
      <c r="X63" s="1011"/>
      <c r="Y63" s="1011"/>
      <c r="Z63" s="1011"/>
      <c r="AA63" s="1011"/>
      <c r="AB63" s="1011"/>
      <c r="AC63" s="1011">
        <v>39</v>
      </c>
      <c r="AD63" s="1004">
        <v>352950</v>
      </c>
      <c r="AE63" s="1011"/>
      <c r="AF63" s="1011">
        <v>5</v>
      </c>
      <c r="AG63" s="1011"/>
      <c r="AH63" s="1011"/>
      <c r="AI63" s="1011"/>
      <c r="AJ63" s="1011"/>
      <c r="AK63" s="1011"/>
      <c r="AL63" s="1011"/>
      <c r="AM63" s="1011"/>
      <c r="AN63" s="1011"/>
      <c r="AO63" s="1011"/>
      <c r="AP63" s="1011"/>
      <c r="AQ63" s="1011">
        <v>5</v>
      </c>
      <c r="AR63" s="1004">
        <v>45250</v>
      </c>
      <c r="AS63" s="1011"/>
      <c r="AT63" s="1011"/>
      <c r="AU63" s="1011"/>
      <c r="AV63" s="1011"/>
      <c r="AW63" s="1011"/>
      <c r="AX63" s="1011"/>
      <c r="AY63" s="1011"/>
      <c r="AZ63" s="1011"/>
      <c r="BA63" s="1011"/>
      <c r="BB63" s="1011"/>
      <c r="BC63" s="1011"/>
      <c r="BD63" s="1011"/>
      <c r="BE63" s="1011">
        <v>0</v>
      </c>
      <c r="BF63" s="1004">
        <v>0</v>
      </c>
      <c r="BG63" s="1011"/>
      <c r="BH63" s="1011"/>
      <c r="BI63" s="1011"/>
      <c r="BJ63" s="1011"/>
      <c r="BK63" s="1011"/>
      <c r="BL63" s="1011"/>
      <c r="BM63" s="1011"/>
      <c r="BN63" s="1011"/>
      <c r="BO63" s="1011"/>
      <c r="BP63" s="1011"/>
      <c r="BQ63" s="1011"/>
      <c r="BR63" s="1011"/>
      <c r="BS63" s="1011">
        <v>0</v>
      </c>
      <c r="BT63" s="1004">
        <v>0</v>
      </c>
      <c r="BU63" s="1011">
        <v>44</v>
      </c>
      <c r="BV63" s="1004">
        <v>398200</v>
      </c>
    </row>
    <row r="64" spans="1:74" ht="12" thickBot="1">
      <c r="A64" s="1009" t="s">
        <v>1525</v>
      </c>
      <c r="B64" s="753">
        <v>4032</v>
      </c>
      <c r="C64" s="1012">
        <v>0</v>
      </c>
      <c r="D64" s="1012">
        <v>0</v>
      </c>
      <c r="E64" s="1012">
        <v>0</v>
      </c>
      <c r="F64" s="1012">
        <v>0</v>
      </c>
      <c r="G64" s="1012">
        <v>0</v>
      </c>
      <c r="H64" s="1012">
        <v>0</v>
      </c>
      <c r="I64" s="1012">
        <v>0</v>
      </c>
      <c r="J64" s="1012">
        <v>0</v>
      </c>
      <c r="K64" s="1012">
        <v>0</v>
      </c>
      <c r="L64" s="1012">
        <v>0</v>
      </c>
      <c r="M64" s="1012">
        <v>0</v>
      </c>
      <c r="N64" s="1012">
        <v>0</v>
      </c>
      <c r="O64" s="1012">
        <v>0</v>
      </c>
      <c r="P64" s="1005">
        <v>4034</v>
      </c>
      <c r="Q64" s="1012">
        <v>0</v>
      </c>
      <c r="R64" s="1012">
        <v>526.13</v>
      </c>
      <c r="S64" s="1012">
        <v>3111.83</v>
      </c>
      <c r="T64" s="1012">
        <v>5139.58</v>
      </c>
      <c r="U64" s="1012">
        <v>5198.83</v>
      </c>
      <c r="V64" s="1012">
        <v>5070.25</v>
      </c>
      <c r="W64" s="1012">
        <v>4587.45</v>
      </c>
      <c r="X64" s="1012">
        <v>22</v>
      </c>
      <c r="Y64" s="1012">
        <v>4505.33</v>
      </c>
      <c r="Z64" s="1012">
        <v>34</v>
      </c>
      <c r="AA64" s="1012">
        <v>28</v>
      </c>
      <c r="AB64" s="1012">
        <v>27</v>
      </c>
      <c r="AC64" s="1012">
        <v>4344</v>
      </c>
      <c r="AD64" s="1005">
        <v>67241716.49000001</v>
      </c>
      <c r="AE64" s="1012">
        <v>4118.92</v>
      </c>
      <c r="AF64" s="1012">
        <v>4559.07</v>
      </c>
      <c r="AG64" s="1012">
        <v>5225.12</v>
      </c>
      <c r="AH64" s="1012">
        <v>5134.74</v>
      </c>
      <c r="AI64" s="1012">
        <v>4748.51</v>
      </c>
      <c r="AJ64" s="1012">
        <v>4243.66</v>
      </c>
      <c r="AK64" s="1012">
        <v>4917.66</v>
      </c>
      <c r="AL64" s="1012">
        <v>5259.77</v>
      </c>
      <c r="AM64" s="1012">
        <v>4710.63</v>
      </c>
      <c r="AN64" s="1012">
        <v>5070.1399999999994</v>
      </c>
      <c r="AO64" s="1012">
        <v>4344.71</v>
      </c>
      <c r="AP64" s="1012">
        <v>2217.2600000000002</v>
      </c>
      <c r="AQ64" s="1012">
        <v>5163</v>
      </c>
      <c r="AR64" s="1005">
        <v>71893345.189999998</v>
      </c>
      <c r="AS64" s="1012">
        <v>612.26</v>
      </c>
      <c r="AT64" s="1012">
        <v>0</v>
      </c>
      <c r="AU64" s="1012">
        <v>0</v>
      </c>
      <c r="AV64" s="1012">
        <v>0</v>
      </c>
      <c r="AW64" s="1012">
        <v>0</v>
      </c>
      <c r="AX64" s="1012">
        <v>0</v>
      </c>
      <c r="AY64" s="1012">
        <v>0</v>
      </c>
      <c r="AZ64" s="1012">
        <v>0</v>
      </c>
      <c r="BA64" s="1012">
        <v>0</v>
      </c>
      <c r="BB64" s="1012">
        <v>0</v>
      </c>
      <c r="BC64" s="1012">
        <v>0</v>
      </c>
      <c r="BD64" s="1012">
        <v>0</v>
      </c>
      <c r="BE64" s="1012">
        <v>0</v>
      </c>
      <c r="BF64" s="1005">
        <v>4652.26</v>
      </c>
      <c r="BG64" s="1012">
        <v>33.86</v>
      </c>
      <c r="BH64" s="1012">
        <v>31.86</v>
      </c>
      <c r="BI64" s="1012">
        <v>0</v>
      </c>
      <c r="BJ64" s="1012">
        <v>0</v>
      </c>
      <c r="BK64" s="1012">
        <v>0</v>
      </c>
      <c r="BL64" s="1012">
        <v>0</v>
      </c>
      <c r="BM64" s="1012">
        <v>0</v>
      </c>
      <c r="BN64" s="1012">
        <v>0</v>
      </c>
      <c r="BO64" s="1012">
        <v>0</v>
      </c>
      <c r="BP64" s="1012">
        <v>0</v>
      </c>
      <c r="BQ64" s="1012">
        <v>0</v>
      </c>
      <c r="BR64" s="1012">
        <v>0</v>
      </c>
      <c r="BS64" s="1012">
        <v>6</v>
      </c>
      <c r="BT64" s="1005">
        <v>99685.72</v>
      </c>
      <c r="BU64" s="1012">
        <v>9513</v>
      </c>
      <c r="BV64" s="1005">
        <v>139130490</v>
      </c>
    </row>
  </sheetData>
  <pageMargins left="0.7" right="0.7" top="0.75" bottom="0.75" header="0.3" footer="0.3"/>
  <pageSetup paperSize="9" scale="20" orientation="landscape"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
    <tabColor theme="9" tint="0.59999389629810485"/>
    <pageSetUpPr fitToPage="1"/>
  </sheetPr>
  <dimension ref="A2:EA137"/>
  <sheetViews>
    <sheetView topLeftCell="BP1" zoomScale="60" zoomScaleNormal="60" workbookViewId="0">
      <pane ySplit="7" topLeftCell="A110" activePane="bottomLeft" state="frozen"/>
      <selection pane="bottomLeft" activeCell="BN121" sqref="BN121"/>
    </sheetView>
  </sheetViews>
  <sheetFormatPr defaultColWidth="9.140625" defaultRowHeight="15.75"/>
  <cols>
    <col min="1" max="1" width="9.5703125" style="263" customWidth="1"/>
    <col min="2" max="2" width="27.85546875" style="116" customWidth="1"/>
    <col min="3" max="3" width="84.140625" style="16" customWidth="1"/>
    <col min="4" max="4" width="33.7109375" style="16" customWidth="1"/>
    <col min="5" max="5" width="18.7109375" style="16" customWidth="1"/>
    <col min="6" max="6" width="18.28515625" style="48" customWidth="1"/>
    <col min="7" max="7" width="18.28515625" style="17" customWidth="1"/>
    <col min="8" max="8" width="18.5703125" style="18" customWidth="1"/>
    <col min="9" max="16" width="19.85546875" style="17" customWidth="1"/>
    <col min="17" max="17" width="13.140625" style="46" customWidth="1"/>
    <col min="18" max="18" width="13.5703125" style="16" customWidth="1"/>
    <col min="19" max="19" width="7.140625" style="46" customWidth="1"/>
    <col min="20" max="20" width="9.140625" style="46" customWidth="1"/>
    <col min="21" max="21" width="20.140625" style="270" customWidth="1"/>
    <col min="22" max="22" width="5.140625" style="46" customWidth="1"/>
    <col min="23" max="23" width="5.140625" style="28" customWidth="1"/>
    <col min="24" max="34" width="5.140625" style="46" customWidth="1"/>
    <col min="35" max="35" width="5.7109375" style="46" customWidth="1"/>
    <col min="36" max="36" width="20.140625" style="270" customWidth="1"/>
    <col min="37" max="50" width="5.28515625" style="46" customWidth="1"/>
    <col min="51" max="51" width="17.7109375" style="46" bestFit="1" customWidth="1"/>
    <col min="52" max="65" width="5.7109375" style="46" customWidth="1"/>
    <col min="66" max="66" width="16.140625" style="46" bestFit="1" customWidth="1"/>
    <col min="67" max="80" width="5.5703125" style="46" customWidth="1"/>
    <col min="81" max="81" width="16.140625" style="270" bestFit="1" customWidth="1"/>
    <col min="82" max="95" width="6.140625" style="46" customWidth="1"/>
    <col min="96" max="96" width="16.140625" style="270" bestFit="1" customWidth="1"/>
    <col min="97" max="97" width="9.140625" style="46" customWidth="1"/>
    <col min="98" max="98" width="8.7109375" style="46" customWidth="1"/>
    <col min="99" max="99" width="18.85546875" style="270" customWidth="1"/>
    <col min="100" max="101" width="14.7109375" style="16" customWidth="1"/>
    <col min="102" max="102" width="17.85546875" style="16" customWidth="1"/>
    <col min="103" max="103" width="9.140625" style="16"/>
    <col min="104" max="104" width="13.7109375" style="16" customWidth="1"/>
    <col min="105" max="105" width="13.140625" style="16" customWidth="1"/>
    <col min="106" max="16384" width="9.140625" style="16"/>
  </cols>
  <sheetData>
    <row r="2" spans="1:102" ht="11.25" customHeight="1">
      <c r="A2" s="295"/>
      <c r="B2" s="166"/>
      <c r="C2" s="15"/>
      <c r="V2" s="311" t="s">
        <v>64</v>
      </c>
      <c r="AK2" s="311" t="s">
        <v>64</v>
      </c>
      <c r="AL2" s="28"/>
      <c r="AZ2" s="311" t="s">
        <v>64</v>
      </c>
      <c r="BA2" s="28"/>
      <c r="BO2" s="311" t="s">
        <v>64</v>
      </c>
      <c r="BP2" s="28"/>
      <c r="CD2" s="311" t="s">
        <v>64</v>
      </c>
      <c r="CE2" s="28"/>
    </row>
    <row r="3" spans="1:102" ht="11.25" customHeight="1">
      <c r="B3" s="111"/>
      <c r="C3" s="15"/>
      <c r="V3" s="311"/>
      <c r="AK3" s="311"/>
      <c r="AL3" s="28"/>
      <c r="AZ3" s="311"/>
      <c r="BA3" s="28"/>
      <c r="BO3" s="311"/>
      <c r="BP3" s="28"/>
      <c r="CD3" s="311"/>
      <c r="CE3" s="28"/>
    </row>
    <row r="4" spans="1:102" s="22" customFormat="1" ht="11.25" customHeight="1">
      <c r="A4" s="264"/>
      <c r="B4" s="515"/>
      <c r="D4" s="23"/>
      <c r="E4" s="23"/>
      <c r="F4" s="119"/>
      <c r="I4" s="123"/>
      <c r="J4" s="123"/>
      <c r="K4" s="123"/>
      <c r="L4" s="123"/>
      <c r="M4" s="123"/>
      <c r="N4" s="123"/>
      <c r="O4" s="123"/>
      <c r="P4" s="123"/>
      <c r="Q4" s="21"/>
      <c r="S4" s="379"/>
      <c r="T4" s="271"/>
      <c r="U4" s="271"/>
      <c r="V4" s="530">
        <v>17</v>
      </c>
      <c r="W4" s="531">
        <v>18</v>
      </c>
      <c r="X4" s="531">
        <v>22</v>
      </c>
      <c r="Y4" s="532">
        <v>20</v>
      </c>
      <c r="Z4" s="532">
        <v>20</v>
      </c>
      <c r="AA4" s="532">
        <v>21</v>
      </c>
      <c r="AB4" s="532">
        <v>21</v>
      </c>
      <c r="AC4" s="532">
        <v>23</v>
      </c>
      <c r="AD4" s="532">
        <v>21</v>
      </c>
      <c r="AE4" s="532">
        <v>22</v>
      </c>
      <c r="AF4" s="532">
        <v>21</v>
      </c>
      <c r="AG4" s="532">
        <v>21</v>
      </c>
      <c r="AH4" s="379"/>
      <c r="AI4" s="271"/>
      <c r="AJ4" s="271"/>
      <c r="AK4" s="531">
        <v>17</v>
      </c>
      <c r="AL4" s="531">
        <v>19</v>
      </c>
      <c r="AM4" s="531">
        <v>20</v>
      </c>
      <c r="AN4" s="532">
        <v>21</v>
      </c>
      <c r="AO4" s="532">
        <v>20</v>
      </c>
      <c r="AP4" s="532">
        <v>20</v>
      </c>
      <c r="AQ4" s="532">
        <v>22</v>
      </c>
      <c r="AR4" s="532">
        <v>23</v>
      </c>
      <c r="AS4" s="532">
        <v>20</v>
      </c>
      <c r="AT4" s="532">
        <v>23</v>
      </c>
      <c r="AU4" s="532">
        <v>21</v>
      </c>
      <c r="AV4" s="532">
        <v>21</v>
      </c>
      <c r="AW4" s="27"/>
      <c r="AX4" s="27"/>
      <c r="AY4" s="27"/>
      <c r="AZ4" s="531">
        <v>17</v>
      </c>
      <c r="BA4" s="531">
        <v>19</v>
      </c>
      <c r="BB4" s="531">
        <v>20</v>
      </c>
      <c r="BC4" s="532">
        <v>22</v>
      </c>
      <c r="BD4" s="532">
        <v>21</v>
      </c>
      <c r="BE4" s="532">
        <v>19</v>
      </c>
      <c r="BF4" s="532">
        <v>23</v>
      </c>
      <c r="BG4" s="532">
        <v>22</v>
      </c>
      <c r="BH4" s="532">
        <v>21</v>
      </c>
      <c r="BI4" s="532">
        <v>23</v>
      </c>
      <c r="BJ4" s="532">
        <v>20</v>
      </c>
      <c r="BK4" s="532">
        <v>22</v>
      </c>
      <c r="BL4" s="27"/>
      <c r="BM4" s="27"/>
      <c r="BN4" s="27"/>
      <c r="BO4" s="531">
        <v>17</v>
      </c>
      <c r="BP4" s="531">
        <v>19</v>
      </c>
      <c r="BQ4" s="531">
        <v>21</v>
      </c>
      <c r="BR4" s="532">
        <v>22</v>
      </c>
      <c r="BS4" s="532">
        <v>19</v>
      </c>
      <c r="BT4" s="532">
        <v>21</v>
      </c>
      <c r="BU4" s="532">
        <v>23</v>
      </c>
      <c r="BV4" s="532">
        <v>21</v>
      </c>
      <c r="BW4" s="532">
        <v>22</v>
      </c>
      <c r="BX4" s="532">
        <v>22</v>
      </c>
      <c r="BY4" s="532">
        <v>20</v>
      </c>
      <c r="BZ4" s="532">
        <v>23</v>
      </c>
      <c r="CA4" s="27"/>
      <c r="CB4" s="27"/>
      <c r="CC4" s="276"/>
      <c r="CD4" s="531">
        <v>14</v>
      </c>
      <c r="CE4" s="531">
        <v>19</v>
      </c>
      <c r="CF4" s="531">
        <v>22</v>
      </c>
      <c r="CG4" s="532">
        <v>22</v>
      </c>
      <c r="CH4" s="532">
        <v>19</v>
      </c>
      <c r="CI4" s="532">
        <v>21</v>
      </c>
      <c r="CJ4" s="532">
        <v>22</v>
      </c>
      <c r="CK4" s="532">
        <v>22</v>
      </c>
      <c r="CL4" s="532">
        <v>22</v>
      </c>
      <c r="CM4" s="532">
        <v>21</v>
      </c>
      <c r="CN4" s="532">
        <v>21</v>
      </c>
      <c r="CO4" s="532">
        <v>23</v>
      </c>
      <c r="CP4" s="27"/>
      <c r="CQ4" s="27"/>
      <c r="CR4" s="276"/>
      <c r="CS4" s="27"/>
      <c r="CT4" s="27"/>
      <c r="CU4" s="280"/>
    </row>
    <row r="5" spans="1:102" s="22" customFormat="1" ht="16.5" thickBot="1">
      <c r="A5" s="317"/>
      <c r="B5" s="112"/>
      <c r="C5" s="246"/>
      <c r="D5" s="23"/>
      <c r="E5" s="23"/>
      <c r="F5" s="119"/>
      <c r="I5" s="123"/>
      <c r="J5" s="123"/>
      <c r="K5" s="123"/>
      <c r="L5" s="123"/>
      <c r="M5" s="123"/>
      <c r="N5" s="123"/>
      <c r="O5" s="123"/>
      <c r="P5" s="123"/>
      <c r="Q5" s="46"/>
      <c r="R5" s="16"/>
      <c r="S5" s="46"/>
      <c r="T5" s="46"/>
      <c r="U5" s="270"/>
      <c r="V5" s="311"/>
      <c r="W5" s="28"/>
      <c r="X5" s="46"/>
      <c r="Y5" s="46"/>
      <c r="Z5" s="46"/>
      <c r="AA5" s="46"/>
      <c r="AB5" s="46"/>
      <c r="AC5" s="46"/>
      <c r="AD5" s="46"/>
      <c r="AE5" s="46"/>
      <c r="AF5" s="46"/>
      <c r="AG5" s="46"/>
      <c r="AH5" s="46"/>
      <c r="AI5" s="46"/>
      <c r="AJ5" s="270"/>
      <c r="AK5" s="311"/>
      <c r="AL5" s="28"/>
      <c r="AM5" s="46"/>
      <c r="AN5" s="46"/>
      <c r="AO5" s="46"/>
      <c r="AP5" s="46"/>
      <c r="AQ5" s="46"/>
      <c r="AR5" s="46"/>
      <c r="AS5" s="46"/>
      <c r="AT5" s="46"/>
      <c r="AU5" s="46"/>
      <c r="AV5" s="46"/>
      <c r="AW5" s="46"/>
      <c r="AX5" s="46"/>
      <c r="AY5" s="46"/>
      <c r="AZ5" s="311"/>
      <c r="BA5" s="28"/>
      <c r="BB5" s="46"/>
      <c r="BC5" s="46"/>
      <c r="BD5" s="46"/>
      <c r="BE5" s="46"/>
      <c r="BF5" s="46"/>
      <c r="BG5" s="46"/>
      <c r="BH5" s="46"/>
      <c r="BI5" s="46"/>
      <c r="BJ5" s="46"/>
      <c r="BK5" s="46"/>
      <c r="BL5" s="46"/>
      <c r="BM5" s="46"/>
      <c r="BN5" s="46"/>
      <c r="BO5" s="311"/>
      <c r="BP5" s="28"/>
      <c r="BQ5" s="46"/>
      <c r="BR5" s="46"/>
      <c r="BS5" s="46"/>
      <c r="BT5" s="46"/>
      <c r="BU5" s="46"/>
      <c r="BV5" s="46"/>
      <c r="BW5" s="46"/>
      <c r="BX5" s="46"/>
      <c r="BY5" s="46"/>
      <c r="BZ5" s="46"/>
      <c r="CA5" s="46"/>
      <c r="CB5" s="46"/>
      <c r="CC5" s="270"/>
      <c r="CD5" s="311"/>
      <c r="CE5" s="28"/>
      <c r="CF5" s="46"/>
      <c r="CG5" s="46"/>
      <c r="CH5" s="46"/>
      <c r="CI5" s="46"/>
      <c r="CJ5" s="46"/>
      <c r="CK5" s="46"/>
      <c r="CL5" s="46"/>
      <c r="CM5" s="46"/>
      <c r="CN5" s="46"/>
      <c r="CO5" s="46"/>
      <c r="CP5" s="46"/>
      <c r="CQ5" s="46"/>
      <c r="CR5" s="270"/>
      <c r="CS5" s="46"/>
      <c r="CT5" s="46"/>
      <c r="CU5" s="270"/>
    </row>
    <row r="6" spans="1:102" s="33" customFormat="1" ht="34.5" customHeight="1" thickBot="1">
      <c r="A6" s="262" t="s">
        <v>1841</v>
      </c>
      <c r="C6" s="384"/>
      <c r="D6" s="282"/>
      <c r="E6" s="282"/>
      <c r="F6" s="283"/>
      <c r="G6" s="283"/>
      <c r="H6" s="284"/>
      <c r="I6" s="283"/>
      <c r="J6" s="283"/>
      <c r="K6" s="283"/>
      <c r="L6" s="283"/>
      <c r="M6" s="283"/>
      <c r="N6" s="283"/>
      <c r="O6" s="283"/>
      <c r="P6" s="692"/>
      <c r="Q6" s="693"/>
      <c r="R6" s="285"/>
      <c r="S6" s="1065" t="s">
        <v>1748</v>
      </c>
      <c r="T6" s="1066"/>
      <c r="U6" s="1066"/>
      <c r="V6" s="1062">
        <v>2017</v>
      </c>
      <c r="W6" s="1060"/>
      <c r="X6" s="1060"/>
      <c r="Y6" s="1060"/>
      <c r="Z6" s="1060"/>
      <c r="AA6" s="1060"/>
      <c r="AB6" s="1060"/>
      <c r="AC6" s="1060"/>
      <c r="AD6" s="1060"/>
      <c r="AE6" s="1060"/>
      <c r="AF6" s="1060"/>
      <c r="AG6" s="1060"/>
      <c r="AH6" s="1060"/>
      <c r="AI6" s="1060"/>
      <c r="AJ6" s="1061"/>
      <c r="AK6" s="1062">
        <v>2018</v>
      </c>
      <c r="AL6" s="1060"/>
      <c r="AM6" s="1060"/>
      <c r="AN6" s="1060"/>
      <c r="AO6" s="1060"/>
      <c r="AP6" s="1060"/>
      <c r="AQ6" s="1060"/>
      <c r="AR6" s="1060"/>
      <c r="AS6" s="1060"/>
      <c r="AT6" s="1060"/>
      <c r="AU6" s="1060"/>
      <c r="AV6" s="1060"/>
      <c r="AW6" s="1060"/>
      <c r="AX6" s="1060"/>
      <c r="AY6" s="1061"/>
      <c r="AZ6" s="1062">
        <v>2019</v>
      </c>
      <c r="BA6" s="1060"/>
      <c r="BB6" s="1060"/>
      <c r="BC6" s="1060"/>
      <c r="BD6" s="1060"/>
      <c r="BE6" s="1060"/>
      <c r="BF6" s="1060"/>
      <c r="BG6" s="1060"/>
      <c r="BH6" s="1060"/>
      <c r="BI6" s="1060"/>
      <c r="BJ6" s="1060"/>
      <c r="BK6" s="1060"/>
      <c r="BL6" s="1060"/>
      <c r="BM6" s="1060"/>
      <c r="BN6" s="1061"/>
      <c r="BO6" s="1062">
        <v>2020</v>
      </c>
      <c r="BP6" s="1060"/>
      <c r="BQ6" s="1060"/>
      <c r="BR6" s="1060"/>
      <c r="BS6" s="1060"/>
      <c r="BT6" s="1060"/>
      <c r="BU6" s="1060"/>
      <c r="BV6" s="1060"/>
      <c r="BW6" s="1060"/>
      <c r="BX6" s="1060"/>
      <c r="BY6" s="1060"/>
      <c r="BZ6" s="1060"/>
      <c r="CA6" s="1060"/>
      <c r="CB6" s="1060"/>
      <c r="CC6" s="1061"/>
      <c r="CD6" s="1062">
        <v>2021</v>
      </c>
      <c r="CE6" s="1060"/>
      <c r="CF6" s="1060"/>
      <c r="CG6" s="1060"/>
      <c r="CH6" s="1060"/>
      <c r="CI6" s="1060"/>
      <c r="CJ6" s="1060"/>
      <c r="CK6" s="1060"/>
      <c r="CL6" s="1060"/>
      <c r="CM6" s="1060"/>
      <c r="CN6" s="1060"/>
      <c r="CO6" s="1060"/>
      <c r="CP6" s="1060"/>
      <c r="CQ6" s="1060"/>
      <c r="CR6" s="1061"/>
      <c r="CS6" s="1057" t="s">
        <v>34</v>
      </c>
      <c r="CT6" s="1058"/>
      <c r="CU6" s="1059"/>
      <c r="CV6" s="1110" t="s">
        <v>1767</v>
      </c>
      <c r="CW6" s="1110"/>
      <c r="CX6" s="1110"/>
    </row>
    <row r="7" spans="1:102" ht="123.75" customHeight="1">
      <c r="A7" s="151" t="s">
        <v>1532</v>
      </c>
      <c r="B7" s="152" t="s">
        <v>1533</v>
      </c>
      <c r="C7" s="153" t="s">
        <v>1744</v>
      </c>
      <c r="D7" s="575" t="s">
        <v>1740</v>
      </c>
      <c r="E7" s="153" t="s">
        <v>74</v>
      </c>
      <c r="F7" s="574" t="s">
        <v>30</v>
      </c>
      <c r="G7" s="574" t="s">
        <v>1756</v>
      </c>
      <c r="H7" s="575" t="s">
        <v>1757</v>
      </c>
      <c r="I7" s="153" t="s">
        <v>1758</v>
      </c>
      <c r="J7" s="153" t="s">
        <v>1759</v>
      </c>
      <c r="K7" s="153" t="s">
        <v>1760</v>
      </c>
      <c r="L7" s="575" t="s">
        <v>3</v>
      </c>
      <c r="M7" s="575" t="s">
        <v>76</v>
      </c>
      <c r="N7" s="575" t="s">
        <v>13</v>
      </c>
      <c r="O7" s="686" t="s">
        <v>1962</v>
      </c>
      <c r="P7" s="694" t="s">
        <v>1989</v>
      </c>
      <c r="Q7" s="154" t="s">
        <v>63</v>
      </c>
      <c r="R7" s="154" t="s">
        <v>1727</v>
      </c>
      <c r="S7" s="756">
        <v>42735</v>
      </c>
      <c r="T7" s="157" t="s">
        <v>54</v>
      </c>
      <c r="U7" s="158" t="s">
        <v>1749</v>
      </c>
      <c r="V7" s="380">
        <v>42736</v>
      </c>
      <c r="W7" s="380">
        <v>42767</v>
      </c>
      <c r="X7" s="380">
        <v>42795</v>
      </c>
      <c r="Y7" s="380">
        <v>42826</v>
      </c>
      <c r="Z7" s="380">
        <v>42856</v>
      </c>
      <c r="AA7" s="380">
        <v>42887</v>
      </c>
      <c r="AB7" s="380">
        <v>42917</v>
      </c>
      <c r="AC7" s="380">
        <v>42948</v>
      </c>
      <c r="AD7" s="380">
        <v>42979</v>
      </c>
      <c r="AE7" s="380">
        <v>43009</v>
      </c>
      <c r="AF7" s="380">
        <v>43040</v>
      </c>
      <c r="AG7" s="380">
        <v>43070</v>
      </c>
      <c r="AH7" s="381" t="s">
        <v>54</v>
      </c>
      <c r="AI7" s="157" t="s">
        <v>53</v>
      </c>
      <c r="AJ7" s="158" t="s">
        <v>1526</v>
      </c>
      <c r="AK7" s="155">
        <v>43101</v>
      </c>
      <c r="AL7" s="155">
        <v>43132</v>
      </c>
      <c r="AM7" s="155">
        <v>43160</v>
      </c>
      <c r="AN7" s="155">
        <v>43191</v>
      </c>
      <c r="AO7" s="155">
        <v>43221</v>
      </c>
      <c r="AP7" s="155">
        <v>43252</v>
      </c>
      <c r="AQ7" s="155">
        <v>43282</v>
      </c>
      <c r="AR7" s="155">
        <v>43313</v>
      </c>
      <c r="AS7" s="155">
        <v>43344</v>
      </c>
      <c r="AT7" s="155">
        <v>43374</v>
      </c>
      <c r="AU7" s="155">
        <v>43405</v>
      </c>
      <c r="AV7" s="155">
        <v>43435</v>
      </c>
      <c r="AW7" s="156" t="s">
        <v>55</v>
      </c>
      <c r="AX7" s="157" t="s">
        <v>53</v>
      </c>
      <c r="AY7" s="159" t="s">
        <v>1527</v>
      </c>
      <c r="AZ7" s="155">
        <v>43466</v>
      </c>
      <c r="BA7" s="155">
        <v>43497</v>
      </c>
      <c r="BB7" s="155">
        <v>43525</v>
      </c>
      <c r="BC7" s="155">
        <v>43556</v>
      </c>
      <c r="BD7" s="155">
        <v>43586</v>
      </c>
      <c r="BE7" s="155">
        <v>43617</v>
      </c>
      <c r="BF7" s="155">
        <v>43647</v>
      </c>
      <c r="BG7" s="155">
        <v>43678</v>
      </c>
      <c r="BH7" s="155">
        <v>43709</v>
      </c>
      <c r="BI7" s="155">
        <v>43739</v>
      </c>
      <c r="BJ7" s="155">
        <v>43770</v>
      </c>
      <c r="BK7" s="155">
        <v>43800</v>
      </c>
      <c r="BL7" s="156" t="s">
        <v>55</v>
      </c>
      <c r="BM7" s="157" t="s">
        <v>53</v>
      </c>
      <c r="BN7" s="159" t="s">
        <v>1750</v>
      </c>
      <c r="BO7" s="155">
        <v>43831</v>
      </c>
      <c r="BP7" s="155">
        <v>43862</v>
      </c>
      <c r="BQ7" s="155">
        <v>43891</v>
      </c>
      <c r="BR7" s="155">
        <v>43922</v>
      </c>
      <c r="BS7" s="155">
        <v>43952</v>
      </c>
      <c r="BT7" s="155">
        <v>43983</v>
      </c>
      <c r="BU7" s="155">
        <v>44013</v>
      </c>
      <c r="BV7" s="155">
        <v>44044</v>
      </c>
      <c r="BW7" s="155">
        <v>44075</v>
      </c>
      <c r="BX7" s="155">
        <v>44105</v>
      </c>
      <c r="BY7" s="155">
        <v>44136</v>
      </c>
      <c r="BZ7" s="155">
        <v>44166</v>
      </c>
      <c r="CA7" s="156" t="s">
        <v>55</v>
      </c>
      <c r="CB7" s="157" t="s">
        <v>53</v>
      </c>
      <c r="CC7" s="159" t="s">
        <v>1754</v>
      </c>
      <c r="CD7" s="155">
        <v>44197</v>
      </c>
      <c r="CE7" s="155">
        <v>44228</v>
      </c>
      <c r="CF7" s="155">
        <v>44256</v>
      </c>
      <c r="CG7" s="155">
        <v>44287</v>
      </c>
      <c r="CH7" s="155">
        <v>44317</v>
      </c>
      <c r="CI7" s="155">
        <v>44348</v>
      </c>
      <c r="CJ7" s="155">
        <v>44378</v>
      </c>
      <c r="CK7" s="155">
        <v>44409</v>
      </c>
      <c r="CL7" s="155">
        <v>44440</v>
      </c>
      <c r="CM7" s="155">
        <v>44470</v>
      </c>
      <c r="CN7" s="155">
        <v>44501</v>
      </c>
      <c r="CO7" s="155">
        <v>44531</v>
      </c>
      <c r="CP7" s="156" t="s">
        <v>55</v>
      </c>
      <c r="CQ7" s="157" t="s">
        <v>53</v>
      </c>
      <c r="CR7" s="159" t="s">
        <v>1755</v>
      </c>
      <c r="CS7" s="160" t="s">
        <v>54</v>
      </c>
      <c r="CT7" s="161" t="s">
        <v>53</v>
      </c>
      <c r="CU7" s="449" t="s">
        <v>1803</v>
      </c>
      <c r="CV7" s="450" t="s">
        <v>1786</v>
      </c>
      <c r="CW7" s="450" t="s">
        <v>1766</v>
      </c>
      <c r="CX7" s="576" t="s">
        <v>1812</v>
      </c>
    </row>
    <row r="8" spans="1:102" ht="29.25" customHeight="1" thickBot="1">
      <c r="A8" s="265" t="s">
        <v>12</v>
      </c>
      <c r="B8" s="1063" t="s">
        <v>1637</v>
      </c>
      <c r="C8" s="1064"/>
      <c r="D8" s="133"/>
      <c r="E8" s="127"/>
      <c r="F8" s="136"/>
      <c r="G8" s="137"/>
      <c r="H8" s="136"/>
      <c r="I8" s="516"/>
      <c r="J8" s="516"/>
      <c r="K8" s="516"/>
      <c r="L8" s="516"/>
      <c r="M8" s="516"/>
      <c r="N8" s="137"/>
      <c r="O8" s="137"/>
      <c r="P8" s="137"/>
      <c r="Q8" s="373"/>
      <c r="R8" s="138"/>
      <c r="S8" s="382"/>
      <c r="T8" s="139"/>
      <c r="U8" s="139"/>
      <c r="V8" s="382"/>
      <c r="W8" s="382"/>
      <c r="X8" s="382"/>
      <c r="Y8" s="382"/>
      <c r="Z8" s="382"/>
      <c r="AA8" s="382"/>
      <c r="AB8" s="382"/>
      <c r="AC8" s="382"/>
      <c r="AD8" s="382"/>
      <c r="AE8" s="382"/>
      <c r="AF8" s="383"/>
      <c r="AG8" s="382"/>
      <c r="AH8" s="382"/>
      <c r="AI8" s="139"/>
      <c r="AJ8" s="139"/>
      <c r="AK8" s="139"/>
      <c r="AL8" s="312"/>
      <c r="AM8" s="312"/>
      <c r="AN8" s="312"/>
      <c r="AO8" s="313"/>
      <c r="AP8" s="312"/>
      <c r="AQ8" s="312"/>
      <c r="AR8" s="312"/>
      <c r="AS8" s="312"/>
      <c r="AT8" s="312"/>
      <c r="AU8" s="312"/>
      <c r="AV8" s="312"/>
      <c r="AW8" s="312"/>
      <c r="AX8" s="312"/>
      <c r="AY8" s="139"/>
      <c r="AZ8" s="139"/>
      <c r="BA8" s="312"/>
      <c r="BB8" s="312"/>
      <c r="BC8" s="312"/>
      <c r="BD8" s="313"/>
      <c r="BE8" s="312"/>
      <c r="BF8" s="312"/>
      <c r="BG8" s="312"/>
      <c r="BH8" s="312"/>
      <c r="BI8" s="312"/>
      <c r="BJ8" s="312"/>
      <c r="BK8" s="312"/>
      <c r="BL8" s="312"/>
      <c r="BM8" s="312"/>
      <c r="BN8" s="139"/>
      <c r="BO8" s="139"/>
      <c r="BP8" s="312"/>
      <c r="BQ8" s="312"/>
      <c r="BR8" s="312"/>
      <c r="BS8" s="313"/>
      <c r="BT8" s="312"/>
      <c r="BU8" s="312"/>
      <c r="BV8" s="312"/>
      <c r="BW8" s="312"/>
      <c r="BX8" s="312"/>
      <c r="BY8" s="312"/>
      <c r="BZ8" s="312"/>
      <c r="CA8" s="312"/>
      <c r="CB8" s="312"/>
      <c r="CC8" s="272"/>
      <c r="CD8" s="139"/>
      <c r="CE8" s="312"/>
      <c r="CF8" s="312"/>
      <c r="CG8" s="312"/>
      <c r="CH8" s="313"/>
      <c r="CI8" s="312"/>
      <c r="CJ8" s="312"/>
      <c r="CK8" s="312"/>
      <c r="CL8" s="312"/>
      <c r="CM8" s="312"/>
      <c r="CN8" s="312"/>
      <c r="CO8" s="312"/>
      <c r="CP8" s="312"/>
      <c r="CQ8" s="312"/>
      <c r="CR8" s="272"/>
      <c r="CS8" s="139"/>
      <c r="CT8" s="278"/>
      <c r="CU8" s="451"/>
      <c r="CV8" s="418"/>
      <c r="CW8" s="418"/>
      <c r="CX8" s="418"/>
    </row>
    <row r="9" spans="1:102" s="33" customFormat="1" ht="39.75" customHeight="1" thickBot="1">
      <c r="A9" s="1051" t="s">
        <v>1559</v>
      </c>
      <c r="B9" s="1048" t="s">
        <v>1470</v>
      </c>
      <c r="C9" s="1048" t="s">
        <v>1612</v>
      </c>
      <c r="D9" s="34"/>
      <c r="E9" s="125" t="s">
        <v>106</v>
      </c>
      <c r="F9" s="30"/>
      <c r="G9" s="31"/>
      <c r="H9" s="32"/>
      <c r="I9" s="519"/>
      <c r="J9" s="31"/>
      <c r="K9" s="522" t="str">
        <f t="shared" ref="K9:K26" si="0">IF(YEAR(I9+J9)=1900," ",I9+J9)</f>
        <v xml:space="preserve"> </v>
      </c>
      <c r="L9" s="31"/>
      <c r="M9" s="31"/>
      <c r="N9" s="401"/>
      <c r="O9" s="698"/>
      <c r="P9" s="698" t="s">
        <v>1990</v>
      </c>
      <c r="Q9" s="697"/>
      <c r="R9" s="182"/>
      <c r="S9" s="326"/>
      <c r="T9" s="399"/>
      <c r="U9" s="328">
        <f t="shared" ref="U9:U11" si="1">IFERROR(ROUND((Q9*T9+Q9*S9),2),0)</f>
        <v>0</v>
      </c>
      <c r="V9" s="385"/>
      <c r="W9" s="352"/>
      <c r="X9" s="352"/>
      <c r="Y9" s="352"/>
      <c r="Z9" s="352"/>
      <c r="AA9" s="352"/>
      <c r="AB9" s="324"/>
      <c r="AC9" s="324"/>
      <c r="AD9" s="324"/>
      <c r="AE9" s="324"/>
      <c r="AF9" s="324"/>
      <c r="AG9" s="325"/>
      <c r="AH9" s="326"/>
      <c r="AI9" s="327">
        <f>SUM(V9:AG9)</f>
        <v>0</v>
      </c>
      <c r="AJ9" s="328">
        <f>IFERROR(ROUND((Q9*AI9+Q9*AH9),2),0)</f>
        <v>0</v>
      </c>
      <c r="AK9" s="329"/>
      <c r="AL9" s="330"/>
      <c r="AM9" s="330"/>
      <c r="AN9" s="330"/>
      <c r="AO9" s="330"/>
      <c r="AP9" s="330"/>
      <c r="AQ9" s="330"/>
      <c r="AR9" s="330"/>
      <c r="AS9" s="330"/>
      <c r="AT9" s="330"/>
      <c r="AU9" s="330"/>
      <c r="AV9" s="331"/>
      <c r="AW9" s="326"/>
      <c r="AX9" s="332">
        <f>SUM(AK9:AV9)</f>
        <v>0</v>
      </c>
      <c r="AY9" s="333">
        <f>IFERROR(ROUND((Q9*AX9+Q9*AW9),2),0)</f>
        <v>0</v>
      </c>
      <c r="AZ9" s="329"/>
      <c r="BA9" s="330"/>
      <c r="BB9" s="330"/>
      <c r="BC9" s="330"/>
      <c r="BD9" s="330"/>
      <c r="BE9" s="330"/>
      <c r="BF9" s="330"/>
      <c r="BG9" s="330"/>
      <c r="BH9" s="330"/>
      <c r="BI9" s="330"/>
      <c r="BJ9" s="330"/>
      <c r="BK9" s="331"/>
      <c r="BL9" s="326"/>
      <c r="BM9" s="332">
        <f>SUM(AZ9:BK9)</f>
        <v>0</v>
      </c>
      <c r="BN9" s="333">
        <f>IFERROR(ROUND((Q9*BM9+Q9*BL9),2),0)</f>
        <v>0</v>
      </c>
      <c r="BO9" s="329"/>
      <c r="BP9" s="330"/>
      <c r="BQ9" s="330"/>
      <c r="BR9" s="330"/>
      <c r="BS9" s="330"/>
      <c r="BT9" s="330"/>
      <c r="BU9" s="330"/>
      <c r="BV9" s="330"/>
      <c r="BW9" s="330"/>
      <c r="BX9" s="330"/>
      <c r="BY9" s="330"/>
      <c r="BZ9" s="331"/>
      <c r="CA9" s="326"/>
      <c r="CB9" s="332">
        <f>SUM(BO9:BZ9)</f>
        <v>0</v>
      </c>
      <c r="CC9" s="333">
        <f>IFERROR(ROUND((Q9*CB9+AF9*CA9),2),0)</f>
        <v>0</v>
      </c>
      <c r="CD9" s="329"/>
      <c r="CE9" s="330"/>
      <c r="CF9" s="330"/>
      <c r="CG9" s="330"/>
      <c r="CH9" s="330"/>
      <c r="CI9" s="330"/>
      <c r="CJ9" s="330"/>
      <c r="CK9" s="330"/>
      <c r="CL9" s="330"/>
      <c r="CM9" s="330"/>
      <c r="CN9" s="330"/>
      <c r="CO9" s="331"/>
      <c r="CP9" s="326"/>
      <c r="CQ9" s="332">
        <f>SUM(CD9:CO9)</f>
        <v>0</v>
      </c>
      <c r="CR9" s="333">
        <f>IFERROR(ROUND((Q9*CQ9+AU9*CP9),2),0)</f>
        <v>0</v>
      </c>
      <c r="CS9" s="334">
        <f>AH9+AW9+BL9+T9+BL9+CA9+CP9</f>
        <v>0</v>
      </c>
      <c r="CT9" s="335">
        <f t="shared" ref="CT9:CT25" si="2">CQ9+CB9+BM9+AX9+AI9+S9</f>
        <v>0</v>
      </c>
      <c r="CU9" s="417">
        <f>AJ9+AY9+BN9+U9+CC9+CR9</f>
        <v>0</v>
      </c>
      <c r="CV9" s="529" t="str">
        <f t="shared" ref="CV9:CV26" si="3">IF(H9=0," ",H9)</f>
        <v xml:space="preserve"> </v>
      </c>
      <c r="CW9" s="529" t="str">
        <f t="shared" ref="CW9:CW26" si="4">IF(YEAR(I9+J9)=1900," ",YEAR(I9+J9))</f>
        <v xml:space="preserve"> </v>
      </c>
      <c r="CX9" s="528">
        <f>AJ9+AY9+BN9+U9+CC9+CR9</f>
        <v>0</v>
      </c>
    </row>
    <row r="10" spans="1:102" s="33" customFormat="1" ht="39.75" customHeight="1" thickBot="1">
      <c r="A10" s="1052"/>
      <c r="B10" s="1050"/>
      <c r="C10" s="1050"/>
      <c r="D10" s="34"/>
      <c r="E10" s="125" t="s">
        <v>106</v>
      </c>
      <c r="F10" s="30"/>
      <c r="G10" s="31"/>
      <c r="H10" s="32"/>
      <c r="I10" s="520"/>
      <c r="J10" s="521"/>
      <c r="K10" s="522" t="str">
        <f t="shared" si="0"/>
        <v xml:space="preserve"> </v>
      </c>
      <c r="L10" s="521"/>
      <c r="M10" s="521"/>
      <c r="N10" s="402"/>
      <c r="O10" s="698"/>
      <c r="P10" s="698" t="s">
        <v>1990</v>
      </c>
      <c r="Q10" s="697"/>
      <c r="R10" s="182"/>
      <c r="S10" s="326"/>
      <c r="T10" s="399"/>
      <c r="U10" s="328">
        <f t="shared" si="1"/>
        <v>0</v>
      </c>
      <c r="V10" s="385"/>
      <c r="W10" s="352"/>
      <c r="X10" s="352"/>
      <c r="Y10" s="352"/>
      <c r="Z10" s="352"/>
      <c r="AA10" s="352"/>
      <c r="AB10" s="324"/>
      <c r="AC10" s="324"/>
      <c r="AD10" s="324"/>
      <c r="AE10" s="324"/>
      <c r="AF10" s="324"/>
      <c r="AG10" s="325"/>
      <c r="AH10" s="326"/>
      <c r="AI10" s="327">
        <f t="shared" ref="AI10:AI26" si="5">SUM(V10:AG10)</f>
        <v>0</v>
      </c>
      <c r="AJ10" s="328">
        <f t="shared" ref="AJ10:AJ26" si="6">IFERROR(ROUND((Q10*AI10+Q10*AH10),2),0)</f>
        <v>0</v>
      </c>
      <c r="AK10" s="329"/>
      <c r="AL10" s="330"/>
      <c r="AM10" s="330"/>
      <c r="AN10" s="330"/>
      <c r="AO10" s="330"/>
      <c r="AP10" s="330"/>
      <c r="AQ10" s="330"/>
      <c r="AR10" s="330"/>
      <c r="AS10" s="330"/>
      <c r="AT10" s="330"/>
      <c r="AU10" s="330"/>
      <c r="AV10" s="331"/>
      <c r="AW10" s="326"/>
      <c r="AX10" s="332">
        <f t="shared" ref="AX10:AX26" si="7">SUM(AK10:AV10)</f>
        <v>0</v>
      </c>
      <c r="AY10" s="333">
        <f t="shared" ref="AY10:AY26" si="8">IFERROR(ROUND((Q10*AX10+Q10*AW10),2),0)</f>
        <v>0</v>
      </c>
      <c r="AZ10" s="329"/>
      <c r="BA10" s="330"/>
      <c r="BB10" s="330"/>
      <c r="BC10" s="330"/>
      <c r="BD10" s="330"/>
      <c r="BE10" s="330"/>
      <c r="BF10" s="330"/>
      <c r="BG10" s="330"/>
      <c r="BH10" s="330"/>
      <c r="BI10" s="330"/>
      <c r="BJ10" s="330"/>
      <c r="BK10" s="331"/>
      <c r="BL10" s="326"/>
      <c r="BM10" s="332">
        <f t="shared" ref="BM10:BM26" si="9">SUM(AZ10:BK10)</f>
        <v>0</v>
      </c>
      <c r="BN10" s="333">
        <f t="shared" ref="BN10:BN26" si="10">IFERROR(ROUND((Q10*BM10+Q10*BL10),2),0)</f>
        <v>0</v>
      </c>
      <c r="BO10" s="329"/>
      <c r="BP10" s="330"/>
      <c r="BQ10" s="330"/>
      <c r="BR10" s="330"/>
      <c r="BS10" s="330"/>
      <c r="BT10" s="330"/>
      <c r="BU10" s="330"/>
      <c r="BV10" s="330"/>
      <c r="BW10" s="330"/>
      <c r="BX10" s="330"/>
      <c r="BY10" s="330"/>
      <c r="BZ10" s="331"/>
      <c r="CA10" s="326"/>
      <c r="CB10" s="332">
        <f t="shared" ref="CB10:CB26" si="11">SUM(BO10:BZ10)</f>
        <v>0</v>
      </c>
      <c r="CC10" s="333">
        <f t="shared" ref="CC10:CC26" si="12">IFERROR(ROUND((Q10*CB10+AF10*CA10),2),0)</f>
        <v>0</v>
      </c>
      <c r="CD10" s="329"/>
      <c r="CE10" s="330"/>
      <c r="CF10" s="330"/>
      <c r="CG10" s="330"/>
      <c r="CH10" s="330"/>
      <c r="CI10" s="330"/>
      <c r="CJ10" s="330"/>
      <c r="CK10" s="330"/>
      <c r="CL10" s="330"/>
      <c r="CM10" s="330"/>
      <c r="CN10" s="330"/>
      <c r="CO10" s="331"/>
      <c r="CP10" s="326"/>
      <c r="CQ10" s="332">
        <f t="shared" ref="CQ10:CQ26" si="13">SUM(CD10:CO10)</f>
        <v>0</v>
      </c>
      <c r="CR10" s="333">
        <f t="shared" ref="CR10:CR26" si="14">IFERROR(ROUND((Q10*CQ10+AU10*CP10),2),0)</f>
        <v>0</v>
      </c>
      <c r="CS10" s="334">
        <f t="shared" ref="CS10:CS26" si="15">AH10+AW10+BL10+T10+BL10+CA10+CP10</f>
        <v>0</v>
      </c>
      <c r="CT10" s="335">
        <f t="shared" si="2"/>
        <v>0</v>
      </c>
      <c r="CU10" s="417">
        <f t="shared" ref="CU10:CU26" si="16">AJ10+AY10+BN10+U10+CC10+CR10</f>
        <v>0</v>
      </c>
      <c r="CV10" s="529" t="str">
        <f t="shared" si="3"/>
        <v xml:space="preserve"> </v>
      </c>
      <c r="CW10" s="529" t="str">
        <f t="shared" si="4"/>
        <v xml:space="preserve"> </v>
      </c>
      <c r="CX10" s="528">
        <f t="shared" ref="CX10:CX26" si="17">AJ10+AY10+BN10+U10+CC10+CR10</f>
        <v>0</v>
      </c>
    </row>
    <row r="11" spans="1:102" s="33" customFormat="1" ht="34.5" customHeight="1" thickBot="1">
      <c r="A11" s="1051" t="s">
        <v>1560</v>
      </c>
      <c r="B11" s="1048" t="s">
        <v>1471</v>
      </c>
      <c r="C11" s="1048" t="s">
        <v>1613</v>
      </c>
      <c r="D11" s="34"/>
      <c r="E11" s="125" t="s">
        <v>106</v>
      </c>
      <c r="F11" s="30"/>
      <c r="G11" s="31"/>
      <c r="H11" s="32"/>
      <c r="I11" s="519"/>
      <c r="J11" s="31"/>
      <c r="K11" s="522"/>
      <c r="L11" s="31"/>
      <c r="M11" s="31"/>
      <c r="N11" s="401"/>
      <c r="O11" s="698"/>
      <c r="P11" s="698" t="s">
        <v>1990</v>
      </c>
      <c r="Q11" s="697"/>
      <c r="R11" s="182"/>
      <c r="S11" s="326"/>
      <c r="T11" s="399"/>
      <c r="U11" s="328">
        <f t="shared" si="1"/>
        <v>0</v>
      </c>
      <c r="V11" s="385"/>
      <c r="W11" s="352"/>
      <c r="X11" s="352"/>
      <c r="Y11" s="352"/>
      <c r="Z11" s="352"/>
      <c r="AA11" s="352"/>
      <c r="AB11" s="324"/>
      <c r="AC11" s="324"/>
      <c r="AD11" s="324"/>
      <c r="AE11" s="324"/>
      <c r="AF11" s="324"/>
      <c r="AG11" s="325"/>
      <c r="AH11" s="326"/>
      <c r="AI11" s="327">
        <f t="shared" si="5"/>
        <v>0</v>
      </c>
      <c r="AJ11" s="328">
        <f t="shared" si="6"/>
        <v>0</v>
      </c>
      <c r="AK11" s="329"/>
      <c r="AL11" s="330"/>
      <c r="AM11" s="330"/>
      <c r="AN11" s="330"/>
      <c r="AO11" s="330"/>
      <c r="AP11" s="330"/>
      <c r="AQ11" s="330"/>
      <c r="AR11" s="330"/>
      <c r="AS11" s="330"/>
      <c r="AT11" s="330"/>
      <c r="AU11" s="330"/>
      <c r="AV11" s="331"/>
      <c r="AW11" s="326"/>
      <c r="AX11" s="332">
        <f t="shared" si="7"/>
        <v>0</v>
      </c>
      <c r="AY11" s="333">
        <f t="shared" si="8"/>
        <v>0</v>
      </c>
      <c r="AZ11" s="329"/>
      <c r="BA11" s="330"/>
      <c r="BB11" s="330"/>
      <c r="BC11" s="330"/>
      <c r="BD11" s="330"/>
      <c r="BE11" s="330"/>
      <c r="BF11" s="330"/>
      <c r="BG11" s="330"/>
      <c r="BH11" s="330"/>
      <c r="BI11" s="330"/>
      <c r="BJ11" s="330"/>
      <c r="BK11" s="331"/>
      <c r="BL11" s="326"/>
      <c r="BM11" s="332">
        <f t="shared" si="9"/>
        <v>0</v>
      </c>
      <c r="BN11" s="333">
        <f t="shared" si="10"/>
        <v>0</v>
      </c>
      <c r="BO11" s="329"/>
      <c r="BP11" s="330"/>
      <c r="BQ11" s="330"/>
      <c r="BR11" s="330"/>
      <c r="BS11" s="330"/>
      <c r="BT11" s="330"/>
      <c r="BU11" s="330"/>
      <c r="BV11" s="330"/>
      <c r="BW11" s="330"/>
      <c r="BX11" s="330"/>
      <c r="BY11" s="330"/>
      <c r="BZ11" s="331"/>
      <c r="CA11" s="326"/>
      <c r="CB11" s="332">
        <f t="shared" si="11"/>
        <v>0</v>
      </c>
      <c r="CC11" s="333">
        <f t="shared" si="12"/>
        <v>0</v>
      </c>
      <c r="CD11" s="329"/>
      <c r="CE11" s="330"/>
      <c r="CF11" s="330"/>
      <c r="CG11" s="330"/>
      <c r="CH11" s="330"/>
      <c r="CI11" s="330"/>
      <c r="CJ11" s="330"/>
      <c r="CK11" s="330"/>
      <c r="CL11" s="330"/>
      <c r="CM11" s="330"/>
      <c r="CN11" s="330"/>
      <c r="CO11" s="331"/>
      <c r="CP11" s="326"/>
      <c r="CQ11" s="332">
        <f t="shared" si="13"/>
        <v>0</v>
      </c>
      <c r="CR11" s="333">
        <f t="shared" si="14"/>
        <v>0</v>
      </c>
      <c r="CS11" s="334">
        <f t="shared" si="15"/>
        <v>0</v>
      </c>
      <c r="CT11" s="335">
        <f t="shared" si="2"/>
        <v>0</v>
      </c>
      <c r="CU11" s="417">
        <f t="shared" si="16"/>
        <v>0</v>
      </c>
      <c r="CV11" s="529" t="str">
        <f t="shared" si="3"/>
        <v xml:space="preserve"> </v>
      </c>
      <c r="CW11" s="529" t="str">
        <f t="shared" si="4"/>
        <v xml:space="preserve"> </v>
      </c>
      <c r="CX11" s="528">
        <f t="shared" si="17"/>
        <v>0</v>
      </c>
    </row>
    <row r="12" spans="1:102" s="33" customFormat="1" ht="34.5" customHeight="1" thickBot="1">
      <c r="A12" s="1052"/>
      <c r="B12" s="1050"/>
      <c r="C12" s="1050"/>
      <c r="D12" s="34"/>
      <c r="E12" s="125" t="s">
        <v>106</v>
      </c>
      <c r="F12" s="30"/>
      <c r="G12" s="31"/>
      <c r="H12" s="32"/>
      <c r="I12" s="519"/>
      <c r="J12" s="31"/>
      <c r="K12" s="522" t="str">
        <f t="shared" si="0"/>
        <v xml:space="preserve"> </v>
      </c>
      <c r="L12" s="31"/>
      <c r="M12" s="31"/>
      <c r="N12" s="401"/>
      <c r="O12" s="698"/>
      <c r="P12" s="698" t="s">
        <v>1990</v>
      </c>
      <c r="Q12" s="697"/>
      <c r="R12" s="182"/>
      <c r="S12" s="326"/>
      <c r="T12" s="399"/>
      <c r="U12" s="328">
        <f>IFERROR(ROUND((Q12*T12+Q12*S12),2),0)</f>
        <v>0</v>
      </c>
      <c r="V12" s="385"/>
      <c r="W12" s="352"/>
      <c r="X12" s="352"/>
      <c r="Y12" s="352"/>
      <c r="Z12" s="352"/>
      <c r="AA12" s="352"/>
      <c r="AB12" s="324"/>
      <c r="AC12" s="324"/>
      <c r="AD12" s="324"/>
      <c r="AE12" s="324"/>
      <c r="AF12" s="324"/>
      <c r="AG12" s="325"/>
      <c r="AH12" s="326"/>
      <c r="AI12" s="327">
        <f t="shared" si="5"/>
        <v>0</v>
      </c>
      <c r="AJ12" s="328">
        <f t="shared" si="6"/>
        <v>0</v>
      </c>
      <c r="AK12" s="329"/>
      <c r="AL12" s="330"/>
      <c r="AM12" s="330"/>
      <c r="AN12" s="330"/>
      <c r="AO12" s="330"/>
      <c r="AP12" s="330"/>
      <c r="AQ12" s="330"/>
      <c r="AR12" s="330"/>
      <c r="AS12" s="330"/>
      <c r="AT12" s="330"/>
      <c r="AU12" s="330"/>
      <c r="AV12" s="331"/>
      <c r="AW12" s="326"/>
      <c r="AX12" s="332">
        <f t="shared" si="7"/>
        <v>0</v>
      </c>
      <c r="AY12" s="333">
        <f t="shared" si="8"/>
        <v>0</v>
      </c>
      <c r="AZ12" s="329"/>
      <c r="BA12" s="330"/>
      <c r="BB12" s="330"/>
      <c r="BC12" s="330"/>
      <c r="BD12" s="330"/>
      <c r="BE12" s="330"/>
      <c r="BF12" s="330"/>
      <c r="BG12" s="330"/>
      <c r="BH12" s="330"/>
      <c r="BI12" s="330"/>
      <c r="BJ12" s="330"/>
      <c r="BK12" s="331"/>
      <c r="BL12" s="326"/>
      <c r="BM12" s="332">
        <f t="shared" si="9"/>
        <v>0</v>
      </c>
      <c r="BN12" s="333">
        <f t="shared" si="10"/>
        <v>0</v>
      </c>
      <c r="BO12" s="329"/>
      <c r="BP12" s="330"/>
      <c r="BQ12" s="330"/>
      <c r="BR12" s="330"/>
      <c r="BS12" s="330"/>
      <c r="BT12" s="330"/>
      <c r="BU12" s="330"/>
      <c r="BV12" s="330"/>
      <c r="BW12" s="330"/>
      <c r="BX12" s="330"/>
      <c r="BY12" s="330"/>
      <c r="BZ12" s="331"/>
      <c r="CA12" s="326"/>
      <c r="CB12" s="332">
        <f t="shared" si="11"/>
        <v>0</v>
      </c>
      <c r="CC12" s="333">
        <f t="shared" si="12"/>
        <v>0</v>
      </c>
      <c r="CD12" s="329"/>
      <c r="CE12" s="330"/>
      <c r="CF12" s="330"/>
      <c r="CG12" s="330"/>
      <c r="CH12" s="330"/>
      <c r="CI12" s="330"/>
      <c r="CJ12" s="330"/>
      <c r="CK12" s="330"/>
      <c r="CL12" s="330"/>
      <c r="CM12" s="330"/>
      <c r="CN12" s="330"/>
      <c r="CO12" s="331"/>
      <c r="CP12" s="326"/>
      <c r="CQ12" s="332">
        <f t="shared" si="13"/>
        <v>0</v>
      </c>
      <c r="CR12" s="333">
        <f t="shared" si="14"/>
        <v>0</v>
      </c>
      <c r="CS12" s="334">
        <f t="shared" si="15"/>
        <v>0</v>
      </c>
      <c r="CT12" s="335">
        <f t="shared" si="2"/>
        <v>0</v>
      </c>
      <c r="CU12" s="417">
        <f t="shared" si="16"/>
        <v>0</v>
      </c>
      <c r="CV12" s="529" t="str">
        <f t="shared" si="3"/>
        <v xml:space="preserve"> </v>
      </c>
      <c r="CW12" s="529" t="str">
        <f t="shared" si="4"/>
        <v xml:space="preserve"> </v>
      </c>
      <c r="CX12" s="528">
        <f t="shared" si="17"/>
        <v>0</v>
      </c>
    </row>
    <row r="13" spans="1:102" s="33" customFormat="1" ht="30" customHeight="1" thickBot="1">
      <c r="A13" s="1051" t="s">
        <v>1561</v>
      </c>
      <c r="B13" s="1048" t="s">
        <v>1472</v>
      </c>
      <c r="C13" s="1048" t="s">
        <v>1614</v>
      </c>
      <c r="D13" s="34"/>
      <c r="E13" s="125" t="s">
        <v>106</v>
      </c>
      <c r="F13" s="30"/>
      <c r="G13" s="31"/>
      <c r="H13" s="32"/>
      <c r="I13" s="519"/>
      <c r="J13" s="31"/>
      <c r="K13" s="522" t="str">
        <f t="shared" si="0"/>
        <v xml:space="preserve"> </v>
      </c>
      <c r="L13" s="31"/>
      <c r="M13" s="31"/>
      <c r="N13" s="401"/>
      <c r="O13" s="698"/>
      <c r="P13" s="698" t="s">
        <v>1990</v>
      </c>
      <c r="Q13" s="697"/>
      <c r="R13" s="182"/>
      <c r="S13" s="326"/>
      <c r="T13" s="399"/>
      <c r="U13" s="328">
        <f t="shared" ref="U13:U26" si="18">IFERROR(ROUND((Q13*T13+Q13*S13),2),0)</f>
        <v>0</v>
      </c>
      <c r="V13" s="385"/>
      <c r="W13" s="352"/>
      <c r="X13" s="352"/>
      <c r="Y13" s="352"/>
      <c r="Z13" s="352"/>
      <c r="AA13" s="352"/>
      <c r="AB13" s="324"/>
      <c r="AC13" s="324"/>
      <c r="AD13" s="324"/>
      <c r="AE13" s="324"/>
      <c r="AF13" s="324"/>
      <c r="AG13" s="325"/>
      <c r="AH13" s="326"/>
      <c r="AI13" s="327">
        <f t="shared" si="5"/>
        <v>0</v>
      </c>
      <c r="AJ13" s="328">
        <f t="shared" si="6"/>
        <v>0</v>
      </c>
      <c r="AK13" s="329"/>
      <c r="AL13" s="330"/>
      <c r="AM13" s="330"/>
      <c r="AN13" s="330"/>
      <c r="AO13" s="330"/>
      <c r="AP13" s="330"/>
      <c r="AQ13" s="330"/>
      <c r="AR13" s="330"/>
      <c r="AS13" s="330"/>
      <c r="AT13" s="330"/>
      <c r="AU13" s="330"/>
      <c r="AV13" s="331"/>
      <c r="AW13" s="326"/>
      <c r="AX13" s="332">
        <f t="shared" si="7"/>
        <v>0</v>
      </c>
      <c r="AY13" s="333">
        <f t="shared" si="8"/>
        <v>0</v>
      </c>
      <c r="AZ13" s="329"/>
      <c r="BA13" s="330"/>
      <c r="BB13" s="330"/>
      <c r="BC13" s="330"/>
      <c r="BD13" s="330"/>
      <c r="BE13" s="330"/>
      <c r="BF13" s="330"/>
      <c r="BG13" s="330"/>
      <c r="BH13" s="330"/>
      <c r="BI13" s="330"/>
      <c r="BJ13" s="330"/>
      <c r="BK13" s="331"/>
      <c r="BL13" s="326"/>
      <c r="BM13" s="332">
        <f t="shared" si="9"/>
        <v>0</v>
      </c>
      <c r="BN13" s="333">
        <f t="shared" si="10"/>
        <v>0</v>
      </c>
      <c r="BO13" s="329"/>
      <c r="BP13" s="330"/>
      <c r="BQ13" s="330"/>
      <c r="BR13" s="330"/>
      <c r="BS13" s="330"/>
      <c r="BT13" s="330"/>
      <c r="BU13" s="330"/>
      <c r="BV13" s="330"/>
      <c r="BW13" s="330"/>
      <c r="BX13" s="330"/>
      <c r="BY13" s="330"/>
      <c r="BZ13" s="331"/>
      <c r="CA13" s="326"/>
      <c r="CB13" s="332">
        <f t="shared" si="11"/>
        <v>0</v>
      </c>
      <c r="CC13" s="333">
        <f t="shared" si="12"/>
        <v>0</v>
      </c>
      <c r="CD13" s="329"/>
      <c r="CE13" s="330"/>
      <c r="CF13" s="330"/>
      <c r="CG13" s="330"/>
      <c r="CH13" s="330"/>
      <c r="CI13" s="330"/>
      <c r="CJ13" s="330"/>
      <c r="CK13" s="330"/>
      <c r="CL13" s="330"/>
      <c r="CM13" s="330"/>
      <c r="CN13" s="330"/>
      <c r="CO13" s="331"/>
      <c r="CP13" s="326"/>
      <c r="CQ13" s="332">
        <f t="shared" si="13"/>
        <v>0</v>
      </c>
      <c r="CR13" s="333">
        <f t="shared" si="14"/>
        <v>0</v>
      </c>
      <c r="CS13" s="334">
        <f t="shared" si="15"/>
        <v>0</v>
      </c>
      <c r="CT13" s="335">
        <f t="shared" si="2"/>
        <v>0</v>
      </c>
      <c r="CU13" s="417">
        <f t="shared" si="16"/>
        <v>0</v>
      </c>
      <c r="CV13" s="529" t="str">
        <f t="shared" si="3"/>
        <v xml:space="preserve"> </v>
      </c>
      <c r="CW13" s="529" t="str">
        <f t="shared" si="4"/>
        <v xml:space="preserve"> </v>
      </c>
      <c r="CX13" s="528">
        <f t="shared" si="17"/>
        <v>0</v>
      </c>
    </row>
    <row r="14" spans="1:102" s="33" customFormat="1" ht="30" customHeight="1" thickBot="1">
      <c r="A14" s="1052"/>
      <c r="B14" s="1050"/>
      <c r="C14" s="1050"/>
      <c r="D14" s="34"/>
      <c r="E14" s="125" t="s">
        <v>106</v>
      </c>
      <c r="F14" s="30"/>
      <c r="G14" s="31"/>
      <c r="H14" s="32"/>
      <c r="I14" s="519"/>
      <c r="J14" s="31"/>
      <c r="K14" s="522" t="str">
        <f t="shared" si="0"/>
        <v xml:space="preserve"> </v>
      </c>
      <c r="L14" s="31"/>
      <c r="M14" s="31"/>
      <c r="N14" s="401"/>
      <c r="O14" s="698"/>
      <c r="P14" s="698" t="s">
        <v>1990</v>
      </c>
      <c r="Q14" s="697"/>
      <c r="R14" s="182"/>
      <c r="S14" s="326"/>
      <c r="T14" s="399"/>
      <c r="U14" s="328">
        <f t="shared" si="18"/>
        <v>0</v>
      </c>
      <c r="V14" s="385"/>
      <c r="W14" s="352"/>
      <c r="X14" s="352"/>
      <c r="Y14" s="352"/>
      <c r="Z14" s="352"/>
      <c r="AA14" s="352"/>
      <c r="AB14" s="324"/>
      <c r="AC14" s="324"/>
      <c r="AD14" s="324"/>
      <c r="AE14" s="324"/>
      <c r="AF14" s="324"/>
      <c r="AG14" s="325"/>
      <c r="AH14" s="326"/>
      <c r="AI14" s="327">
        <f t="shared" si="5"/>
        <v>0</v>
      </c>
      <c r="AJ14" s="328">
        <f t="shared" si="6"/>
        <v>0</v>
      </c>
      <c r="AK14" s="329"/>
      <c r="AL14" s="330"/>
      <c r="AM14" s="330"/>
      <c r="AN14" s="330"/>
      <c r="AO14" s="330"/>
      <c r="AP14" s="330"/>
      <c r="AQ14" s="330"/>
      <c r="AR14" s="330"/>
      <c r="AS14" s="330"/>
      <c r="AT14" s="330"/>
      <c r="AU14" s="330"/>
      <c r="AV14" s="331"/>
      <c r="AW14" s="326"/>
      <c r="AX14" s="332">
        <f t="shared" si="7"/>
        <v>0</v>
      </c>
      <c r="AY14" s="333">
        <f t="shared" si="8"/>
        <v>0</v>
      </c>
      <c r="AZ14" s="329"/>
      <c r="BA14" s="330"/>
      <c r="BB14" s="330"/>
      <c r="BC14" s="330"/>
      <c r="BD14" s="330"/>
      <c r="BE14" s="330"/>
      <c r="BF14" s="330"/>
      <c r="BG14" s="330"/>
      <c r="BH14" s="330"/>
      <c r="BI14" s="330"/>
      <c r="BJ14" s="330"/>
      <c r="BK14" s="331"/>
      <c r="BL14" s="326"/>
      <c r="BM14" s="332">
        <f t="shared" si="9"/>
        <v>0</v>
      </c>
      <c r="BN14" s="333">
        <f t="shared" si="10"/>
        <v>0</v>
      </c>
      <c r="BO14" s="329"/>
      <c r="BP14" s="330"/>
      <c r="BQ14" s="330"/>
      <c r="BR14" s="330"/>
      <c r="BS14" s="330"/>
      <c r="BT14" s="330"/>
      <c r="BU14" s="330"/>
      <c r="BV14" s="330"/>
      <c r="BW14" s="330"/>
      <c r="BX14" s="330"/>
      <c r="BY14" s="330"/>
      <c r="BZ14" s="331"/>
      <c r="CA14" s="326"/>
      <c r="CB14" s="332">
        <f t="shared" si="11"/>
        <v>0</v>
      </c>
      <c r="CC14" s="333">
        <f t="shared" si="12"/>
        <v>0</v>
      </c>
      <c r="CD14" s="329"/>
      <c r="CE14" s="330"/>
      <c r="CF14" s="330"/>
      <c r="CG14" s="330"/>
      <c r="CH14" s="330"/>
      <c r="CI14" s="330"/>
      <c r="CJ14" s="330"/>
      <c r="CK14" s="330"/>
      <c r="CL14" s="330"/>
      <c r="CM14" s="330"/>
      <c r="CN14" s="330"/>
      <c r="CO14" s="331"/>
      <c r="CP14" s="326"/>
      <c r="CQ14" s="332">
        <f t="shared" si="13"/>
        <v>0</v>
      </c>
      <c r="CR14" s="333">
        <f t="shared" si="14"/>
        <v>0</v>
      </c>
      <c r="CS14" s="334">
        <f t="shared" si="15"/>
        <v>0</v>
      </c>
      <c r="CT14" s="335">
        <f t="shared" si="2"/>
        <v>0</v>
      </c>
      <c r="CU14" s="417">
        <f t="shared" si="16"/>
        <v>0</v>
      </c>
      <c r="CV14" s="529" t="str">
        <f t="shared" si="3"/>
        <v xml:space="preserve"> </v>
      </c>
      <c r="CW14" s="529" t="str">
        <f t="shared" si="4"/>
        <v xml:space="preserve"> </v>
      </c>
      <c r="CX14" s="528">
        <f t="shared" si="17"/>
        <v>0</v>
      </c>
    </row>
    <row r="15" spans="1:102" s="33" customFormat="1" ht="22.5" customHeight="1" thickBot="1">
      <c r="A15" s="1051" t="s">
        <v>1562</v>
      </c>
      <c r="B15" s="1048" t="s">
        <v>1473</v>
      </c>
      <c r="C15" s="1048" t="s">
        <v>82</v>
      </c>
      <c r="D15" s="34"/>
      <c r="E15" s="125" t="s">
        <v>106</v>
      </c>
      <c r="F15" s="30"/>
      <c r="G15" s="31"/>
      <c r="H15" s="32"/>
      <c r="I15" s="519"/>
      <c r="J15" s="31"/>
      <c r="K15" s="522" t="str">
        <f t="shared" si="0"/>
        <v xml:space="preserve"> </v>
      </c>
      <c r="L15" s="31"/>
      <c r="M15" s="31"/>
      <c r="N15" s="401"/>
      <c r="O15" s="698"/>
      <c r="P15" s="698" t="s">
        <v>1990</v>
      </c>
      <c r="Q15" s="697"/>
      <c r="R15" s="182"/>
      <c r="S15" s="326"/>
      <c r="T15" s="399"/>
      <c r="U15" s="328">
        <f t="shared" si="18"/>
        <v>0</v>
      </c>
      <c r="V15" s="385"/>
      <c r="W15" s="352"/>
      <c r="X15" s="352"/>
      <c r="Y15" s="352"/>
      <c r="Z15" s="352"/>
      <c r="AA15" s="352"/>
      <c r="AB15" s="324"/>
      <c r="AC15" s="324"/>
      <c r="AD15" s="324"/>
      <c r="AE15" s="324"/>
      <c r="AF15" s="324"/>
      <c r="AG15" s="325"/>
      <c r="AH15" s="326"/>
      <c r="AI15" s="327">
        <f t="shared" si="5"/>
        <v>0</v>
      </c>
      <c r="AJ15" s="328">
        <f t="shared" si="6"/>
        <v>0</v>
      </c>
      <c r="AK15" s="329"/>
      <c r="AL15" s="330"/>
      <c r="AM15" s="330"/>
      <c r="AN15" s="330"/>
      <c r="AO15" s="330"/>
      <c r="AP15" s="330"/>
      <c r="AQ15" s="330"/>
      <c r="AR15" s="330"/>
      <c r="AS15" s="330"/>
      <c r="AT15" s="330"/>
      <c r="AU15" s="330"/>
      <c r="AV15" s="331"/>
      <c r="AW15" s="326"/>
      <c r="AX15" s="332">
        <f t="shared" si="7"/>
        <v>0</v>
      </c>
      <c r="AY15" s="333">
        <f t="shared" si="8"/>
        <v>0</v>
      </c>
      <c r="AZ15" s="329"/>
      <c r="BA15" s="330"/>
      <c r="BB15" s="330"/>
      <c r="BC15" s="330"/>
      <c r="BD15" s="330"/>
      <c r="BE15" s="330"/>
      <c r="BF15" s="330"/>
      <c r="BG15" s="330"/>
      <c r="BH15" s="330"/>
      <c r="BI15" s="330"/>
      <c r="BJ15" s="330"/>
      <c r="BK15" s="331"/>
      <c r="BL15" s="326"/>
      <c r="BM15" s="332">
        <f t="shared" si="9"/>
        <v>0</v>
      </c>
      <c r="BN15" s="333">
        <f t="shared" si="10"/>
        <v>0</v>
      </c>
      <c r="BO15" s="329"/>
      <c r="BP15" s="330"/>
      <c r="BQ15" s="330"/>
      <c r="BR15" s="330"/>
      <c r="BS15" s="330"/>
      <c r="BT15" s="330"/>
      <c r="BU15" s="330"/>
      <c r="BV15" s="330"/>
      <c r="BW15" s="330"/>
      <c r="BX15" s="330"/>
      <c r="BY15" s="330"/>
      <c r="BZ15" s="331"/>
      <c r="CA15" s="326"/>
      <c r="CB15" s="332">
        <f t="shared" si="11"/>
        <v>0</v>
      </c>
      <c r="CC15" s="333">
        <f t="shared" si="12"/>
        <v>0</v>
      </c>
      <c r="CD15" s="329"/>
      <c r="CE15" s="330"/>
      <c r="CF15" s="330"/>
      <c r="CG15" s="330"/>
      <c r="CH15" s="330"/>
      <c r="CI15" s="330"/>
      <c r="CJ15" s="330"/>
      <c r="CK15" s="330"/>
      <c r="CL15" s="330"/>
      <c r="CM15" s="330"/>
      <c r="CN15" s="330"/>
      <c r="CO15" s="331"/>
      <c r="CP15" s="326"/>
      <c r="CQ15" s="332">
        <f t="shared" si="13"/>
        <v>0</v>
      </c>
      <c r="CR15" s="333">
        <f t="shared" si="14"/>
        <v>0</v>
      </c>
      <c r="CS15" s="334">
        <f t="shared" si="15"/>
        <v>0</v>
      </c>
      <c r="CT15" s="335">
        <f t="shared" si="2"/>
        <v>0</v>
      </c>
      <c r="CU15" s="417">
        <f t="shared" si="16"/>
        <v>0</v>
      </c>
      <c r="CV15" s="529" t="str">
        <f t="shared" si="3"/>
        <v xml:space="preserve"> </v>
      </c>
      <c r="CW15" s="529" t="str">
        <f t="shared" si="4"/>
        <v xml:space="preserve"> </v>
      </c>
      <c r="CX15" s="528">
        <f t="shared" si="17"/>
        <v>0</v>
      </c>
    </row>
    <row r="16" spans="1:102" s="33" customFormat="1" ht="22.5" customHeight="1" thickBot="1">
      <c r="A16" s="1052"/>
      <c r="B16" s="1050"/>
      <c r="C16" s="1050"/>
      <c r="D16" s="34"/>
      <c r="E16" s="125" t="s">
        <v>106</v>
      </c>
      <c r="F16" s="30"/>
      <c r="G16" s="31"/>
      <c r="H16" s="32"/>
      <c r="I16" s="519"/>
      <c r="J16" s="31"/>
      <c r="K16" s="522" t="str">
        <f t="shared" si="0"/>
        <v xml:space="preserve"> </v>
      </c>
      <c r="L16" s="31"/>
      <c r="M16" s="31"/>
      <c r="N16" s="401"/>
      <c r="O16" s="698"/>
      <c r="P16" s="698" t="s">
        <v>1990</v>
      </c>
      <c r="Q16" s="697"/>
      <c r="R16" s="182"/>
      <c r="S16" s="326"/>
      <c r="T16" s="399"/>
      <c r="U16" s="328">
        <f t="shared" si="18"/>
        <v>0</v>
      </c>
      <c r="V16" s="385"/>
      <c r="W16" s="352"/>
      <c r="X16" s="352"/>
      <c r="Y16" s="352"/>
      <c r="Z16" s="352"/>
      <c r="AA16" s="352"/>
      <c r="AB16" s="324"/>
      <c r="AC16" s="324"/>
      <c r="AD16" s="324"/>
      <c r="AE16" s="324"/>
      <c r="AF16" s="324"/>
      <c r="AG16" s="325"/>
      <c r="AH16" s="326"/>
      <c r="AI16" s="327">
        <f t="shared" si="5"/>
        <v>0</v>
      </c>
      <c r="AJ16" s="328">
        <f t="shared" si="6"/>
        <v>0</v>
      </c>
      <c r="AK16" s="329"/>
      <c r="AL16" s="330"/>
      <c r="AM16" s="330"/>
      <c r="AN16" s="330"/>
      <c r="AO16" s="330"/>
      <c r="AP16" s="330"/>
      <c r="AQ16" s="330"/>
      <c r="AR16" s="330"/>
      <c r="AS16" s="330"/>
      <c r="AT16" s="330"/>
      <c r="AU16" s="330"/>
      <c r="AV16" s="331"/>
      <c r="AW16" s="326"/>
      <c r="AX16" s="332">
        <f t="shared" si="7"/>
        <v>0</v>
      </c>
      <c r="AY16" s="333">
        <f t="shared" si="8"/>
        <v>0</v>
      </c>
      <c r="AZ16" s="329"/>
      <c r="BA16" s="330"/>
      <c r="BB16" s="330"/>
      <c r="BC16" s="330"/>
      <c r="BD16" s="330"/>
      <c r="BE16" s="330"/>
      <c r="BF16" s="330"/>
      <c r="BG16" s="330"/>
      <c r="BH16" s="330"/>
      <c r="BI16" s="330"/>
      <c r="BJ16" s="330"/>
      <c r="BK16" s="331"/>
      <c r="BL16" s="326"/>
      <c r="BM16" s="332">
        <f t="shared" si="9"/>
        <v>0</v>
      </c>
      <c r="BN16" s="333">
        <f t="shared" si="10"/>
        <v>0</v>
      </c>
      <c r="BO16" s="329"/>
      <c r="BP16" s="330"/>
      <c r="BQ16" s="330"/>
      <c r="BR16" s="330"/>
      <c r="BS16" s="330"/>
      <c r="BT16" s="330"/>
      <c r="BU16" s="330"/>
      <c r="BV16" s="330"/>
      <c r="BW16" s="330"/>
      <c r="BX16" s="330"/>
      <c r="BY16" s="330"/>
      <c r="BZ16" s="331"/>
      <c r="CA16" s="326"/>
      <c r="CB16" s="332">
        <f t="shared" si="11"/>
        <v>0</v>
      </c>
      <c r="CC16" s="333">
        <f t="shared" si="12"/>
        <v>0</v>
      </c>
      <c r="CD16" s="329"/>
      <c r="CE16" s="330"/>
      <c r="CF16" s="330"/>
      <c r="CG16" s="330"/>
      <c r="CH16" s="330"/>
      <c r="CI16" s="330"/>
      <c r="CJ16" s="330"/>
      <c r="CK16" s="330"/>
      <c r="CL16" s="330"/>
      <c r="CM16" s="330"/>
      <c r="CN16" s="330"/>
      <c r="CO16" s="331"/>
      <c r="CP16" s="326"/>
      <c r="CQ16" s="332">
        <f t="shared" si="13"/>
        <v>0</v>
      </c>
      <c r="CR16" s="333">
        <f t="shared" si="14"/>
        <v>0</v>
      </c>
      <c r="CS16" s="334">
        <f t="shared" si="15"/>
        <v>0</v>
      </c>
      <c r="CT16" s="335">
        <f t="shared" si="2"/>
        <v>0</v>
      </c>
      <c r="CU16" s="417">
        <f t="shared" si="16"/>
        <v>0</v>
      </c>
      <c r="CV16" s="529" t="str">
        <f t="shared" si="3"/>
        <v xml:space="preserve"> </v>
      </c>
      <c r="CW16" s="529" t="str">
        <f t="shared" si="4"/>
        <v xml:space="preserve"> </v>
      </c>
      <c r="CX16" s="528">
        <f t="shared" si="17"/>
        <v>0</v>
      </c>
    </row>
    <row r="17" spans="1:102" s="33" customFormat="1" ht="22.5" customHeight="1" thickBot="1">
      <c r="A17" s="1051" t="s">
        <v>1563</v>
      </c>
      <c r="B17" s="1048" t="s">
        <v>1474</v>
      </c>
      <c r="C17" s="1048" t="s">
        <v>1674</v>
      </c>
      <c r="D17" s="34"/>
      <c r="E17" s="125" t="s">
        <v>106</v>
      </c>
      <c r="F17" s="30"/>
      <c r="G17" s="31"/>
      <c r="H17" s="32"/>
      <c r="I17" s="519"/>
      <c r="J17" s="31"/>
      <c r="K17" s="522" t="str">
        <f t="shared" si="0"/>
        <v xml:space="preserve"> </v>
      </c>
      <c r="L17" s="31"/>
      <c r="M17" s="31"/>
      <c r="N17" s="401"/>
      <c r="O17" s="698"/>
      <c r="P17" s="698" t="s">
        <v>1990</v>
      </c>
      <c r="Q17" s="697"/>
      <c r="R17" s="182"/>
      <c r="S17" s="326"/>
      <c r="T17" s="399"/>
      <c r="U17" s="328">
        <f t="shared" si="18"/>
        <v>0</v>
      </c>
      <c r="V17" s="385"/>
      <c r="W17" s="352"/>
      <c r="X17" s="352"/>
      <c r="Y17" s="352"/>
      <c r="Z17" s="352"/>
      <c r="AA17" s="352"/>
      <c r="AB17" s="324"/>
      <c r="AC17" s="324"/>
      <c r="AD17" s="324"/>
      <c r="AE17" s="324"/>
      <c r="AF17" s="324"/>
      <c r="AG17" s="325"/>
      <c r="AH17" s="326"/>
      <c r="AI17" s="327">
        <f t="shared" si="5"/>
        <v>0</v>
      </c>
      <c r="AJ17" s="328">
        <f t="shared" si="6"/>
        <v>0</v>
      </c>
      <c r="AK17" s="329"/>
      <c r="AL17" s="330"/>
      <c r="AM17" s="330"/>
      <c r="AN17" s="330"/>
      <c r="AO17" s="330"/>
      <c r="AP17" s="330"/>
      <c r="AQ17" s="330"/>
      <c r="AR17" s="330"/>
      <c r="AS17" s="330"/>
      <c r="AT17" s="330"/>
      <c r="AU17" s="330"/>
      <c r="AV17" s="331"/>
      <c r="AW17" s="326"/>
      <c r="AX17" s="332">
        <f t="shared" si="7"/>
        <v>0</v>
      </c>
      <c r="AY17" s="333">
        <f t="shared" si="8"/>
        <v>0</v>
      </c>
      <c r="AZ17" s="329"/>
      <c r="BA17" s="330"/>
      <c r="BB17" s="330"/>
      <c r="BC17" s="330"/>
      <c r="BD17" s="330"/>
      <c r="BE17" s="330"/>
      <c r="BF17" s="330"/>
      <c r="BG17" s="330"/>
      <c r="BH17" s="330"/>
      <c r="BI17" s="330"/>
      <c r="BJ17" s="330"/>
      <c r="BK17" s="331"/>
      <c r="BL17" s="326"/>
      <c r="BM17" s="332">
        <f t="shared" si="9"/>
        <v>0</v>
      </c>
      <c r="BN17" s="333">
        <f t="shared" si="10"/>
        <v>0</v>
      </c>
      <c r="BO17" s="329"/>
      <c r="BP17" s="330"/>
      <c r="BQ17" s="330"/>
      <c r="BR17" s="330"/>
      <c r="BS17" s="330"/>
      <c r="BT17" s="330"/>
      <c r="BU17" s="330"/>
      <c r="BV17" s="330"/>
      <c r="BW17" s="330"/>
      <c r="BX17" s="330"/>
      <c r="BY17" s="330"/>
      <c r="BZ17" s="331"/>
      <c r="CA17" s="326"/>
      <c r="CB17" s="332">
        <f t="shared" si="11"/>
        <v>0</v>
      </c>
      <c r="CC17" s="333">
        <f t="shared" si="12"/>
        <v>0</v>
      </c>
      <c r="CD17" s="329"/>
      <c r="CE17" s="330"/>
      <c r="CF17" s="330"/>
      <c r="CG17" s="330"/>
      <c r="CH17" s="330"/>
      <c r="CI17" s="330"/>
      <c r="CJ17" s="330"/>
      <c r="CK17" s="330"/>
      <c r="CL17" s="330"/>
      <c r="CM17" s="330"/>
      <c r="CN17" s="330"/>
      <c r="CO17" s="331"/>
      <c r="CP17" s="326"/>
      <c r="CQ17" s="332">
        <f t="shared" si="13"/>
        <v>0</v>
      </c>
      <c r="CR17" s="333">
        <f t="shared" si="14"/>
        <v>0</v>
      </c>
      <c r="CS17" s="334">
        <f t="shared" si="15"/>
        <v>0</v>
      </c>
      <c r="CT17" s="335">
        <f t="shared" si="2"/>
        <v>0</v>
      </c>
      <c r="CU17" s="417">
        <f t="shared" si="16"/>
        <v>0</v>
      </c>
      <c r="CV17" s="529" t="str">
        <f t="shared" si="3"/>
        <v xml:space="preserve"> </v>
      </c>
      <c r="CW17" s="529" t="str">
        <f t="shared" si="4"/>
        <v xml:space="preserve"> </v>
      </c>
      <c r="CX17" s="528">
        <f t="shared" si="17"/>
        <v>0</v>
      </c>
    </row>
    <row r="18" spans="1:102" s="33" customFormat="1" ht="22.5" customHeight="1" thickBot="1">
      <c r="A18" s="1052"/>
      <c r="B18" s="1050"/>
      <c r="C18" s="1050"/>
      <c r="D18" s="34"/>
      <c r="E18" s="125" t="s">
        <v>106</v>
      </c>
      <c r="F18" s="30"/>
      <c r="G18" s="31"/>
      <c r="H18" s="32"/>
      <c r="I18" s="519"/>
      <c r="J18" s="31"/>
      <c r="K18" s="522" t="str">
        <f t="shared" si="0"/>
        <v xml:space="preserve"> </v>
      </c>
      <c r="L18" s="31"/>
      <c r="M18" s="31"/>
      <c r="N18" s="401"/>
      <c r="O18" s="698"/>
      <c r="P18" s="698" t="s">
        <v>1990</v>
      </c>
      <c r="Q18" s="697"/>
      <c r="R18" s="182"/>
      <c r="S18" s="326"/>
      <c r="T18" s="399"/>
      <c r="U18" s="328">
        <f t="shared" si="18"/>
        <v>0</v>
      </c>
      <c r="V18" s="385"/>
      <c r="W18" s="352"/>
      <c r="X18" s="352"/>
      <c r="Y18" s="352"/>
      <c r="Z18" s="352"/>
      <c r="AA18" s="352"/>
      <c r="AB18" s="324"/>
      <c r="AC18" s="324"/>
      <c r="AD18" s="324"/>
      <c r="AE18" s="324"/>
      <c r="AF18" s="324"/>
      <c r="AG18" s="325"/>
      <c r="AH18" s="326"/>
      <c r="AI18" s="327">
        <f t="shared" si="5"/>
        <v>0</v>
      </c>
      <c r="AJ18" s="328">
        <f t="shared" si="6"/>
        <v>0</v>
      </c>
      <c r="AK18" s="329"/>
      <c r="AL18" s="330"/>
      <c r="AM18" s="330"/>
      <c r="AN18" s="330"/>
      <c r="AO18" s="330"/>
      <c r="AP18" s="330"/>
      <c r="AQ18" s="330"/>
      <c r="AR18" s="330"/>
      <c r="AS18" s="330"/>
      <c r="AT18" s="330"/>
      <c r="AU18" s="330"/>
      <c r="AV18" s="331"/>
      <c r="AW18" s="326"/>
      <c r="AX18" s="332">
        <f t="shared" si="7"/>
        <v>0</v>
      </c>
      <c r="AY18" s="333">
        <f t="shared" si="8"/>
        <v>0</v>
      </c>
      <c r="AZ18" s="329"/>
      <c r="BA18" s="330"/>
      <c r="BB18" s="330"/>
      <c r="BC18" s="330"/>
      <c r="BD18" s="330"/>
      <c r="BE18" s="330"/>
      <c r="BF18" s="330"/>
      <c r="BG18" s="330"/>
      <c r="BH18" s="330"/>
      <c r="BI18" s="330"/>
      <c r="BJ18" s="330"/>
      <c r="BK18" s="331"/>
      <c r="BL18" s="326"/>
      <c r="BM18" s="332">
        <f t="shared" si="9"/>
        <v>0</v>
      </c>
      <c r="BN18" s="333">
        <f t="shared" si="10"/>
        <v>0</v>
      </c>
      <c r="BO18" s="329"/>
      <c r="BP18" s="330"/>
      <c r="BQ18" s="330"/>
      <c r="BR18" s="330"/>
      <c r="BS18" s="330"/>
      <c r="BT18" s="330"/>
      <c r="BU18" s="330"/>
      <c r="BV18" s="330"/>
      <c r="BW18" s="330"/>
      <c r="BX18" s="330"/>
      <c r="BY18" s="330"/>
      <c r="BZ18" s="331"/>
      <c r="CA18" s="326"/>
      <c r="CB18" s="332">
        <f t="shared" si="11"/>
        <v>0</v>
      </c>
      <c r="CC18" s="333">
        <f t="shared" si="12"/>
        <v>0</v>
      </c>
      <c r="CD18" s="329"/>
      <c r="CE18" s="330"/>
      <c r="CF18" s="330"/>
      <c r="CG18" s="330"/>
      <c r="CH18" s="330"/>
      <c r="CI18" s="330"/>
      <c r="CJ18" s="330"/>
      <c r="CK18" s="330"/>
      <c r="CL18" s="330"/>
      <c r="CM18" s="330"/>
      <c r="CN18" s="330"/>
      <c r="CO18" s="331"/>
      <c r="CP18" s="326"/>
      <c r="CQ18" s="332">
        <f t="shared" si="13"/>
        <v>0</v>
      </c>
      <c r="CR18" s="333">
        <f t="shared" si="14"/>
        <v>0</v>
      </c>
      <c r="CS18" s="334">
        <f t="shared" si="15"/>
        <v>0</v>
      </c>
      <c r="CT18" s="335">
        <f t="shared" si="2"/>
        <v>0</v>
      </c>
      <c r="CU18" s="417">
        <f t="shared" si="16"/>
        <v>0</v>
      </c>
      <c r="CV18" s="529" t="str">
        <f t="shared" si="3"/>
        <v xml:space="preserve"> </v>
      </c>
      <c r="CW18" s="529" t="str">
        <f t="shared" si="4"/>
        <v xml:space="preserve"> </v>
      </c>
      <c r="CX18" s="528">
        <f t="shared" si="17"/>
        <v>0</v>
      </c>
    </row>
    <row r="19" spans="1:102" s="33" customFormat="1" ht="22.5" customHeight="1" thickBot="1">
      <c r="A19" s="1051" t="s">
        <v>1564</v>
      </c>
      <c r="B19" s="1048" t="s">
        <v>1475</v>
      </c>
      <c r="C19" s="1048" t="s">
        <v>1476</v>
      </c>
      <c r="D19" s="34"/>
      <c r="E19" s="125" t="s">
        <v>106</v>
      </c>
      <c r="F19" s="30"/>
      <c r="G19" s="31"/>
      <c r="H19" s="32"/>
      <c r="I19" s="520"/>
      <c r="J19" s="521"/>
      <c r="K19" s="522" t="str">
        <f t="shared" si="0"/>
        <v xml:space="preserve"> </v>
      </c>
      <c r="L19" s="521"/>
      <c r="M19" s="521"/>
      <c r="N19" s="402"/>
      <c r="O19" s="698"/>
      <c r="P19" s="698" t="s">
        <v>1990</v>
      </c>
      <c r="Q19" s="697"/>
      <c r="R19" s="182"/>
      <c r="S19" s="326"/>
      <c r="T19" s="399"/>
      <c r="U19" s="328">
        <f t="shared" si="18"/>
        <v>0</v>
      </c>
      <c r="V19" s="385"/>
      <c r="W19" s="352"/>
      <c r="X19" s="352"/>
      <c r="Y19" s="352"/>
      <c r="Z19" s="352"/>
      <c r="AA19" s="352"/>
      <c r="AB19" s="324"/>
      <c r="AC19" s="324"/>
      <c r="AD19" s="324"/>
      <c r="AE19" s="324"/>
      <c r="AF19" s="324"/>
      <c r="AG19" s="325"/>
      <c r="AH19" s="326"/>
      <c r="AI19" s="327">
        <f t="shared" si="5"/>
        <v>0</v>
      </c>
      <c r="AJ19" s="328">
        <f t="shared" si="6"/>
        <v>0</v>
      </c>
      <c r="AK19" s="329"/>
      <c r="AL19" s="330"/>
      <c r="AM19" s="330"/>
      <c r="AN19" s="330"/>
      <c r="AO19" s="330"/>
      <c r="AP19" s="330"/>
      <c r="AQ19" s="330"/>
      <c r="AR19" s="330"/>
      <c r="AS19" s="330"/>
      <c r="AT19" s="330"/>
      <c r="AU19" s="330"/>
      <c r="AV19" s="331"/>
      <c r="AW19" s="326"/>
      <c r="AX19" s="332">
        <f t="shared" si="7"/>
        <v>0</v>
      </c>
      <c r="AY19" s="333">
        <f t="shared" si="8"/>
        <v>0</v>
      </c>
      <c r="AZ19" s="329"/>
      <c r="BA19" s="330"/>
      <c r="BB19" s="330"/>
      <c r="BC19" s="330"/>
      <c r="BD19" s="330"/>
      <c r="BE19" s="330"/>
      <c r="BF19" s="330"/>
      <c r="BG19" s="330"/>
      <c r="BH19" s="330"/>
      <c r="BI19" s="330"/>
      <c r="BJ19" s="330"/>
      <c r="BK19" s="331"/>
      <c r="BL19" s="326"/>
      <c r="BM19" s="332">
        <f t="shared" si="9"/>
        <v>0</v>
      </c>
      <c r="BN19" s="333">
        <f t="shared" si="10"/>
        <v>0</v>
      </c>
      <c r="BO19" s="329"/>
      <c r="BP19" s="330"/>
      <c r="BQ19" s="330"/>
      <c r="BR19" s="330"/>
      <c r="BS19" s="330"/>
      <c r="BT19" s="330"/>
      <c r="BU19" s="330"/>
      <c r="BV19" s="330"/>
      <c r="BW19" s="330"/>
      <c r="BX19" s="330"/>
      <c r="BY19" s="330"/>
      <c r="BZ19" s="331"/>
      <c r="CA19" s="326"/>
      <c r="CB19" s="332">
        <f t="shared" si="11"/>
        <v>0</v>
      </c>
      <c r="CC19" s="333">
        <f t="shared" si="12"/>
        <v>0</v>
      </c>
      <c r="CD19" s="329"/>
      <c r="CE19" s="330"/>
      <c r="CF19" s="330"/>
      <c r="CG19" s="330"/>
      <c r="CH19" s="330"/>
      <c r="CI19" s="330"/>
      <c r="CJ19" s="330"/>
      <c r="CK19" s="330"/>
      <c r="CL19" s="330"/>
      <c r="CM19" s="330"/>
      <c r="CN19" s="330"/>
      <c r="CO19" s="331"/>
      <c r="CP19" s="326"/>
      <c r="CQ19" s="332">
        <f t="shared" si="13"/>
        <v>0</v>
      </c>
      <c r="CR19" s="333">
        <f t="shared" si="14"/>
        <v>0</v>
      </c>
      <c r="CS19" s="334">
        <f t="shared" si="15"/>
        <v>0</v>
      </c>
      <c r="CT19" s="335">
        <f t="shared" si="2"/>
        <v>0</v>
      </c>
      <c r="CU19" s="417">
        <f t="shared" si="16"/>
        <v>0</v>
      </c>
      <c r="CV19" s="529" t="str">
        <f t="shared" si="3"/>
        <v xml:space="preserve"> </v>
      </c>
      <c r="CW19" s="529" t="str">
        <f t="shared" si="4"/>
        <v xml:space="preserve"> </v>
      </c>
      <c r="CX19" s="528">
        <f t="shared" si="17"/>
        <v>0</v>
      </c>
    </row>
    <row r="20" spans="1:102" s="33" customFormat="1" ht="22.5" customHeight="1" thickBot="1">
      <c r="A20" s="1052"/>
      <c r="B20" s="1050"/>
      <c r="C20" s="1050"/>
      <c r="D20" s="34"/>
      <c r="E20" s="125" t="s">
        <v>106</v>
      </c>
      <c r="F20" s="30"/>
      <c r="G20" s="31"/>
      <c r="H20" s="32"/>
      <c r="I20" s="520"/>
      <c r="J20" s="521"/>
      <c r="K20" s="522" t="str">
        <f t="shared" si="0"/>
        <v xml:space="preserve"> </v>
      </c>
      <c r="L20" s="521"/>
      <c r="M20" s="521"/>
      <c r="N20" s="402"/>
      <c r="O20" s="698"/>
      <c r="P20" s="698" t="s">
        <v>1990</v>
      </c>
      <c r="Q20" s="697"/>
      <c r="R20" s="182"/>
      <c r="S20" s="326"/>
      <c r="T20" s="399"/>
      <c r="U20" s="328">
        <f t="shared" si="18"/>
        <v>0</v>
      </c>
      <c r="V20" s="385"/>
      <c r="W20" s="352"/>
      <c r="X20" s="352"/>
      <c r="Y20" s="352"/>
      <c r="Z20" s="352"/>
      <c r="AA20" s="352"/>
      <c r="AB20" s="324"/>
      <c r="AC20" s="324"/>
      <c r="AD20" s="324"/>
      <c r="AE20" s="324"/>
      <c r="AF20" s="324"/>
      <c r="AG20" s="325"/>
      <c r="AH20" s="326"/>
      <c r="AI20" s="327">
        <f t="shared" si="5"/>
        <v>0</v>
      </c>
      <c r="AJ20" s="328">
        <f t="shared" si="6"/>
        <v>0</v>
      </c>
      <c r="AK20" s="329"/>
      <c r="AL20" s="330"/>
      <c r="AM20" s="330"/>
      <c r="AN20" s="330"/>
      <c r="AO20" s="330"/>
      <c r="AP20" s="330"/>
      <c r="AQ20" s="330"/>
      <c r="AR20" s="330"/>
      <c r="AS20" s="330"/>
      <c r="AT20" s="330"/>
      <c r="AU20" s="330"/>
      <c r="AV20" s="331"/>
      <c r="AW20" s="326"/>
      <c r="AX20" s="332">
        <f t="shared" si="7"/>
        <v>0</v>
      </c>
      <c r="AY20" s="333">
        <f t="shared" si="8"/>
        <v>0</v>
      </c>
      <c r="AZ20" s="329"/>
      <c r="BA20" s="330"/>
      <c r="BB20" s="330"/>
      <c r="BC20" s="330"/>
      <c r="BD20" s="330"/>
      <c r="BE20" s="330"/>
      <c r="BF20" s="330"/>
      <c r="BG20" s="330"/>
      <c r="BH20" s="330"/>
      <c r="BI20" s="330"/>
      <c r="BJ20" s="330"/>
      <c r="BK20" s="331"/>
      <c r="BL20" s="326"/>
      <c r="BM20" s="332">
        <f t="shared" si="9"/>
        <v>0</v>
      </c>
      <c r="BN20" s="333">
        <f t="shared" si="10"/>
        <v>0</v>
      </c>
      <c r="BO20" s="329"/>
      <c r="BP20" s="330"/>
      <c r="BQ20" s="330"/>
      <c r="BR20" s="330"/>
      <c r="BS20" s="330"/>
      <c r="BT20" s="330"/>
      <c r="BU20" s="330"/>
      <c r="BV20" s="330"/>
      <c r="BW20" s="330"/>
      <c r="BX20" s="330"/>
      <c r="BY20" s="330"/>
      <c r="BZ20" s="331"/>
      <c r="CA20" s="326"/>
      <c r="CB20" s="332">
        <f t="shared" si="11"/>
        <v>0</v>
      </c>
      <c r="CC20" s="333">
        <f t="shared" si="12"/>
        <v>0</v>
      </c>
      <c r="CD20" s="329"/>
      <c r="CE20" s="330"/>
      <c r="CF20" s="330"/>
      <c r="CG20" s="330"/>
      <c r="CH20" s="330"/>
      <c r="CI20" s="330"/>
      <c r="CJ20" s="330"/>
      <c r="CK20" s="330"/>
      <c r="CL20" s="330"/>
      <c r="CM20" s="330"/>
      <c r="CN20" s="330"/>
      <c r="CO20" s="331"/>
      <c r="CP20" s="326"/>
      <c r="CQ20" s="332">
        <f t="shared" si="13"/>
        <v>0</v>
      </c>
      <c r="CR20" s="333">
        <f t="shared" si="14"/>
        <v>0</v>
      </c>
      <c r="CS20" s="334">
        <f t="shared" si="15"/>
        <v>0</v>
      </c>
      <c r="CT20" s="335">
        <f t="shared" si="2"/>
        <v>0</v>
      </c>
      <c r="CU20" s="417">
        <f t="shared" si="16"/>
        <v>0</v>
      </c>
      <c r="CV20" s="529" t="str">
        <f t="shared" si="3"/>
        <v xml:space="preserve"> </v>
      </c>
      <c r="CW20" s="529" t="str">
        <f t="shared" si="4"/>
        <v xml:space="preserve"> </v>
      </c>
      <c r="CX20" s="528">
        <f t="shared" si="17"/>
        <v>0</v>
      </c>
    </row>
    <row r="21" spans="1:102" s="33" customFormat="1" ht="22.5" customHeight="1" thickBot="1">
      <c r="A21" s="1051" t="s">
        <v>1565</v>
      </c>
      <c r="B21" s="1048" t="s">
        <v>1477</v>
      </c>
      <c r="C21" s="1048" t="s">
        <v>83</v>
      </c>
      <c r="D21" s="34"/>
      <c r="E21" s="125" t="s">
        <v>106</v>
      </c>
      <c r="F21" s="30"/>
      <c r="G21" s="31"/>
      <c r="H21" s="32"/>
      <c r="I21" s="520"/>
      <c r="J21" s="521"/>
      <c r="K21" s="522" t="str">
        <f t="shared" si="0"/>
        <v xml:space="preserve"> </v>
      </c>
      <c r="L21" s="521"/>
      <c r="M21" s="521"/>
      <c r="N21" s="402"/>
      <c r="O21" s="698"/>
      <c r="P21" s="698" t="s">
        <v>1990</v>
      </c>
      <c r="Q21" s="697"/>
      <c r="R21" s="182"/>
      <c r="S21" s="326"/>
      <c r="T21" s="399"/>
      <c r="U21" s="328">
        <f t="shared" si="18"/>
        <v>0</v>
      </c>
      <c r="V21" s="385"/>
      <c r="W21" s="352"/>
      <c r="X21" s="352"/>
      <c r="Y21" s="352"/>
      <c r="Z21" s="352"/>
      <c r="AA21" s="352"/>
      <c r="AB21" s="324"/>
      <c r="AC21" s="324"/>
      <c r="AD21" s="324"/>
      <c r="AE21" s="324"/>
      <c r="AF21" s="324"/>
      <c r="AG21" s="325"/>
      <c r="AH21" s="326"/>
      <c r="AI21" s="327">
        <f t="shared" si="5"/>
        <v>0</v>
      </c>
      <c r="AJ21" s="328">
        <f t="shared" si="6"/>
        <v>0</v>
      </c>
      <c r="AK21" s="329"/>
      <c r="AL21" s="330"/>
      <c r="AM21" s="330"/>
      <c r="AN21" s="330"/>
      <c r="AO21" s="330"/>
      <c r="AP21" s="330"/>
      <c r="AQ21" s="330"/>
      <c r="AR21" s="330"/>
      <c r="AS21" s="330"/>
      <c r="AT21" s="330"/>
      <c r="AU21" s="330"/>
      <c r="AV21" s="331"/>
      <c r="AW21" s="326"/>
      <c r="AX21" s="332">
        <f t="shared" si="7"/>
        <v>0</v>
      </c>
      <c r="AY21" s="333">
        <f t="shared" si="8"/>
        <v>0</v>
      </c>
      <c r="AZ21" s="329"/>
      <c r="BA21" s="330"/>
      <c r="BB21" s="330"/>
      <c r="BC21" s="330"/>
      <c r="BD21" s="330"/>
      <c r="BE21" s="330"/>
      <c r="BF21" s="330"/>
      <c r="BG21" s="330"/>
      <c r="BH21" s="330"/>
      <c r="BI21" s="330"/>
      <c r="BJ21" s="330"/>
      <c r="BK21" s="331"/>
      <c r="BL21" s="326"/>
      <c r="BM21" s="332">
        <f t="shared" si="9"/>
        <v>0</v>
      </c>
      <c r="BN21" s="333">
        <f t="shared" si="10"/>
        <v>0</v>
      </c>
      <c r="BO21" s="329"/>
      <c r="BP21" s="330"/>
      <c r="BQ21" s="330"/>
      <c r="BR21" s="330"/>
      <c r="BS21" s="330"/>
      <c r="BT21" s="330"/>
      <c r="BU21" s="330"/>
      <c r="BV21" s="330"/>
      <c r="BW21" s="330"/>
      <c r="BX21" s="330"/>
      <c r="BY21" s="330"/>
      <c r="BZ21" s="331"/>
      <c r="CA21" s="326"/>
      <c r="CB21" s="332">
        <f t="shared" si="11"/>
        <v>0</v>
      </c>
      <c r="CC21" s="333">
        <f t="shared" si="12"/>
        <v>0</v>
      </c>
      <c r="CD21" s="329"/>
      <c r="CE21" s="330"/>
      <c r="CF21" s="330"/>
      <c r="CG21" s="330"/>
      <c r="CH21" s="330"/>
      <c r="CI21" s="330"/>
      <c r="CJ21" s="330"/>
      <c r="CK21" s="330"/>
      <c r="CL21" s="330"/>
      <c r="CM21" s="330"/>
      <c r="CN21" s="330"/>
      <c r="CO21" s="331"/>
      <c r="CP21" s="326"/>
      <c r="CQ21" s="332">
        <f t="shared" si="13"/>
        <v>0</v>
      </c>
      <c r="CR21" s="333">
        <f t="shared" si="14"/>
        <v>0</v>
      </c>
      <c r="CS21" s="334">
        <f t="shared" si="15"/>
        <v>0</v>
      </c>
      <c r="CT21" s="335">
        <f t="shared" si="2"/>
        <v>0</v>
      </c>
      <c r="CU21" s="417">
        <f t="shared" si="16"/>
        <v>0</v>
      </c>
      <c r="CV21" s="529" t="str">
        <f t="shared" si="3"/>
        <v xml:space="preserve"> </v>
      </c>
      <c r="CW21" s="529" t="str">
        <f t="shared" si="4"/>
        <v xml:space="preserve"> </v>
      </c>
      <c r="CX21" s="528">
        <f t="shared" si="17"/>
        <v>0</v>
      </c>
    </row>
    <row r="22" spans="1:102" s="33" customFormat="1" ht="22.5" customHeight="1" thickBot="1">
      <c r="A22" s="1052"/>
      <c r="B22" s="1050"/>
      <c r="C22" s="1050"/>
      <c r="D22" s="34"/>
      <c r="E22" s="125" t="s">
        <v>106</v>
      </c>
      <c r="F22" s="30"/>
      <c r="G22" s="31"/>
      <c r="H22" s="32"/>
      <c r="I22" s="520"/>
      <c r="J22" s="521"/>
      <c r="K22" s="522" t="str">
        <f t="shared" si="0"/>
        <v xml:space="preserve"> </v>
      </c>
      <c r="L22" s="521"/>
      <c r="M22" s="521"/>
      <c r="N22" s="402"/>
      <c r="O22" s="698"/>
      <c r="P22" s="698" t="s">
        <v>1990</v>
      </c>
      <c r="Q22" s="697"/>
      <c r="R22" s="182"/>
      <c r="S22" s="326"/>
      <c r="T22" s="399"/>
      <c r="U22" s="328">
        <f t="shared" si="18"/>
        <v>0</v>
      </c>
      <c r="V22" s="385"/>
      <c r="W22" s="352"/>
      <c r="X22" s="352"/>
      <c r="Y22" s="352"/>
      <c r="Z22" s="352"/>
      <c r="AA22" s="352"/>
      <c r="AB22" s="324"/>
      <c r="AC22" s="324"/>
      <c r="AD22" s="324"/>
      <c r="AE22" s="324"/>
      <c r="AF22" s="324"/>
      <c r="AG22" s="325"/>
      <c r="AH22" s="326"/>
      <c r="AI22" s="327">
        <f t="shared" si="5"/>
        <v>0</v>
      </c>
      <c r="AJ22" s="328">
        <f t="shared" si="6"/>
        <v>0</v>
      </c>
      <c r="AK22" s="329"/>
      <c r="AL22" s="330"/>
      <c r="AM22" s="330"/>
      <c r="AN22" s="330"/>
      <c r="AO22" s="330"/>
      <c r="AP22" s="330"/>
      <c r="AQ22" s="330"/>
      <c r="AR22" s="330"/>
      <c r="AS22" s="330"/>
      <c r="AT22" s="330"/>
      <c r="AU22" s="330"/>
      <c r="AV22" s="331"/>
      <c r="AW22" s="326"/>
      <c r="AX22" s="332">
        <f t="shared" si="7"/>
        <v>0</v>
      </c>
      <c r="AY22" s="333">
        <f t="shared" si="8"/>
        <v>0</v>
      </c>
      <c r="AZ22" s="329"/>
      <c r="BA22" s="330"/>
      <c r="BB22" s="330"/>
      <c r="BC22" s="330"/>
      <c r="BD22" s="330"/>
      <c r="BE22" s="330"/>
      <c r="BF22" s="330"/>
      <c r="BG22" s="330"/>
      <c r="BH22" s="330"/>
      <c r="BI22" s="330"/>
      <c r="BJ22" s="330"/>
      <c r="BK22" s="331"/>
      <c r="BL22" s="326"/>
      <c r="BM22" s="332">
        <f t="shared" si="9"/>
        <v>0</v>
      </c>
      <c r="BN22" s="333">
        <f t="shared" si="10"/>
        <v>0</v>
      </c>
      <c r="BO22" s="329"/>
      <c r="BP22" s="330"/>
      <c r="BQ22" s="330"/>
      <c r="BR22" s="330"/>
      <c r="BS22" s="330"/>
      <c r="BT22" s="330"/>
      <c r="BU22" s="330"/>
      <c r="BV22" s="330"/>
      <c r="BW22" s="330"/>
      <c r="BX22" s="330"/>
      <c r="BY22" s="330"/>
      <c r="BZ22" s="331"/>
      <c r="CA22" s="326"/>
      <c r="CB22" s="332">
        <f t="shared" si="11"/>
        <v>0</v>
      </c>
      <c r="CC22" s="333">
        <f t="shared" si="12"/>
        <v>0</v>
      </c>
      <c r="CD22" s="329"/>
      <c r="CE22" s="330"/>
      <c r="CF22" s="330"/>
      <c r="CG22" s="330"/>
      <c r="CH22" s="330"/>
      <c r="CI22" s="330"/>
      <c r="CJ22" s="330"/>
      <c r="CK22" s="330"/>
      <c r="CL22" s="330"/>
      <c r="CM22" s="330"/>
      <c r="CN22" s="330"/>
      <c r="CO22" s="331"/>
      <c r="CP22" s="326"/>
      <c r="CQ22" s="332">
        <f t="shared" si="13"/>
        <v>0</v>
      </c>
      <c r="CR22" s="333">
        <f t="shared" si="14"/>
        <v>0</v>
      </c>
      <c r="CS22" s="334">
        <f t="shared" si="15"/>
        <v>0</v>
      </c>
      <c r="CT22" s="335">
        <f t="shared" si="2"/>
        <v>0</v>
      </c>
      <c r="CU22" s="417">
        <f t="shared" si="16"/>
        <v>0</v>
      </c>
      <c r="CV22" s="529" t="str">
        <f t="shared" si="3"/>
        <v xml:space="preserve"> </v>
      </c>
      <c r="CW22" s="529" t="str">
        <f t="shared" si="4"/>
        <v xml:space="preserve"> </v>
      </c>
      <c r="CX22" s="528">
        <f t="shared" si="17"/>
        <v>0</v>
      </c>
    </row>
    <row r="23" spans="1:102" s="33" customFormat="1" ht="22.5" customHeight="1" thickBot="1">
      <c r="A23" s="1051" t="s">
        <v>1566</v>
      </c>
      <c r="B23" s="1048" t="s">
        <v>1478</v>
      </c>
      <c r="C23" s="1048" t="s">
        <v>112</v>
      </c>
      <c r="D23" s="34"/>
      <c r="E23" s="125" t="s">
        <v>106</v>
      </c>
      <c r="F23" s="30"/>
      <c r="G23" s="31"/>
      <c r="H23" s="630"/>
      <c r="I23" s="520"/>
      <c r="J23" s="521"/>
      <c r="K23" s="522" t="str">
        <f t="shared" si="0"/>
        <v xml:space="preserve"> </v>
      </c>
      <c r="L23" s="521"/>
      <c r="M23" s="521"/>
      <c r="N23" s="402"/>
      <c r="O23" s="698"/>
      <c r="P23" s="698" t="s">
        <v>1990</v>
      </c>
      <c r="Q23" s="697"/>
      <c r="R23" s="182"/>
      <c r="S23" s="326"/>
      <c r="T23" s="399"/>
      <c r="U23" s="328">
        <f t="shared" si="18"/>
        <v>0</v>
      </c>
      <c r="V23" s="385"/>
      <c r="W23" s="352"/>
      <c r="X23" s="352"/>
      <c r="Y23" s="352"/>
      <c r="Z23" s="352"/>
      <c r="AA23" s="352"/>
      <c r="AB23" s="324"/>
      <c r="AC23" s="324"/>
      <c r="AD23" s="324"/>
      <c r="AE23" s="324"/>
      <c r="AF23" s="324"/>
      <c r="AG23" s="325"/>
      <c r="AH23" s="326"/>
      <c r="AI23" s="327">
        <f t="shared" si="5"/>
        <v>0</v>
      </c>
      <c r="AJ23" s="328">
        <f t="shared" si="6"/>
        <v>0</v>
      </c>
      <c r="AK23" s="329"/>
      <c r="AL23" s="330"/>
      <c r="AM23" s="330"/>
      <c r="AN23" s="330"/>
      <c r="AO23" s="330"/>
      <c r="AP23" s="330"/>
      <c r="AQ23" s="330"/>
      <c r="AR23" s="330"/>
      <c r="AS23" s="330"/>
      <c r="AT23" s="330"/>
      <c r="AU23" s="330"/>
      <c r="AV23" s="331"/>
      <c r="AW23" s="326"/>
      <c r="AX23" s="332">
        <f t="shared" si="7"/>
        <v>0</v>
      </c>
      <c r="AY23" s="333">
        <f t="shared" si="8"/>
        <v>0</v>
      </c>
      <c r="AZ23" s="329"/>
      <c r="BA23" s="330"/>
      <c r="BB23" s="330"/>
      <c r="BC23" s="330"/>
      <c r="BD23" s="330"/>
      <c r="BE23" s="330"/>
      <c r="BF23" s="330"/>
      <c r="BG23" s="330"/>
      <c r="BH23" s="330"/>
      <c r="BI23" s="330"/>
      <c r="BJ23" s="330"/>
      <c r="BK23" s="331"/>
      <c r="BL23" s="326"/>
      <c r="BM23" s="332">
        <f t="shared" si="9"/>
        <v>0</v>
      </c>
      <c r="BN23" s="333">
        <f t="shared" si="10"/>
        <v>0</v>
      </c>
      <c r="BO23" s="329"/>
      <c r="BP23" s="330"/>
      <c r="BQ23" s="330"/>
      <c r="BR23" s="330"/>
      <c r="BS23" s="330"/>
      <c r="BT23" s="330"/>
      <c r="BU23" s="330"/>
      <c r="BV23" s="330"/>
      <c r="BW23" s="330"/>
      <c r="BX23" s="330"/>
      <c r="BY23" s="330"/>
      <c r="BZ23" s="331"/>
      <c r="CA23" s="326"/>
      <c r="CB23" s="332">
        <f t="shared" si="11"/>
        <v>0</v>
      </c>
      <c r="CC23" s="333">
        <f t="shared" si="12"/>
        <v>0</v>
      </c>
      <c r="CD23" s="329"/>
      <c r="CE23" s="330"/>
      <c r="CF23" s="330"/>
      <c r="CG23" s="330"/>
      <c r="CH23" s="330"/>
      <c r="CI23" s="330"/>
      <c r="CJ23" s="330"/>
      <c r="CK23" s="330"/>
      <c r="CL23" s="330"/>
      <c r="CM23" s="330"/>
      <c r="CN23" s="330"/>
      <c r="CO23" s="331"/>
      <c r="CP23" s="326"/>
      <c r="CQ23" s="332">
        <f t="shared" si="13"/>
        <v>0</v>
      </c>
      <c r="CR23" s="333">
        <f t="shared" si="14"/>
        <v>0</v>
      </c>
      <c r="CS23" s="334">
        <f t="shared" si="15"/>
        <v>0</v>
      </c>
      <c r="CT23" s="335">
        <f t="shared" si="2"/>
        <v>0</v>
      </c>
      <c r="CU23" s="417">
        <f t="shared" si="16"/>
        <v>0</v>
      </c>
      <c r="CV23" s="529" t="str">
        <f t="shared" si="3"/>
        <v xml:space="preserve"> </v>
      </c>
      <c r="CW23" s="529" t="str">
        <f t="shared" si="4"/>
        <v xml:space="preserve"> </v>
      </c>
      <c r="CX23" s="528">
        <f t="shared" si="17"/>
        <v>0</v>
      </c>
    </row>
    <row r="24" spans="1:102" s="33" customFormat="1" ht="22.5" customHeight="1" thickBot="1">
      <c r="A24" s="1052"/>
      <c r="B24" s="1050"/>
      <c r="C24" s="1050"/>
      <c r="D24" s="34"/>
      <c r="E24" s="125" t="s">
        <v>106</v>
      </c>
      <c r="F24" s="30"/>
      <c r="G24" s="31"/>
      <c r="H24" s="32"/>
      <c r="I24" s="520"/>
      <c r="J24" s="521"/>
      <c r="K24" s="522" t="str">
        <f t="shared" si="0"/>
        <v xml:space="preserve"> </v>
      </c>
      <c r="L24" s="521"/>
      <c r="M24" s="521"/>
      <c r="N24" s="402"/>
      <c r="O24" s="698"/>
      <c r="P24" s="698" t="s">
        <v>1990</v>
      </c>
      <c r="Q24" s="697"/>
      <c r="R24" s="182"/>
      <c r="S24" s="326"/>
      <c r="T24" s="399"/>
      <c r="U24" s="328">
        <f t="shared" si="18"/>
        <v>0</v>
      </c>
      <c r="V24" s="385"/>
      <c r="W24" s="352"/>
      <c r="X24" s="352"/>
      <c r="Y24" s="352"/>
      <c r="Z24" s="352"/>
      <c r="AA24" s="352"/>
      <c r="AB24" s="324"/>
      <c r="AC24" s="324"/>
      <c r="AD24" s="324"/>
      <c r="AE24" s="324"/>
      <c r="AF24" s="324"/>
      <c r="AG24" s="325"/>
      <c r="AH24" s="326"/>
      <c r="AI24" s="327">
        <f t="shared" si="5"/>
        <v>0</v>
      </c>
      <c r="AJ24" s="328">
        <f t="shared" si="6"/>
        <v>0</v>
      </c>
      <c r="AK24" s="329"/>
      <c r="AL24" s="330"/>
      <c r="AM24" s="330"/>
      <c r="AN24" s="330"/>
      <c r="AO24" s="330"/>
      <c r="AP24" s="330"/>
      <c r="AQ24" s="330"/>
      <c r="AR24" s="330"/>
      <c r="AS24" s="330"/>
      <c r="AT24" s="330"/>
      <c r="AU24" s="330"/>
      <c r="AV24" s="331"/>
      <c r="AW24" s="326"/>
      <c r="AX24" s="332">
        <f t="shared" si="7"/>
        <v>0</v>
      </c>
      <c r="AY24" s="333">
        <f t="shared" si="8"/>
        <v>0</v>
      </c>
      <c r="AZ24" s="329"/>
      <c r="BA24" s="330"/>
      <c r="BB24" s="330"/>
      <c r="BC24" s="330"/>
      <c r="BD24" s="330"/>
      <c r="BE24" s="330"/>
      <c r="BF24" s="330"/>
      <c r="BG24" s="330"/>
      <c r="BH24" s="330"/>
      <c r="BI24" s="330"/>
      <c r="BJ24" s="330"/>
      <c r="BK24" s="331"/>
      <c r="BL24" s="326"/>
      <c r="BM24" s="332">
        <f t="shared" si="9"/>
        <v>0</v>
      </c>
      <c r="BN24" s="333">
        <f t="shared" si="10"/>
        <v>0</v>
      </c>
      <c r="BO24" s="329"/>
      <c r="BP24" s="330"/>
      <c r="BQ24" s="330"/>
      <c r="BR24" s="330"/>
      <c r="BS24" s="330"/>
      <c r="BT24" s="330"/>
      <c r="BU24" s="330"/>
      <c r="BV24" s="330"/>
      <c r="BW24" s="330"/>
      <c r="BX24" s="330"/>
      <c r="BY24" s="330"/>
      <c r="BZ24" s="331"/>
      <c r="CA24" s="326"/>
      <c r="CB24" s="332">
        <f t="shared" si="11"/>
        <v>0</v>
      </c>
      <c r="CC24" s="333">
        <f t="shared" si="12"/>
        <v>0</v>
      </c>
      <c r="CD24" s="329"/>
      <c r="CE24" s="330"/>
      <c r="CF24" s="330"/>
      <c r="CG24" s="330"/>
      <c r="CH24" s="330"/>
      <c r="CI24" s="330"/>
      <c r="CJ24" s="330"/>
      <c r="CK24" s="330"/>
      <c r="CL24" s="330"/>
      <c r="CM24" s="330"/>
      <c r="CN24" s="330"/>
      <c r="CO24" s="331"/>
      <c r="CP24" s="326"/>
      <c r="CQ24" s="332">
        <f t="shared" si="13"/>
        <v>0</v>
      </c>
      <c r="CR24" s="333">
        <f t="shared" si="14"/>
        <v>0</v>
      </c>
      <c r="CS24" s="334">
        <f t="shared" si="15"/>
        <v>0</v>
      </c>
      <c r="CT24" s="335">
        <f t="shared" si="2"/>
        <v>0</v>
      </c>
      <c r="CU24" s="417">
        <f t="shared" si="16"/>
        <v>0</v>
      </c>
      <c r="CV24" s="529" t="str">
        <f t="shared" si="3"/>
        <v xml:space="preserve"> </v>
      </c>
      <c r="CW24" s="529" t="str">
        <f t="shared" si="4"/>
        <v xml:space="preserve"> </v>
      </c>
      <c r="CX24" s="528">
        <f t="shared" si="17"/>
        <v>0</v>
      </c>
    </row>
    <row r="25" spans="1:102" s="33" customFormat="1" ht="22.5" customHeight="1" thickBot="1">
      <c r="A25" s="1051" t="s">
        <v>1567</v>
      </c>
      <c r="B25" s="1048" t="s">
        <v>1479</v>
      </c>
      <c r="C25" s="1048" t="s">
        <v>113</v>
      </c>
      <c r="D25" s="34"/>
      <c r="E25" s="125" t="s">
        <v>106</v>
      </c>
      <c r="F25" s="30"/>
      <c r="G25" s="31"/>
      <c r="H25" s="32"/>
      <c r="I25" s="520"/>
      <c r="J25" s="521"/>
      <c r="K25" s="522" t="str">
        <f t="shared" si="0"/>
        <v xml:space="preserve"> </v>
      </c>
      <c r="L25" s="521"/>
      <c r="M25" s="521"/>
      <c r="N25" s="402"/>
      <c r="O25" s="698"/>
      <c r="P25" s="698" t="s">
        <v>1990</v>
      </c>
      <c r="Q25" s="697"/>
      <c r="R25" s="182"/>
      <c r="S25" s="326"/>
      <c r="T25" s="399"/>
      <c r="U25" s="328">
        <f t="shared" si="18"/>
        <v>0</v>
      </c>
      <c r="V25" s="385"/>
      <c r="W25" s="352"/>
      <c r="X25" s="352"/>
      <c r="Y25" s="352"/>
      <c r="Z25" s="352"/>
      <c r="AA25" s="352"/>
      <c r="AB25" s="324"/>
      <c r="AC25" s="324"/>
      <c r="AD25" s="324"/>
      <c r="AE25" s="324"/>
      <c r="AF25" s="324"/>
      <c r="AG25" s="325"/>
      <c r="AH25" s="326"/>
      <c r="AI25" s="327">
        <f t="shared" si="5"/>
        <v>0</v>
      </c>
      <c r="AJ25" s="328">
        <f t="shared" si="6"/>
        <v>0</v>
      </c>
      <c r="AK25" s="329"/>
      <c r="AL25" s="330"/>
      <c r="AM25" s="330"/>
      <c r="AN25" s="330"/>
      <c r="AO25" s="330"/>
      <c r="AP25" s="330"/>
      <c r="AQ25" s="330"/>
      <c r="AR25" s="330"/>
      <c r="AS25" s="330"/>
      <c r="AT25" s="330"/>
      <c r="AU25" s="330"/>
      <c r="AV25" s="331"/>
      <c r="AW25" s="326"/>
      <c r="AX25" s="332">
        <f t="shared" si="7"/>
        <v>0</v>
      </c>
      <c r="AY25" s="333">
        <f t="shared" si="8"/>
        <v>0</v>
      </c>
      <c r="AZ25" s="329"/>
      <c r="BA25" s="330"/>
      <c r="BB25" s="330"/>
      <c r="BC25" s="330"/>
      <c r="BD25" s="330"/>
      <c r="BE25" s="330"/>
      <c r="BF25" s="330"/>
      <c r="BG25" s="330"/>
      <c r="BH25" s="330"/>
      <c r="BI25" s="330"/>
      <c r="BJ25" s="330"/>
      <c r="BK25" s="331"/>
      <c r="BL25" s="326"/>
      <c r="BM25" s="332">
        <f t="shared" si="9"/>
        <v>0</v>
      </c>
      <c r="BN25" s="333">
        <f t="shared" si="10"/>
        <v>0</v>
      </c>
      <c r="BO25" s="329"/>
      <c r="BP25" s="330"/>
      <c r="BQ25" s="330"/>
      <c r="BR25" s="330"/>
      <c r="BS25" s="330"/>
      <c r="BT25" s="330"/>
      <c r="BU25" s="330"/>
      <c r="BV25" s="330"/>
      <c r="BW25" s="330"/>
      <c r="BX25" s="330"/>
      <c r="BY25" s="330"/>
      <c r="BZ25" s="331"/>
      <c r="CA25" s="326"/>
      <c r="CB25" s="332">
        <f t="shared" si="11"/>
        <v>0</v>
      </c>
      <c r="CC25" s="333">
        <f t="shared" si="12"/>
        <v>0</v>
      </c>
      <c r="CD25" s="329"/>
      <c r="CE25" s="330"/>
      <c r="CF25" s="330"/>
      <c r="CG25" s="330"/>
      <c r="CH25" s="330"/>
      <c r="CI25" s="330"/>
      <c r="CJ25" s="330"/>
      <c r="CK25" s="330"/>
      <c r="CL25" s="330"/>
      <c r="CM25" s="330"/>
      <c r="CN25" s="330"/>
      <c r="CO25" s="331"/>
      <c r="CP25" s="326"/>
      <c r="CQ25" s="332">
        <f t="shared" si="13"/>
        <v>0</v>
      </c>
      <c r="CR25" s="333">
        <f t="shared" si="14"/>
        <v>0</v>
      </c>
      <c r="CS25" s="334">
        <f t="shared" si="15"/>
        <v>0</v>
      </c>
      <c r="CT25" s="335">
        <f t="shared" si="2"/>
        <v>0</v>
      </c>
      <c r="CU25" s="417">
        <f t="shared" si="16"/>
        <v>0</v>
      </c>
      <c r="CV25" s="529" t="str">
        <f t="shared" si="3"/>
        <v xml:space="preserve"> </v>
      </c>
      <c r="CW25" s="529" t="str">
        <f t="shared" si="4"/>
        <v xml:space="preserve"> </v>
      </c>
      <c r="CX25" s="528">
        <f t="shared" si="17"/>
        <v>0</v>
      </c>
    </row>
    <row r="26" spans="1:102" s="33" customFormat="1" ht="22.5" customHeight="1" thickBot="1">
      <c r="A26" s="1052"/>
      <c r="B26" s="1050"/>
      <c r="C26" s="1050"/>
      <c r="D26" s="34"/>
      <c r="E26" s="125" t="s">
        <v>106</v>
      </c>
      <c r="F26" s="30"/>
      <c r="G26" s="31"/>
      <c r="H26" s="32"/>
      <c r="I26" s="520"/>
      <c r="J26" s="521"/>
      <c r="K26" s="522" t="str">
        <f t="shared" si="0"/>
        <v xml:space="preserve"> </v>
      </c>
      <c r="L26" s="521"/>
      <c r="M26" s="521"/>
      <c r="N26" s="402"/>
      <c r="O26" s="698"/>
      <c r="P26" s="698" t="s">
        <v>1990</v>
      </c>
      <c r="Q26" s="697"/>
      <c r="R26" s="182"/>
      <c r="S26" s="326"/>
      <c r="T26" s="399"/>
      <c r="U26" s="328">
        <f t="shared" si="18"/>
        <v>0</v>
      </c>
      <c r="V26" s="385"/>
      <c r="W26" s="352"/>
      <c r="X26" s="352"/>
      <c r="Y26" s="352"/>
      <c r="Z26" s="352"/>
      <c r="AA26" s="352"/>
      <c r="AB26" s="324"/>
      <c r="AC26" s="324"/>
      <c r="AD26" s="324"/>
      <c r="AE26" s="324"/>
      <c r="AF26" s="324"/>
      <c r="AG26" s="325"/>
      <c r="AH26" s="326"/>
      <c r="AI26" s="327">
        <f t="shared" si="5"/>
        <v>0</v>
      </c>
      <c r="AJ26" s="328">
        <f t="shared" si="6"/>
        <v>0</v>
      </c>
      <c r="AK26" s="329"/>
      <c r="AL26" s="330"/>
      <c r="AM26" s="330"/>
      <c r="AN26" s="330"/>
      <c r="AO26" s="330"/>
      <c r="AP26" s="330"/>
      <c r="AQ26" s="330"/>
      <c r="AR26" s="330"/>
      <c r="AS26" s="330"/>
      <c r="AT26" s="330"/>
      <c r="AU26" s="330"/>
      <c r="AV26" s="331"/>
      <c r="AW26" s="326"/>
      <c r="AX26" s="332">
        <f t="shared" si="7"/>
        <v>0</v>
      </c>
      <c r="AY26" s="333">
        <f t="shared" si="8"/>
        <v>0</v>
      </c>
      <c r="AZ26" s="329"/>
      <c r="BA26" s="330"/>
      <c r="BB26" s="330"/>
      <c r="BC26" s="330"/>
      <c r="BD26" s="330"/>
      <c r="BE26" s="330"/>
      <c r="BF26" s="330"/>
      <c r="BG26" s="330"/>
      <c r="BH26" s="330"/>
      <c r="BI26" s="330"/>
      <c r="BJ26" s="330"/>
      <c r="BK26" s="331"/>
      <c r="BL26" s="326"/>
      <c r="BM26" s="332">
        <f t="shared" si="9"/>
        <v>0</v>
      </c>
      <c r="BN26" s="333">
        <f t="shared" si="10"/>
        <v>0</v>
      </c>
      <c r="BO26" s="329"/>
      <c r="BP26" s="330"/>
      <c r="BQ26" s="330"/>
      <c r="BR26" s="330"/>
      <c r="BS26" s="330"/>
      <c r="BT26" s="330"/>
      <c r="BU26" s="330"/>
      <c r="BV26" s="330"/>
      <c r="BW26" s="330"/>
      <c r="BX26" s="330"/>
      <c r="BY26" s="330"/>
      <c r="BZ26" s="331"/>
      <c r="CA26" s="326"/>
      <c r="CB26" s="332">
        <f t="shared" si="11"/>
        <v>0</v>
      </c>
      <c r="CC26" s="333">
        <f t="shared" si="12"/>
        <v>0</v>
      </c>
      <c r="CD26" s="329"/>
      <c r="CE26" s="330"/>
      <c r="CF26" s="330"/>
      <c r="CG26" s="330"/>
      <c r="CH26" s="330"/>
      <c r="CI26" s="330"/>
      <c r="CJ26" s="330"/>
      <c r="CK26" s="330"/>
      <c r="CL26" s="330"/>
      <c r="CM26" s="330"/>
      <c r="CN26" s="330"/>
      <c r="CO26" s="331"/>
      <c r="CP26" s="326"/>
      <c r="CQ26" s="332">
        <f t="shared" si="13"/>
        <v>0</v>
      </c>
      <c r="CR26" s="333">
        <f t="shared" si="14"/>
        <v>0</v>
      </c>
      <c r="CS26" s="334">
        <f t="shared" si="15"/>
        <v>0</v>
      </c>
      <c r="CT26" s="335">
        <f t="shared" ref="CT26" si="19">CQ26+CB26+BM26+AX26+AI26+S26</f>
        <v>0</v>
      </c>
      <c r="CU26" s="417">
        <f t="shared" si="16"/>
        <v>0</v>
      </c>
      <c r="CV26" s="529" t="str">
        <f t="shared" si="3"/>
        <v xml:space="preserve"> </v>
      </c>
      <c r="CW26" s="529" t="str">
        <f t="shared" si="4"/>
        <v xml:space="preserve"> </v>
      </c>
      <c r="CX26" s="528">
        <f t="shared" si="17"/>
        <v>0</v>
      </c>
    </row>
    <row r="27" spans="1:102" s="33" customFormat="1" ht="19.5" customHeight="1">
      <c r="A27" s="1055" t="s">
        <v>28</v>
      </c>
      <c r="B27" s="1056"/>
      <c r="C27" s="129"/>
      <c r="D27" s="133"/>
      <c r="E27" s="126"/>
      <c r="F27" s="186"/>
      <c r="G27" s="187"/>
      <c r="H27" s="188"/>
      <c r="I27" s="517"/>
      <c r="J27" s="518"/>
      <c r="K27" s="518"/>
      <c r="L27" s="518"/>
      <c r="M27" s="518"/>
      <c r="N27" s="184"/>
      <c r="O27" s="184"/>
      <c r="P27" s="184"/>
      <c r="Q27" s="184" t="str">
        <f>IFERROR(INDEX(#REF!,MATCH(#REF!&amp;F27&amp;H27,#REF!,0)),"")</f>
        <v/>
      </c>
      <c r="R27" s="185"/>
      <c r="S27" s="359">
        <f t="shared" ref="S27:AX27" si="20">SUM(S9:S26)</f>
        <v>0</v>
      </c>
      <c r="T27" s="386">
        <f t="shared" si="20"/>
        <v>0</v>
      </c>
      <c r="U27" s="387">
        <f t="shared" si="20"/>
        <v>0</v>
      </c>
      <c r="V27" s="359">
        <f t="shared" si="20"/>
        <v>0</v>
      </c>
      <c r="W27" s="359">
        <f t="shared" si="20"/>
        <v>0</v>
      </c>
      <c r="X27" s="359">
        <f t="shared" si="20"/>
        <v>0</v>
      </c>
      <c r="Y27" s="359">
        <f t="shared" si="20"/>
        <v>0</v>
      </c>
      <c r="Z27" s="359">
        <f t="shared" si="20"/>
        <v>0</v>
      </c>
      <c r="AA27" s="359">
        <f t="shared" si="20"/>
        <v>0</v>
      </c>
      <c r="AB27" s="359">
        <f t="shared" si="20"/>
        <v>0</v>
      </c>
      <c r="AC27" s="359">
        <f t="shared" si="20"/>
        <v>0</v>
      </c>
      <c r="AD27" s="359">
        <f t="shared" si="20"/>
        <v>0</v>
      </c>
      <c r="AE27" s="359">
        <f t="shared" si="20"/>
        <v>0</v>
      </c>
      <c r="AF27" s="359">
        <f t="shared" si="20"/>
        <v>0</v>
      </c>
      <c r="AG27" s="359">
        <f t="shared" si="20"/>
        <v>0</v>
      </c>
      <c r="AH27" s="359">
        <f t="shared" si="20"/>
        <v>0</v>
      </c>
      <c r="AI27" s="386">
        <f t="shared" si="20"/>
        <v>0</v>
      </c>
      <c r="AJ27" s="387">
        <f t="shared" si="20"/>
        <v>0</v>
      </c>
      <c r="AK27" s="386">
        <f t="shared" si="20"/>
        <v>0</v>
      </c>
      <c r="AL27" s="386">
        <f t="shared" si="20"/>
        <v>0</v>
      </c>
      <c r="AM27" s="386">
        <f t="shared" si="20"/>
        <v>0</v>
      </c>
      <c r="AN27" s="386">
        <f t="shared" si="20"/>
        <v>0</v>
      </c>
      <c r="AO27" s="386">
        <f t="shared" si="20"/>
        <v>0</v>
      </c>
      <c r="AP27" s="386">
        <f t="shared" si="20"/>
        <v>0</v>
      </c>
      <c r="AQ27" s="386">
        <f t="shared" si="20"/>
        <v>0</v>
      </c>
      <c r="AR27" s="386">
        <f t="shared" si="20"/>
        <v>0</v>
      </c>
      <c r="AS27" s="386">
        <f t="shared" si="20"/>
        <v>0</v>
      </c>
      <c r="AT27" s="386">
        <f t="shared" si="20"/>
        <v>0</v>
      </c>
      <c r="AU27" s="386">
        <f t="shared" si="20"/>
        <v>0</v>
      </c>
      <c r="AV27" s="388">
        <f t="shared" si="20"/>
        <v>0</v>
      </c>
      <c r="AW27" s="389">
        <f t="shared" si="20"/>
        <v>0</v>
      </c>
      <c r="AX27" s="390">
        <f t="shared" si="20"/>
        <v>0</v>
      </c>
      <c r="AY27" s="391">
        <f t="shared" ref="AY27:CD27" si="21">SUM(AY9:AY26)</f>
        <v>0</v>
      </c>
      <c r="AZ27" s="386">
        <f t="shared" si="21"/>
        <v>0</v>
      </c>
      <c r="BA27" s="386">
        <f t="shared" si="21"/>
        <v>0</v>
      </c>
      <c r="BB27" s="386">
        <f t="shared" si="21"/>
        <v>0</v>
      </c>
      <c r="BC27" s="386">
        <f t="shared" si="21"/>
        <v>0</v>
      </c>
      <c r="BD27" s="386">
        <f t="shared" si="21"/>
        <v>0</v>
      </c>
      <c r="BE27" s="386">
        <f t="shared" si="21"/>
        <v>0</v>
      </c>
      <c r="BF27" s="386">
        <f t="shared" si="21"/>
        <v>0</v>
      </c>
      <c r="BG27" s="386">
        <f t="shared" si="21"/>
        <v>0</v>
      </c>
      <c r="BH27" s="386">
        <f t="shared" si="21"/>
        <v>0</v>
      </c>
      <c r="BI27" s="386">
        <f t="shared" si="21"/>
        <v>0</v>
      </c>
      <c r="BJ27" s="386">
        <f t="shared" si="21"/>
        <v>0</v>
      </c>
      <c r="BK27" s="388">
        <f t="shared" si="21"/>
        <v>0</v>
      </c>
      <c r="BL27" s="389">
        <f t="shared" si="21"/>
        <v>0</v>
      </c>
      <c r="BM27" s="390">
        <f t="shared" si="21"/>
        <v>0</v>
      </c>
      <c r="BN27" s="391">
        <f t="shared" si="21"/>
        <v>0</v>
      </c>
      <c r="BO27" s="386">
        <f t="shared" si="21"/>
        <v>0</v>
      </c>
      <c r="BP27" s="386">
        <f t="shared" si="21"/>
        <v>0</v>
      </c>
      <c r="BQ27" s="386">
        <f t="shared" si="21"/>
        <v>0</v>
      </c>
      <c r="BR27" s="386">
        <f t="shared" si="21"/>
        <v>0</v>
      </c>
      <c r="BS27" s="386">
        <f t="shared" si="21"/>
        <v>0</v>
      </c>
      <c r="BT27" s="386">
        <f t="shared" si="21"/>
        <v>0</v>
      </c>
      <c r="BU27" s="386">
        <f t="shared" si="21"/>
        <v>0</v>
      </c>
      <c r="BV27" s="386">
        <f t="shared" si="21"/>
        <v>0</v>
      </c>
      <c r="BW27" s="386">
        <f t="shared" si="21"/>
        <v>0</v>
      </c>
      <c r="BX27" s="386">
        <f t="shared" si="21"/>
        <v>0</v>
      </c>
      <c r="BY27" s="386">
        <f t="shared" si="21"/>
        <v>0</v>
      </c>
      <c r="BZ27" s="388">
        <f t="shared" si="21"/>
        <v>0</v>
      </c>
      <c r="CA27" s="389">
        <f t="shared" si="21"/>
        <v>0</v>
      </c>
      <c r="CB27" s="390">
        <f t="shared" si="21"/>
        <v>0</v>
      </c>
      <c r="CC27" s="387">
        <f t="shared" si="21"/>
        <v>0</v>
      </c>
      <c r="CD27" s="386">
        <f t="shared" si="21"/>
        <v>0</v>
      </c>
      <c r="CE27" s="386">
        <f t="shared" ref="CE27:CU27" si="22">SUM(CE9:CE26)</f>
        <v>0</v>
      </c>
      <c r="CF27" s="386">
        <f t="shared" si="22"/>
        <v>0</v>
      </c>
      <c r="CG27" s="386">
        <f t="shared" si="22"/>
        <v>0</v>
      </c>
      <c r="CH27" s="386">
        <f t="shared" si="22"/>
        <v>0</v>
      </c>
      <c r="CI27" s="386">
        <f t="shared" si="22"/>
        <v>0</v>
      </c>
      <c r="CJ27" s="386">
        <f t="shared" si="22"/>
        <v>0</v>
      </c>
      <c r="CK27" s="386">
        <f t="shared" si="22"/>
        <v>0</v>
      </c>
      <c r="CL27" s="386">
        <f t="shared" si="22"/>
        <v>0</v>
      </c>
      <c r="CM27" s="386">
        <f t="shared" si="22"/>
        <v>0</v>
      </c>
      <c r="CN27" s="386">
        <f t="shared" si="22"/>
        <v>0</v>
      </c>
      <c r="CO27" s="388">
        <f t="shared" si="22"/>
        <v>0</v>
      </c>
      <c r="CP27" s="389">
        <f t="shared" si="22"/>
        <v>0</v>
      </c>
      <c r="CQ27" s="390">
        <f t="shared" si="22"/>
        <v>0</v>
      </c>
      <c r="CR27" s="387">
        <f t="shared" si="22"/>
        <v>0</v>
      </c>
      <c r="CS27" s="386">
        <f t="shared" si="22"/>
        <v>0</v>
      </c>
      <c r="CT27" s="386">
        <f t="shared" si="22"/>
        <v>0</v>
      </c>
      <c r="CU27" s="452">
        <f t="shared" si="22"/>
        <v>0</v>
      </c>
      <c r="CV27" s="577"/>
      <c r="CW27" s="577"/>
      <c r="CX27" s="577"/>
    </row>
    <row r="28" spans="1:102" ht="24" customHeight="1" thickBot="1">
      <c r="A28" s="265" t="s">
        <v>37</v>
      </c>
      <c r="B28" s="1063" t="s">
        <v>1919</v>
      </c>
      <c r="C28" s="1064"/>
      <c r="D28" s="133"/>
      <c r="E28" s="127"/>
      <c r="F28" s="136"/>
      <c r="G28" s="137"/>
      <c r="H28" s="136"/>
      <c r="I28" s="137"/>
      <c r="J28" s="137"/>
      <c r="K28" s="137"/>
      <c r="L28" s="137"/>
      <c r="M28" s="137"/>
      <c r="N28" s="137"/>
      <c r="O28" s="137"/>
      <c r="P28" s="137"/>
      <c r="Q28" s="373" t="str">
        <f>IFERROR(INDEX(#REF!,MATCH(#REF!&amp;F28&amp;H28,#REF!,0)),"")</f>
        <v/>
      </c>
      <c r="R28" s="138"/>
      <c r="S28" s="382"/>
      <c r="T28" s="139"/>
      <c r="U28" s="139"/>
      <c r="V28" s="382"/>
      <c r="W28" s="382"/>
      <c r="X28" s="382"/>
      <c r="Y28" s="382"/>
      <c r="Z28" s="382"/>
      <c r="AA28" s="382"/>
      <c r="AB28" s="382"/>
      <c r="AC28" s="382"/>
      <c r="AD28" s="382"/>
      <c r="AE28" s="382"/>
      <c r="AF28" s="383"/>
      <c r="AG28" s="382"/>
      <c r="AH28" s="382"/>
      <c r="AI28" s="139"/>
      <c r="AJ28" s="139"/>
      <c r="AK28" s="139"/>
      <c r="AL28" s="312"/>
      <c r="AM28" s="312"/>
      <c r="AN28" s="312"/>
      <c r="AO28" s="313"/>
      <c r="AP28" s="312"/>
      <c r="AQ28" s="312"/>
      <c r="AR28" s="312"/>
      <c r="AS28" s="312"/>
      <c r="AT28" s="312"/>
      <c r="AU28" s="312"/>
      <c r="AV28" s="312"/>
      <c r="AW28" s="312"/>
      <c r="AX28" s="312"/>
      <c r="AY28" s="139"/>
      <c r="AZ28" s="139"/>
      <c r="BA28" s="312"/>
      <c r="BB28" s="312"/>
      <c r="BC28" s="312"/>
      <c r="BD28" s="313"/>
      <c r="BE28" s="312"/>
      <c r="BF28" s="312"/>
      <c r="BG28" s="312"/>
      <c r="BH28" s="312"/>
      <c r="BI28" s="312"/>
      <c r="BJ28" s="312"/>
      <c r="BK28" s="312"/>
      <c r="BL28" s="312"/>
      <c r="BM28" s="312"/>
      <c r="BN28" s="139"/>
      <c r="BO28" s="139"/>
      <c r="BP28" s="312"/>
      <c r="BQ28" s="312"/>
      <c r="BR28" s="312"/>
      <c r="BS28" s="313"/>
      <c r="BT28" s="312"/>
      <c r="BU28" s="312"/>
      <c r="BV28" s="312"/>
      <c r="BW28" s="312"/>
      <c r="BX28" s="312"/>
      <c r="BY28" s="312"/>
      <c r="BZ28" s="312"/>
      <c r="CA28" s="312"/>
      <c r="CB28" s="312"/>
      <c r="CC28" s="272"/>
      <c r="CD28" s="139"/>
      <c r="CE28" s="312"/>
      <c r="CF28" s="312"/>
      <c r="CG28" s="312"/>
      <c r="CH28" s="313"/>
      <c r="CI28" s="312"/>
      <c r="CJ28" s="312"/>
      <c r="CK28" s="312"/>
      <c r="CL28" s="312"/>
      <c r="CM28" s="312"/>
      <c r="CN28" s="312"/>
      <c r="CO28" s="312"/>
      <c r="CP28" s="312"/>
      <c r="CQ28" s="312"/>
      <c r="CR28" s="272"/>
      <c r="CS28" s="139"/>
      <c r="CT28" s="278"/>
      <c r="CU28" s="451"/>
      <c r="CV28" s="418"/>
      <c r="CW28" s="418"/>
      <c r="CX28" s="418"/>
    </row>
    <row r="29" spans="1:102" s="33" customFormat="1" ht="50.25" customHeight="1" thickBot="1">
      <c r="A29" s="1051" t="s">
        <v>1576</v>
      </c>
      <c r="B29" s="1048" t="s">
        <v>1480</v>
      </c>
      <c r="C29" s="1048" t="s">
        <v>1610</v>
      </c>
      <c r="D29" s="845" t="s">
        <v>2032</v>
      </c>
      <c r="E29" s="125" t="s">
        <v>107</v>
      </c>
      <c r="F29" s="30"/>
      <c r="G29" s="31"/>
      <c r="H29" s="31"/>
      <c r="I29" s="519"/>
      <c r="J29" s="31"/>
      <c r="K29" s="522" t="str">
        <f t="shared" ref="K29:K88" si="23">IF(YEAR(I29+J29)=1900," ",I29+J29)</f>
        <v xml:space="preserve"> </v>
      </c>
      <c r="L29" s="31"/>
      <c r="M29" s="31"/>
      <c r="N29" s="401"/>
      <c r="O29" s="698"/>
      <c r="P29" s="674" t="s">
        <v>1990</v>
      </c>
      <c r="Q29" s="378"/>
      <c r="R29" s="182"/>
      <c r="S29" s="326"/>
      <c r="T29" s="399"/>
      <c r="U29" s="328">
        <f t="shared" ref="U29:U88" si="24">IFERROR(ROUND((Q29*T29+Q29*S29),2),0)</f>
        <v>0</v>
      </c>
      <c r="V29" s="385"/>
      <c r="W29" s="352"/>
      <c r="X29" s="352"/>
      <c r="Y29" s="352"/>
      <c r="Z29" s="352"/>
      <c r="AA29" s="352"/>
      <c r="AB29" s="324"/>
      <c r="AC29" s="324"/>
      <c r="AD29" s="324"/>
      <c r="AE29" s="324"/>
      <c r="AF29" s="324"/>
      <c r="AG29" s="325"/>
      <c r="AH29" s="326"/>
      <c r="AI29" s="327">
        <f t="shared" ref="AI29:AI88" si="25">SUM(V29:AG29)</f>
        <v>0</v>
      </c>
      <c r="AJ29" s="328">
        <f>IFERROR(ROUND((Q29*AI29+Q29*AH29),2),0)</f>
        <v>0</v>
      </c>
      <c r="AK29" s="329"/>
      <c r="AL29" s="330"/>
      <c r="AM29" s="330"/>
      <c r="AN29" s="330"/>
      <c r="AO29" s="330"/>
      <c r="AP29" s="330"/>
      <c r="AQ29" s="330"/>
      <c r="AR29" s="330"/>
      <c r="AS29" s="330"/>
      <c r="AT29" s="330"/>
      <c r="AU29" s="330"/>
      <c r="AV29" s="331"/>
      <c r="AW29" s="326"/>
      <c r="AX29" s="332">
        <f t="shared" ref="AX29:AX88" si="26">SUM(AK29:AV29)</f>
        <v>0</v>
      </c>
      <c r="AY29" s="333">
        <f>IFERROR(ROUND((Q29*AX29+Q29*AW29),2),0)</f>
        <v>0</v>
      </c>
      <c r="AZ29" s="329"/>
      <c r="BA29" s="330"/>
      <c r="BB29" s="330"/>
      <c r="BC29" s="330"/>
      <c r="BD29" s="330"/>
      <c r="BE29" s="330"/>
      <c r="BF29" s="330"/>
      <c r="BG29" s="330"/>
      <c r="BH29" s="330"/>
      <c r="BI29" s="330"/>
      <c r="BJ29" s="330"/>
      <c r="BK29" s="331"/>
      <c r="BL29" s="326"/>
      <c r="BM29" s="332">
        <f t="shared" ref="BM29:BM88" si="27">SUM(AZ29:BK29)</f>
        <v>0</v>
      </c>
      <c r="BN29" s="333">
        <f t="shared" ref="BN29:BN88" si="28">IFERROR(ROUND((Q29*BM29+Q29*BL29),2),0)</f>
        <v>0</v>
      </c>
      <c r="BO29" s="329"/>
      <c r="BP29" s="330"/>
      <c r="BQ29" s="330"/>
      <c r="BR29" s="330"/>
      <c r="BS29" s="330"/>
      <c r="BT29" s="330"/>
      <c r="BU29" s="330"/>
      <c r="BV29" s="330"/>
      <c r="BW29" s="330"/>
      <c r="BX29" s="330"/>
      <c r="BY29" s="330"/>
      <c r="BZ29" s="331"/>
      <c r="CA29" s="326"/>
      <c r="CB29" s="332">
        <f t="shared" ref="CB29:CB88" si="29">SUM(BO29:BZ29)</f>
        <v>0</v>
      </c>
      <c r="CC29" s="333">
        <f t="shared" ref="CC29:CC88" si="30">IFERROR(ROUND((Q29*CB29+AF29*CA29),2),0)</f>
        <v>0</v>
      </c>
      <c r="CD29" s="329"/>
      <c r="CE29" s="330"/>
      <c r="CF29" s="330"/>
      <c r="CG29" s="330"/>
      <c r="CH29" s="330"/>
      <c r="CI29" s="330"/>
      <c r="CJ29" s="330"/>
      <c r="CK29" s="330"/>
      <c r="CL29" s="330"/>
      <c r="CM29" s="330"/>
      <c r="CN29" s="330"/>
      <c r="CO29" s="331"/>
      <c r="CP29" s="326"/>
      <c r="CQ29" s="332">
        <f t="shared" ref="CQ29:CQ88" si="31">SUM(CD29:CO29)</f>
        <v>0</v>
      </c>
      <c r="CR29" s="333">
        <f t="shared" ref="CR29:CR88" si="32">IFERROR(ROUND((Q29*CQ29+AU29*CP29),2),0)</f>
        <v>0</v>
      </c>
      <c r="CS29" s="334">
        <f t="shared" ref="CS29:CS89" si="33">AH29+AW29+BL29+T29+BL29+CA29+CP29</f>
        <v>0</v>
      </c>
      <c r="CT29" s="335">
        <f t="shared" ref="CT29:CT89" si="34">CQ29+CB29+BM29+AX29+AI29+S29</f>
        <v>0</v>
      </c>
      <c r="CU29" s="417">
        <f>AJ29+AY29+BN29+U29+CC29+CR29</f>
        <v>0</v>
      </c>
      <c r="CV29" s="529" t="str">
        <f t="shared" ref="CV29:CV56" si="35">IF(H29=0," ",H29)</f>
        <v xml:space="preserve"> </v>
      </c>
      <c r="CW29" s="529" t="str">
        <f>IF(YEAR(I29+J29)=1900," ",YEAR(I29+J29))</f>
        <v xml:space="preserve"> </v>
      </c>
      <c r="CX29" s="528">
        <f>AJ29+AY29+BN29+U29+CC29+CR29</f>
        <v>0</v>
      </c>
    </row>
    <row r="30" spans="1:102" s="33" customFormat="1" ht="45.75" customHeight="1" thickBot="1">
      <c r="A30" s="1052"/>
      <c r="B30" s="1050"/>
      <c r="C30" s="1050"/>
      <c r="D30" s="845" t="s">
        <v>2033</v>
      </c>
      <c r="E30" s="125" t="s">
        <v>107</v>
      </c>
      <c r="F30" s="30"/>
      <c r="G30" s="31"/>
      <c r="H30" s="31"/>
      <c r="I30" s="519"/>
      <c r="J30" s="31"/>
      <c r="K30" s="522" t="str">
        <f t="shared" si="23"/>
        <v xml:space="preserve"> </v>
      </c>
      <c r="L30" s="31"/>
      <c r="M30" s="31"/>
      <c r="N30" s="401"/>
      <c r="O30" s="698"/>
      <c r="P30" s="674" t="s">
        <v>1990</v>
      </c>
      <c r="Q30" s="378"/>
      <c r="R30" s="182"/>
      <c r="S30" s="326"/>
      <c r="T30" s="399"/>
      <c r="U30" s="328">
        <f t="shared" si="24"/>
        <v>0</v>
      </c>
      <c r="V30" s="385"/>
      <c r="W30" s="352"/>
      <c r="X30" s="352"/>
      <c r="Y30" s="352"/>
      <c r="Z30" s="352"/>
      <c r="AA30" s="352"/>
      <c r="AB30" s="324"/>
      <c r="AC30" s="324"/>
      <c r="AD30" s="324"/>
      <c r="AE30" s="324"/>
      <c r="AF30" s="324"/>
      <c r="AG30" s="325"/>
      <c r="AH30" s="326"/>
      <c r="AI30" s="327">
        <f t="shared" si="25"/>
        <v>0</v>
      </c>
      <c r="AJ30" s="328">
        <f t="shared" ref="AJ30:AJ91" si="36">IFERROR(ROUND((Q30*AI30+Q30*AH30),2),0)</f>
        <v>0</v>
      </c>
      <c r="AK30" s="329"/>
      <c r="AL30" s="330"/>
      <c r="AM30" s="330"/>
      <c r="AN30" s="330"/>
      <c r="AO30" s="330"/>
      <c r="AP30" s="330"/>
      <c r="AQ30" s="330"/>
      <c r="AR30" s="330"/>
      <c r="AS30" s="330"/>
      <c r="AT30" s="330"/>
      <c r="AU30" s="330"/>
      <c r="AV30" s="331"/>
      <c r="AW30" s="326"/>
      <c r="AX30" s="332">
        <f t="shared" si="26"/>
        <v>0</v>
      </c>
      <c r="AY30" s="333">
        <f t="shared" ref="AY30:AY91" si="37">IFERROR(ROUND((Q30*AX30+Q30*AW30),2),0)</f>
        <v>0</v>
      </c>
      <c r="AZ30" s="329"/>
      <c r="BA30" s="330"/>
      <c r="BB30" s="330"/>
      <c r="BC30" s="330"/>
      <c r="BD30" s="330"/>
      <c r="BE30" s="330"/>
      <c r="BF30" s="330"/>
      <c r="BG30" s="330"/>
      <c r="BH30" s="330"/>
      <c r="BI30" s="330"/>
      <c r="BJ30" s="330"/>
      <c r="BK30" s="331"/>
      <c r="BL30" s="326"/>
      <c r="BM30" s="332">
        <f t="shared" si="27"/>
        <v>0</v>
      </c>
      <c r="BN30" s="333">
        <f t="shared" si="28"/>
        <v>0</v>
      </c>
      <c r="BO30" s="329"/>
      <c r="BP30" s="330"/>
      <c r="BQ30" s="330"/>
      <c r="BR30" s="330"/>
      <c r="BS30" s="330"/>
      <c r="BT30" s="330"/>
      <c r="BU30" s="330"/>
      <c r="BV30" s="330"/>
      <c r="BW30" s="330"/>
      <c r="BX30" s="330"/>
      <c r="BY30" s="330"/>
      <c r="BZ30" s="331"/>
      <c r="CA30" s="326"/>
      <c r="CB30" s="332">
        <f t="shared" si="29"/>
        <v>0</v>
      </c>
      <c r="CC30" s="333">
        <f t="shared" si="30"/>
        <v>0</v>
      </c>
      <c r="CD30" s="329"/>
      <c r="CE30" s="330"/>
      <c r="CF30" s="330"/>
      <c r="CG30" s="330"/>
      <c r="CH30" s="330"/>
      <c r="CI30" s="330"/>
      <c r="CJ30" s="330"/>
      <c r="CK30" s="330"/>
      <c r="CL30" s="330"/>
      <c r="CM30" s="330"/>
      <c r="CN30" s="330"/>
      <c r="CO30" s="331"/>
      <c r="CP30" s="326"/>
      <c r="CQ30" s="332">
        <f t="shared" si="31"/>
        <v>0</v>
      </c>
      <c r="CR30" s="333">
        <f t="shared" si="32"/>
        <v>0</v>
      </c>
      <c r="CS30" s="334">
        <f t="shared" si="33"/>
        <v>0</v>
      </c>
      <c r="CT30" s="335">
        <f t="shared" si="34"/>
        <v>0</v>
      </c>
      <c r="CU30" s="417">
        <f t="shared" ref="CU30:CU89" si="38">AJ30+AY30+BN30+U30+CC30+CR30</f>
        <v>0</v>
      </c>
      <c r="CV30" s="529" t="str">
        <f t="shared" si="35"/>
        <v xml:space="preserve"> </v>
      </c>
      <c r="CW30" s="529" t="str">
        <f>IF(YEAR(I30+J30)=1900," ",YEAR(I30+J30))</f>
        <v xml:space="preserve"> </v>
      </c>
      <c r="CX30" s="528">
        <f t="shared" ref="CX30:CX89" si="39">AJ30+AY30+BN30+U30+CC30+CR30</f>
        <v>0</v>
      </c>
    </row>
    <row r="31" spans="1:102" s="33" customFormat="1" ht="30" customHeight="1" thickBot="1">
      <c r="A31" s="1051" t="s">
        <v>1577</v>
      </c>
      <c r="B31" s="1048" t="s">
        <v>1481</v>
      </c>
      <c r="C31" s="1048" t="s">
        <v>1611</v>
      </c>
      <c r="D31" s="34"/>
      <c r="E31" s="125" t="s">
        <v>107</v>
      </c>
      <c r="F31" s="30"/>
      <c r="G31" s="31"/>
      <c r="H31" s="31"/>
      <c r="I31" s="519"/>
      <c r="J31" s="31"/>
      <c r="K31" s="522" t="str">
        <f t="shared" si="23"/>
        <v xml:space="preserve"> </v>
      </c>
      <c r="L31" s="31"/>
      <c r="M31" s="31"/>
      <c r="N31" s="401"/>
      <c r="O31" s="698"/>
      <c r="P31" s="674" t="s">
        <v>1990</v>
      </c>
      <c r="Q31" s="378"/>
      <c r="R31" s="182"/>
      <c r="S31" s="326"/>
      <c r="T31" s="399"/>
      <c r="U31" s="328">
        <f t="shared" si="24"/>
        <v>0</v>
      </c>
      <c r="V31" s="385"/>
      <c r="W31" s="352"/>
      <c r="X31" s="352"/>
      <c r="Y31" s="352"/>
      <c r="Z31" s="352"/>
      <c r="AA31" s="352"/>
      <c r="AB31" s="324"/>
      <c r="AC31" s="324"/>
      <c r="AD31" s="324"/>
      <c r="AE31" s="324"/>
      <c r="AF31" s="324"/>
      <c r="AG31" s="325"/>
      <c r="AH31" s="326"/>
      <c r="AI31" s="327">
        <f t="shared" si="25"/>
        <v>0</v>
      </c>
      <c r="AJ31" s="328">
        <f t="shared" si="36"/>
        <v>0</v>
      </c>
      <c r="AK31" s="329"/>
      <c r="AL31" s="330"/>
      <c r="AM31" s="330"/>
      <c r="AN31" s="330"/>
      <c r="AO31" s="330"/>
      <c r="AP31" s="330"/>
      <c r="AQ31" s="330"/>
      <c r="AR31" s="330"/>
      <c r="AS31" s="330"/>
      <c r="AT31" s="330"/>
      <c r="AU31" s="330"/>
      <c r="AV31" s="331"/>
      <c r="AW31" s="326"/>
      <c r="AX31" s="332">
        <f t="shared" si="26"/>
        <v>0</v>
      </c>
      <c r="AY31" s="333">
        <f t="shared" si="37"/>
        <v>0</v>
      </c>
      <c r="AZ31" s="329"/>
      <c r="BA31" s="330"/>
      <c r="BB31" s="330"/>
      <c r="BC31" s="330"/>
      <c r="BD31" s="330"/>
      <c r="BE31" s="330"/>
      <c r="BF31" s="330"/>
      <c r="BG31" s="330"/>
      <c r="BH31" s="330"/>
      <c r="BI31" s="330"/>
      <c r="BJ31" s="330"/>
      <c r="BK31" s="331"/>
      <c r="BL31" s="326"/>
      <c r="BM31" s="332">
        <f t="shared" si="27"/>
        <v>0</v>
      </c>
      <c r="BN31" s="333">
        <f t="shared" si="28"/>
        <v>0</v>
      </c>
      <c r="BO31" s="329"/>
      <c r="BP31" s="330"/>
      <c r="BQ31" s="330"/>
      <c r="BR31" s="330"/>
      <c r="BS31" s="330"/>
      <c r="BT31" s="330"/>
      <c r="BU31" s="330"/>
      <c r="BV31" s="330"/>
      <c r="BW31" s="330"/>
      <c r="BX31" s="330"/>
      <c r="BY31" s="330"/>
      <c r="BZ31" s="331"/>
      <c r="CA31" s="326"/>
      <c r="CB31" s="332">
        <f t="shared" si="29"/>
        <v>0</v>
      </c>
      <c r="CC31" s="333">
        <f t="shared" si="30"/>
        <v>0</v>
      </c>
      <c r="CD31" s="329"/>
      <c r="CE31" s="330"/>
      <c r="CF31" s="330"/>
      <c r="CG31" s="330"/>
      <c r="CH31" s="330"/>
      <c r="CI31" s="330"/>
      <c r="CJ31" s="330"/>
      <c r="CK31" s="330"/>
      <c r="CL31" s="330"/>
      <c r="CM31" s="330"/>
      <c r="CN31" s="330"/>
      <c r="CO31" s="331"/>
      <c r="CP31" s="326"/>
      <c r="CQ31" s="332">
        <f t="shared" si="31"/>
        <v>0</v>
      </c>
      <c r="CR31" s="333">
        <f t="shared" si="32"/>
        <v>0</v>
      </c>
      <c r="CS31" s="334">
        <f t="shared" si="33"/>
        <v>0</v>
      </c>
      <c r="CT31" s="335">
        <f t="shared" si="34"/>
        <v>0</v>
      </c>
      <c r="CU31" s="417">
        <f t="shared" si="38"/>
        <v>0</v>
      </c>
      <c r="CV31" s="529" t="str">
        <f t="shared" si="35"/>
        <v xml:space="preserve"> </v>
      </c>
      <c r="CW31" s="529" t="str">
        <f>IF(YEAR(I31+J31)=1900," ",YEAR(I31+J31))</f>
        <v xml:space="preserve"> </v>
      </c>
      <c r="CX31" s="528">
        <f t="shared" si="39"/>
        <v>0</v>
      </c>
    </row>
    <row r="32" spans="1:102" s="33" customFormat="1" ht="30" customHeight="1" thickBot="1">
      <c r="A32" s="1052"/>
      <c r="B32" s="1050"/>
      <c r="C32" s="1050"/>
      <c r="D32" s="34"/>
      <c r="E32" s="125" t="s">
        <v>107</v>
      </c>
      <c r="F32" s="30"/>
      <c r="G32" s="31"/>
      <c r="H32" s="31"/>
      <c r="I32" s="519"/>
      <c r="J32" s="31"/>
      <c r="K32" s="522" t="str">
        <f t="shared" si="23"/>
        <v xml:space="preserve"> </v>
      </c>
      <c r="L32" s="31"/>
      <c r="M32" s="31"/>
      <c r="N32" s="401"/>
      <c r="O32" s="698"/>
      <c r="P32" s="674" t="s">
        <v>1990</v>
      </c>
      <c r="Q32" s="378"/>
      <c r="R32" s="182"/>
      <c r="S32" s="326"/>
      <c r="T32" s="399"/>
      <c r="U32" s="328">
        <f t="shared" si="24"/>
        <v>0</v>
      </c>
      <c r="V32" s="385"/>
      <c r="W32" s="352"/>
      <c r="X32" s="352"/>
      <c r="Y32" s="352"/>
      <c r="Z32" s="352"/>
      <c r="AA32" s="352"/>
      <c r="AB32" s="324"/>
      <c r="AC32" s="324"/>
      <c r="AD32" s="324"/>
      <c r="AE32" s="324"/>
      <c r="AF32" s="324"/>
      <c r="AG32" s="325"/>
      <c r="AH32" s="326"/>
      <c r="AI32" s="327">
        <f t="shared" si="25"/>
        <v>0</v>
      </c>
      <c r="AJ32" s="328">
        <f t="shared" si="36"/>
        <v>0</v>
      </c>
      <c r="AK32" s="329"/>
      <c r="AL32" s="330"/>
      <c r="AM32" s="330"/>
      <c r="AN32" s="330"/>
      <c r="AO32" s="330"/>
      <c r="AP32" s="330"/>
      <c r="AQ32" s="330"/>
      <c r="AR32" s="330"/>
      <c r="AS32" s="330"/>
      <c r="AT32" s="330"/>
      <c r="AU32" s="330"/>
      <c r="AV32" s="331"/>
      <c r="AW32" s="326"/>
      <c r="AX32" s="332">
        <f t="shared" si="26"/>
        <v>0</v>
      </c>
      <c r="AY32" s="333">
        <f t="shared" si="37"/>
        <v>0</v>
      </c>
      <c r="AZ32" s="329"/>
      <c r="BA32" s="330"/>
      <c r="BB32" s="330"/>
      <c r="BC32" s="330"/>
      <c r="BD32" s="330"/>
      <c r="BE32" s="330"/>
      <c r="BF32" s="330"/>
      <c r="BG32" s="330"/>
      <c r="BH32" s="330"/>
      <c r="BI32" s="330"/>
      <c r="BJ32" s="330"/>
      <c r="BK32" s="331"/>
      <c r="BL32" s="326"/>
      <c r="BM32" s="332">
        <f t="shared" si="27"/>
        <v>0</v>
      </c>
      <c r="BN32" s="333">
        <f t="shared" si="28"/>
        <v>0</v>
      </c>
      <c r="BO32" s="329"/>
      <c r="BP32" s="330"/>
      <c r="BQ32" s="330"/>
      <c r="BR32" s="330"/>
      <c r="BS32" s="330"/>
      <c r="BT32" s="330"/>
      <c r="BU32" s="330"/>
      <c r="BV32" s="330"/>
      <c r="BW32" s="330"/>
      <c r="BX32" s="330"/>
      <c r="BY32" s="330"/>
      <c r="BZ32" s="331"/>
      <c r="CA32" s="326"/>
      <c r="CB32" s="332">
        <f t="shared" si="29"/>
        <v>0</v>
      </c>
      <c r="CC32" s="333">
        <f t="shared" si="30"/>
        <v>0</v>
      </c>
      <c r="CD32" s="329"/>
      <c r="CE32" s="330"/>
      <c r="CF32" s="330"/>
      <c r="CG32" s="330"/>
      <c r="CH32" s="330"/>
      <c r="CI32" s="330"/>
      <c r="CJ32" s="330"/>
      <c r="CK32" s="330"/>
      <c r="CL32" s="330"/>
      <c r="CM32" s="330"/>
      <c r="CN32" s="330"/>
      <c r="CO32" s="331"/>
      <c r="CP32" s="326"/>
      <c r="CQ32" s="332">
        <f t="shared" si="31"/>
        <v>0</v>
      </c>
      <c r="CR32" s="333">
        <f t="shared" si="32"/>
        <v>0</v>
      </c>
      <c r="CS32" s="334">
        <f t="shared" si="33"/>
        <v>0</v>
      </c>
      <c r="CT32" s="335">
        <f t="shared" si="34"/>
        <v>0</v>
      </c>
      <c r="CU32" s="417">
        <f t="shared" si="38"/>
        <v>0</v>
      </c>
      <c r="CV32" s="529" t="str">
        <f t="shared" si="35"/>
        <v xml:space="preserve"> </v>
      </c>
      <c r="CW32" s="529" t="str">
        <f>IF(YEAR(I32+J32)=1900," ",YEAR(I32+J32))</f>
        <v xml:space="preserve"> </v>
      </c>
      <c r="CX32" s="528">
        <f t="shared" si="39"/>
        <v>0</v>
      </c>
    </row>
    <row r="33" spans="1:102" s="33" customFormat="1" ht="30" customHeight="1" thickBot="1">
      <c r="A33" s="1051" t="s">
        <v>1578</v>
      </c>
      <c r="B33" s="1048" t="s">
        <v>1495</v>
      </c>
      <c r="C33" s="1048" t="s">
        <v>1675</v>
      </c>
      <c r="D33" s="34"/>
      <c r="E33" s="125" t="s">
        <v>107</v>
      </c>
      <c r="F33" s="30"/>
      <c r="G33" s="31"/>
      <c r="H33" s="31"/>
      <c r="I33" s="851">
        <v>43296</v>
      </c>
      <c r="J33" s="847">
        <v>30</v>
      </c>
      <c r="K33" s="846">
        <f t="shared" si="23"/>
        <v>43326</v>
      </c>
      <c r="L33" s="31"/>
      <c r="M33" s="31"/>
      <c r="N33" s="401"/>
      <c r="O33" s="698"/>
      <c r="P33" s="674" t="s">
        <v>1990</v>
      </c>
      <c r="Q33" s="857">
        <v>220812.5</v>
      </c>
      <c r="R33" s="182"/>
      <c r="S33" s="326"/>
      <c r="T33" s="399"/>
      <c r="U33" s="328">
        <f t="shared" si="24"/>
        <v>0</v>
      </c>
      <c r="V33" s="858"/>
      <c r="W33" s="856"/>
      <c r="X33" s="856"/>
      <c r="Y33" s="856"/>
      <c r="Z33" s="856"/>
      <c r="AA33" s="856"/>
      <c r="AB33" s="854"/>
      <c r="AC33" s="854"/>
      <c r="AD33" s="854"/>
      <c r="AE33" s="854"/>
      <c r="AF33" s="854"/>
      <c r="AG33" s="855"/>
      <c r="AH33" s="326"/>
      <c r="AI33" s="327">
        <f t="shared" si="25"/>
        <v>0</v>
      </c>
      <c r="AJ33" s="328">
        <f t="shared" si="36"/>
        <v>0</v>
      </c>
      <c r="AK33" s="860"/>
      <c r="AL33" s="861"/>
      <c r="AM33" s="864">
        <v>1</v>
      </c>
      <c r="AN33" s="864">
        <v>1</v>
      </c>
      <c r="AO33" s="864">
        <v>1</v>
      </c>
      <c r="AP33" s="864">
        <v>1</v>
      </c>
      <c r="AQ33" s="861"/>
      <c r="AR33" s="861"/>
      <c r="AS33" s="861"/>
      <c r="AT33" s="861"/>
      <c r="AU33" s="861"/>
      <c r="AV33" s="862"/>
      <c r="AW33" s="326"/>
      <c r="AX33" s="332">
        <f t="shared" si="26"/>
        <v>4</v>
      </c>
      <c r="AY33" s="333">
        <f t="shared" si="37"/>
        <v>883250</v>
      </c>
      <c r="AZ33" s="873"/>
      <c r="BA33" s="874"/>
      <c r="BB33" s="874"/>
      <c r="BC33" s="874"/>
      <c r="BD33" s="874"/>
      <c r="BE33" s="874"/>
      <c r="BF33" s="874"/>
      <c r="BG33" s="874"/>
      <c r="BH33" s="874"/>
      <c r="BI33" s="874"/>
      <c r="BJ33" s="874"/>
      <c r="BK33" s="875"/>
      <c r="BL33" s="326"/>
      <c r="BM33" s="332">
        <f t="shared" si="27"/>
        <v>0</v>
      </c>
      <c r="BN33" s="333">
        <f t="shared" si="28"/>
        <v>0</v>
      </c>
      <c r="BO33" s="329"/>
      <c r="BP33" s="330"/>
      <c r="BQ33" s="330"/>
      <c r="BR33" s="330"/>
      <c r="BS33" s="330"/>
      <c r="BT33" s="330"/>
      <c r="BU33" s="330"/>
      <c r="BV33" s="330"/>
      <c r="BW33" s="330"/>
      <c r="BX33" s="330"/>
      <c r="BY33" s="330"/>
      <c r="BZ33" s="331"/>
      <c r="CA33" s="326"/>
      <c r="CB33" s="332">
        <f t="shared" si="29"/>
        <v>0</v>
      </c>
      <c r="CC33" s="333">
        <f t="shared" si="30"/>
        <v>0</v>
      </c>
      <c r="CD33" s="329"/>
      <c r="CE33" s="330"/>
      <c r="CF33" s="330"/>
      <c r="CG33" s="330"/>
      <c r="CH33" s="330"/>
      <c r="CI33" s="330"/>
      <c r="CJ33" s="330"/>
      <c r="CK33" s="330"/>
      <c r="CL33" s="330"/>
      <c r="CM33" s="330"/>
      <c r="CN33" s="330"/>
      <c r="CO33" s="331"/>
      <c r="CP33" s="326"/>
      <c r="CQ33" s="332">
        <f t="shared" si="31"/>
        <v>0</v>
      </c>
      <c r="CR33" s="333">
        <f t="shared" si="32"/>
        <v>0</v>
      </c>
      <c r="CS33" s="334">
        <f t="shared" si="33"/>
        <v>0</v>
      </c>
      <c r="CT33" s="335">
        <f t="shared" si="34"/>
        <v>4</v>
      </c>
      <c r="CU33" s="417">
        <f t="shared" si="38"/>
        <v>883250</v>
      </c>
      <c r="CV33" s="529" t="str">
        <f t="shared" si="35"/>
        <v xml:space="preserve"> </v>
      </c>
      <c r="CW33" s="529"/>
      <c r="CX33" s="528">
        <f t="shared" si="39"/>
        <v>883250</v>
      </c>
    </row>
    <row r="34" spans="1:102" s="33" customFormat="1" ht="30" customHeight="1" thickBot="1">
      <c r="A34" s="1052"/>
      <c r="B34" s="1050"/>
      <c r="C34" s="1050"/>
      <c r="D34" s="34"/>
      <c r="E34" s="125" t="s">
        <v>107</v>
      </c>
      <c r="F34" s="30"/>
      <c r="G34" s="31"/>
      <c r="H34" s="31"/>
      <c r="I34" s="848"/>
      <c r="J34" s="847"/>
      <c r="K34" s="522" t="str">
        <f t="shared" si="23"/>
        <v xml:space="preserve"> </v>
      </c>
      <c r="L34" s="31"/>
      <c r="M34" s="31"/>
      <c r="N34" s="401"/>
      <c r="O34" s="698"/>
      <c r="P34" s="674" t="s">
        <v>1990</v>
      </c>
      <c r="Q34" s="857"/>
      <c r="R34" s="182"/>
      <c r="S34" s="326"/>
      <c r="T34" s="399"/>
      <c r="U34" s="328">
        <f t="shared" si="24"/>
        <v>0</v>
      </c>
      <c r="V34" s="858"/>
      <c r="W34" s="856"/>
      <c r="X34" s="856"/>
      <c r="Y34" s="856"/>
      <c r="Z34" s="856"/>
      <c r="AA34" s="856"/>
      <c r="AB34" s="854"/>
      <c r="AC34" s="854"/>
      <c r="AD34" s="854"/>
      <c r="AE34" s="854"/>
      <c r="AF34" s="854"/>
      <c r="AG34" s="855"/>
      <c r="AH34" s="326"/>
      <c r="AI34" s="327">
        <f t="shared" si="25"/>
        <v>0</v>
      </c>
      <c r="AJ34" s="328">
        <f t="shared" si="36"/>
        <v>0</v>
      </c>
      <c r="AK34" s="860"/>
      <c r="AL34" s="861"/>
      <c r="AM34" s="861"/>
      <c r="AN34" s="861"/>
      <c r="AO34" s="861"/>
      <c r="AP34" s="861"/>
      <c r="AQ34" s="861"/>
      <c r="AR34" s="861"/>
      <c r="AS34" s="861"/>
      <c r="AT34" s="861"/>
      <c r="AU34" s="861"/>
      <c r="AV34" s="862"/>
      <c r="AW34" s="326"/>
      <c r="AX34" s="332">
        <f t="shared" si="26"/>
        <v>0</v>
      </c>
      <c r="AY34" s="333">
        <f t="shared" si="37"/>
        <v>0</v>
      </c>
      <c r="AZ34" s="873"/>
      <c r="BA34" s="874"/>
      <c r="BB34" s="874"/>
      <c r="BC34" s="874"/>
      <c r="BD34" s="874"/>
      <c r="BE34" s="874"/>
      <c r="BF34" s="874"/>
      <c r="BG34" s="874"/>
      <c r="BH34" s="874"/>
      <c r="BI34" s="874"/>
      <c r="BJ34" s="874"/>
      <c r="BK34" s="875"/>
      <c r="BL34" s="326"/>
      <c r="BM34" s="332">
        <f t="shared" si="27"/>
        <v>0</v>
      </c>
      <c r="BN34" s="333">
        <f t="shared" si="28"/>
        <v>0</v>
      </c>
      <c r="BO34" s="329"/>
      <c r="BP34" s="330"/>
      <c r="BQ34" s="330"/>
      <c r="BR34" s="330"/>
      <c r="BS34" s="330"/>
      <c r="BT34" s="330"/>
      <c r="BU34" s="330"/>
      <c r="BV34" s="330"/>
      <c r="BW34" s="330"/>
      <c r="BX34" s="330"/>
      <c r="BY34" s="330"/>
      <c r="BZ34" s="331"/>
      <c r="CA34" s="326"/>
      <c r="CB34" s="332">
        <f t="shared" si="29"/>
        <v>0</v>
      </c>
      <c r="CC34" s="333">
        <f t="shared" si="30"/>
        <v>0</v>
      </c>
      <c r="CD34" s="329"/>
      <c r="CE34" s="330"/>
      <c r="CF34" s="330"/>
      <c r="CG34" s="330"/>
      <c r="CH34" s="330"/>
      <c r="CI34" s="330"/>
      <c r="CJ34" s="330"/>
      <c r="CK34" s="330"/>
      <c r="CL34" s="330"/>
      <c r="CM34" s="330"/>
      <c r="CN34" s="330"/>
      <c r="CO34" s="331"/>
      <c r="CP34" s="326"/>
      <c r="CQ34" s="332">
        <f t="shared" si="31"/>
        <v>0</v>
      </c>
      <c r="CR34" s="333">
        <f t="shared" si="32"/>
        <v>0</v>
      </c>
      <c r="CS34" s="334">
        <f t="shared" si="33"/>
        <v>0</v>
      </c>
      <c r="CT34" s="335">
        <f t="shared" si="34"/>
        <v>0</v>
      </c>
      <c r="CU34" s="417">
        <f t="shared" si="38"/>
        <v>0</v>
      </c>
      <c r="CV34" s="529" t="str">
        <f t="shared" si="35"/>
        <v xml:space="preserve"> </v>
      </c>
      <c r="CW34" s="529"/>
      <c r="CX34" s="528">
        <f t="shared" si="39"/>
        <v>0</v>
      </c>
    </row>
    <row r="35" spans="1:102" s="33" customFormat="1" ht="27" customHeight="1" thickBot="1">
      <c r="A35" s="1051" t="s">
        <v>1579</v>
      </c>
      <c r="B35" s="1048" t="s">
        <v>1496</v>
      </c>
      <c r="C35" s="1048" t="s">
        <v>1496</v>
      </c>
      <c r="D35" s="34"/>
      <c r="E35" s="125" t="s">
        <v>107</v>
      </c>
      <c r="F35" s="30"/>
      <c r="G35" s="31"/>
      <c r="H35" s="31"/>
      <c r="I35" s="851">
        <v>43296</v>
      </c>
      <c r="J35" s="847">
        <v>30</v>
      </c>
      <c r="K35" s="522">
        <f t="shared" si="23"/>
        <v>43326</v>
      </c>
      <c r="L35" s="31"/>
      <c r="M35" s="31"/>
      <c r="N35" s="401"/>
      <c r="O35" s="698"/>
      <c r="P35" s="674" t="s">
        <v>1990</v>
      </c>
      <c r="Q35" s="857">
        <v>220812.5</v>
      </c>
      <c r="R35" s="182"/>
      <c r="S35" s="326"/>
      <c r="T35" s="399"/>
      <c r="U35" s="328">
        <f t="shared" si="24"/>
        <v>0</v>
      </c>
      <c r="V35" s="858"/>
      <c r="W35" s="856"/>
      <c r="X35" s="856"/>
      <c r="Y35" s="856"/>
      <c r="Z35" s="856"/>
      <c r="AA35" s="856"/>
      <c r="AB35" s="856"/>
      <c r="AC35" s="856"/>
      <c r="AD35" s="854"/>
      <c r="AE35" s="854"/>
      <c r="AF35" s="854"/>
      <c r="AG35" s="855"/>
      <c r="AH35" s="326"/>
      <c r="AI35" s="327">
        <f t="shared" si="25"/>
        <v>0</v>
      </c>
      <c r="AJ35" s="328">
        <f t="shared" si="36"/>
        <v>0</v>
      </c>
      <c r="AK35" s="860"/>
      <c r="AL35" s="861"/>
      <c r="AM35" s="864">
        <v>1</v>
      </c>
      <c r="AN35" s="864">
        <v>1</v>
      </c>
      <c r="AO35" s="864">
        <v>1</v>
      </c>
      <c r="AP35" s="864">
        <v>1</v>
      </c>
      <c r="AQ35" s="861"/>
      <c r="AR35" s="861"/>
      <c r="AS35" s="861"/>
      <c r="AT35" s="861"/>
      <c r="AU35" s="861"/>
      <c r="AV35" s="862"/>
      <c r="AW35" s="326"/>
      <c r="AX35" s="332">
        <f t="shared" si="26"/>
        <v>4</v>
      </c>
      <c r="AY35" s="333">
        <f t="shared" si="37"/>
        <v>883250</v>
      </c>
      <c r="AZ35" s="873"/>
      <c r="BA35" s="874"/>
      <c r="BB35" s="874"/>
      <c r="BC35" s="874"/>
      <c r="BD35" s="874"/>
      <c r="BE35" s="874"/>
      <c r="BF35" s="874"/>
      <c r="BG35" s="874"/>
      <c r="BH35" s="874"/>
      <c r="BI35" s="874"/>
      <c r="BJ35" s="874"/>
      <c r="BK35" s="875"/>
      <c r="BL35" s="326"/>
      <c r="BM35" s="332">
        <f t="shared" si="27"/>
        <v>0</v>
      </c>
      <c r="BN35" s="333">
        <f t="shared" si="28"/>
        <v>0</v>
      </c>
      <c r="BO35" s="329"/>
      <c r="BP35" s="330"/>
      <c r="BQ35" s="330"/>
      <c r="BR35" s="330"/>
      <c r="BS35" s="330"/>
      <c r="BT35" s="330"/>
      <c r="BU35" s="330"/>
      <c r="BV35" s="330"/>
      <c r="BW35" s="330"/>
      <c r="BX35" s="330"/>
      <c r="BY35" s="330"/>
      <c r="BZ35" s="331"/>
      <c r="CA35" s="326"/>
      <c r="CB35" s="332">
        <f t="shared" si="29"/>
        <v>0</v>
      </c>
      <c r="CC35" s="333">
        <f t="shared" si="30"/>
        <v>0</v>
      </c>
      <c r="CD35" s="329"/>
      <c r="CE35" s="330"/>
      <c r="CF35" s="330"/>
      <c r="CG35" s="330"/>
      <c r="CH35" s="330"/>
      <c r="CI35" s="330"/>
      <c r="CJ35" s="330"/>
      <c r="CK35" s="330"/>
      <c r="CL35" s="330"/>
      <c r="CM35" s="330"/>
      <c r="CN35" s="330"/>
      <c r="CO35" s="331"/>
      <c r="CP35" s="326"/>
      <c r="CQ35" s="332">
        <f t="shared" si="31"/>
        <v>0</v>
      </c>
      <c r="CR35" s="333">
        <f t="shared" si="32"/>
        <v>0</v>
      </c>
      <c r="CS35" s="334">
        <f t="shared" si="33"/>
        <v>0</v>
      </c>
      <c r="CT35" s="335">
        <f t="shared" si="34"/>
        <v>4</v>
      </c>
      <c r="CU35" s="417">
        <f t="shared" si="38"/>
        <v>883250</v>
      </c>
      <c r="CV35" s="529" t="str">
        <f t="shared" si="35"/>
        <v xml:space="preserve"> </v>
      </c>
      <c r="CW35" s="529">
        <f t="shared" ref="CW35:CW62" si="40">IF(YEAR(I35+J35)=1900," ",YEAR(I35+J35))</f>
        <v>2018</v>
      </c>
      <c r="CX35" s="528">
        <f t="shared" si="39"/>
        <v>883250</v>
      </c>
    </row>
    <row r="36" spans="1:102" s="33" customFormat="1" ht="27" customHeight="1" thickBot="1">
      <c r="A36" s="1052"/>
      <c r="B36" s="1050"/>
      <c r="C36" s="1050"/>
      <c r="D36" s="34"/>
      <c r="E36" s="125" t="s">
        <v>107</v>
      </c>
      <c r="F36" s="30"/>
      <c r="G36" s="31"/>
      <c r="H36" s="31"/>
      <c r="I36" s="848"/>
      <c r="J36" s="847"/>
      <c r="K36" s="522" t="str">
        <f t="shared" si="23"/>
        <v xml:space="preserve"> </v>
      </c>
      <c r="L36" s="31"/>
      <c r="M36" s="31"/>
      <c r="N36" s="401"/>
      <c r="O36" s="698"/>
      <c r="P36" s="674" t="s">
        <v>1990</v>
      </c>
      <c r="Q36" s="857"/>
      <c r="R36" s="182"/>
      <c r="S36" s="326"/>
      <c r="T36" s="399"/>
      <c r="U36" s="328">
        <f t="shared" si="24"/>
        <v>0</v>
      </c>
      <c r="V36" s="858"/>
      <c r="W36" s="856"/>
      <c r="X36" s="856"/>
      <c r="Y36" s="856"/>
      <c r="Z36" s="856"/>
      <c r="AA36" s="856"/>
      <c r="AB36" s="854"/>
      <c r="AC36" s="854"/>
      <c r="AD36" s="854"/>
      <c r="AE36" s="854"/>
      <c r="AF36" s="854"/>
      <c r="AG36" s="855"/>
      <c r="AH36" s="326"/>
      <c r="AI36" s="327">
        <f t="shared" si="25"/>
        <v>0</v>
      </c>
      <c r="AJ36" s="328">
        <f t="shared" si="36"/>
        <v>0</v>
      </c>
      <c r="AK36" s="860"/>
      <c r="AL36" s="861"/>
      <c r="AM36" s="861"/>
      <c r="AN36" s="861"/>
      <c r="AO36" s="861"/>
      <c r="AP36" s="861"/>
      <c r="AQ36" s="861"/>
      <c r="AR36" s="861"/>
      <c r="AS36" s="861"/>
      <c r="AT36" s="861"/>
      <c r="AU36" s="861"/>
      <c r="AV36" s="862"/>
      <c r="AW36" s="326"/>
      <c r="AX36" s="332">
        <f t="shared" si="26"/>
        <v>0</v>
      </c>
      <c r="AY36" s="333">
        <f t="shared" si="37"/>
        <v>0</v>
      </c>
      <c r="AZ36" s="873"/>
      <c r="BA36" s="874"/>
      <c r="BB36" s="874"/>
      <c r="BC36" s="874"/>
      <c r="BD36" s="874"/>
      <c r="BE36" s="874"/>
      <c r="BF36" s="874"/>
      <c r="BG36" s="874"/>
      <c r="BH36" s="874"/>
      <c r="BI36" s="874"/>
      <c r="BJ36" s="874"/>
      <c r="BK36" s="875"/>
      <c r="BL36" s="326"/>
      <c r="BM36" s="332">
        <f t="shared" si="27"/>
        <v>0</v>
      </c>
      <c r="BN36" s="333">
        <f t="shared" si="28"/>
        <v>0</v>
      </c>
      <c r="BO36" s="329"/>
      <c r="BP36" s="330"/>
      <c r="BQ36" s="330"/>
      <c r="BR36" s="330"/>
      <c r="BS36" s="330"/>
      <c r="BT36" s="330"/>
      <c r="BU36" s="330"/>
      <c r="BV36" s="330"/>
      <c r="BW36" s="330"/>
      <c r="BX36" s="330"/>
      <c r="BY36" s="330"/>
      <c r="BZ36" s="331"/>
      <c r="CA36" s="326"/>
      <c r="CB36" s="332">
        <f t="shared" si="29"/>
        <v>0</v>
      </c>
      <c r="CC36" s="333">
        <f t="shared" si="30"/>
        <v>0</v>
      </c>
      <c r="CD36" s="329"/>
      <c r="CE36" s="330"/>
      <c r="CF36" s="330"/>
      <c r="CG36" s="330"/>
      <c r="CH36" s="330"/>
      <c r="CI36" s="330"/>
      <c r="CJ36" s="330"/>
      <c r="CK36" s="330"/>
      <c r="CL36" s="330"/>
      <c r="CM36" s="330"/>
      <c r="CN36" s="330"/>
      <c r="CO36" s="331"/>
      <c r="CP36" s="326"/>
      <c r="CQ36" s="332">
        <f t="shared" si="31"/>
        <v>0</v>
      </c>
      <c r="CR36" s="333">
        <f t="shared" si="32"/>
        <v>0</v>
      </c>
      <c r="CS36" s="334">
        <f t="shared" si="33"/>
        <v>0</v>
      </c>
      <c r="CT36" s="335">
        <f t="shared" si="34"/>
        <v>0</v>
      </c>
      <c r="CU36" s="417">
        <f t="shared" si="38"/>
        <v>0</v>
      </c>
      <c r="CV36" s="529" t="str">
        <f t="shared" si="35"/>
        <v xml:space="preserve"> </v>
      </c>
      <c r="CW36" s="529" t="str">
        <f t="shared" si="40"/>
        <v xml:space="preserve"> </v>
      </c>
      <c r="CX36" s="528">
        <f t="shared" si="39"/>
        <v>0</v>
      </c>
    </row>
    <row r="37" spans="1:102" s="33" customFormat="1" ht="27" customHeight="1" thickBot="1">
      <c r="A37" s="1051" t="s">
        <v>1580</v>
      </c>
      <c r="B37" s="1048" t="s">
        <v>1497</v>
      </c>
      <c r="C37" s="1048" t="s">
        <v>1498</v>
      </c>
      <c r="D37" s="34"/>
      <c r="E37" s="125" t="s">
        <v>107</v>
      </c>
      <c r="F37" s="30"/>
      <c r="G37" s="31"/>
      <c r="H37" s="31"/>
      <c r="I37" s="851">
        <v>43296</v>
      </c>
      <c r="J37" s="847">
        <v>30</v>
      </c>
      <c r="K37" s="522">
        <f t="shared" si="23"/>
        <v>43326</v>
      </c>
      <c r="L37" s="31"/>
      <c r="M37" s="31"/>
      <c r="N37" s="401"/>
      <c r="O37" s="698"/>
      <c r="P37" s="674" t="s">
        <v>1990</v>
      </c>
      <c r="Q37" s="857">
        <v>220812.5</v>
      </c>
      <c r="R37" s="182"/>
      <c r="S37" s="326"/>
      <c r="T37" s="399"/>
      <c r="U37" s="328">
        <f t="shared" si="24"/>
        <v>0</v>
      </c>
      <c r="V37" s="858"/>
      <c r="W37" s="856"/>
      <c r="X37" s="856"/>
      <c r="Y37" s="856"/>
      <c r="Z37" s="856"/>
      <c r="AA37" s="856"/>
      <c r="AB37" s="854"/>
      <c r="AC37" s="854"/>
      <c r="AD37" s="854"/>
      <c r="AE37" s="854"/>
      <c r="AF37" s="854"/>
      <c r="AG37" s="855"/>
      <c r="AH37" s="326"/>
      <c r="AI37" s="327">
        <f t="shared" si="25"/>
        <v>0</v>
      </c>
      <c r="AJ37" s="328">
        <f t="shared" si="36"/>
        <v>0</v>
      </c>
      <c r="AK37" s="860"/>
      <c r="AL37" s="861"/>
      <c r="AM37" s="892">
        <v>1</v>
      </c>
      <c r="AN37" s="892">
        <v>1</v>
      </c>
      <c r="AO37" s="892">
        <v>1</v>
      </c>
      <c r="AP37" s="892">
        <v>1</v>
      </c>
      <c r="AQ37" s="861"/>
      <c r="AR37" s="861"/>
      <c r="AS37" s="861"/>
      <c r="AT37" s="861"/>
      <c r="AU37" s="861"/>
      <c r="AV37" s="862"/>
      <c r="AW37" s="326"/>
      <c r="AX37" s="332">
        <f t="shared" si="26"/>
        <v>4</v>
      </c>
      <c r="AY37" s="333">
        <f t="shared" si="37"/>
        <v>883250</v>
      </c>
      <c r="AZ37" s="873"/>
      <c r="BA37" s="874"/>
      <c r="BB37" s="874"/>
      <c r="BC37" s="874"/>
      <c r="BD37" s="874"/>
      <c r="BE37" s="874"/>
      <c r="BF37" s="874"/>
      <c r="BG37" s="874"/>
      <c r="BH37" s="874"/>
      <c r="BI37" s="874"/>
      <c r="BJ37" s="874"/>
      <c r="BK37" s="875"/>
      <c r="BL37" s="326"/>
      <c r="BM37" s="332">
        <f t="shared" si="27"/>
        <v>0</v>
      </c>
      <c r="BN37" s="333">
        <f t="shared" si="28"/>
        <v>0</v>
      </c>
      <c r="BO37" s="329"/>
      <c r="BP37" s="330"/>
      <c r="BQ37" s="330"/>
      <c r="BR37" s="330"/>
      <c r="BS37" s="330"/>
      <c r="BT37" s="330"/>
      <c r="BU37" s="330"/>
      <c r="BV37" s="330"/>
      <c r="BW37" s="330"/>
      <c r="BX37" s="330"/>
      <c r="BY37" s="330"/>
      <c r="BZ37" s="331"/>
      <c r="CA37" s="326"/>
      <c r="CB37" s="332">
        <f t="shared" si="29"/>
        <v>0</v>
      </c>
      <c r="CC37" s="333">
        <f t="shared" si="30"/>
        <v>0</v>
      </c>
      <c r="CD37" s="329"/>
      <c r="CE37" s="330"/>
      <c r="CF37" s="330"/>
      <c r="CG37" s="330"/>
      <c r="CH37" s="330"/>
      <c r="CI37" s="330"/>
      <c r="CJ37" s="330"/>
      <c r="CK37" s="330"/>
      <c r="CL37" s="330"/>
      <c r="CM37" s="330"/>
      <c r="CN37" s="330"/>
      <c r="CO37" s="331"/>
      <c r="CP37" s="326"/>
      <c r="CQ37" s="332">
        <f t="shared" si="31"/>
        <v>0</v>
      </c>
      <c r="CR37" s="333">
        <f t="shared" si="32"/>
        <v>0</v>
      </c>
      <c r="CS37" s="334">
        <f t="shared" si="33"/>
        <v>0</v>
      </c>
      <c r="CT37" s="335">
        <f t="shared" si="34"/>
        <v>4</v>
      </c>
      <c r="CU37" s="417">
        <f t="shared" si="38"/>
        <v>883250</v>
      </c>
      <c r="CV37" s="529" t="str">
        <f t="shared" si="35"/>
        <v xml:space="preserve"> </v>
      </c>
      <c r="CW37" s="529">
        <f t="shared" si="40"/>
        <v>2018</v>
      </c>
      <c r="CX37" s="528">
        <f t="shared" si="39"/>
        <v>883250</v>
      </c>
    </row>
    <row r="38" spans="1:102" s="33" customFormat="1" ht="27" customHeight="1" thickBot="1">
      <c r="A38" s="1052"/>
      <c r="B38" s="1050"/>
      <c r="C38" s="1050"/>
      <c r="D38" s="34"/>
      <c r="E38" s="125" t="s">
        <v>107</v>
      </c>
      <c r="F38" s="30"/>
      <c r="G38" s="31"/>
      <c r="H38" s="31"/>
      <c r="I38" s="848"/>
      <c r="J38" s="847"/>
      <c r="K38" s="522" t="str">
        <f t="shared" si="23"/>
        <v xml:space="preserve"> </v>
      </c>
      <c r="L38" s="31"/>
      <c r="M38" s="31"/>
      <c r="N38" s="401"/>
      <c r="O38" s="698"/>
      <c r="P38" s="674" t="s">
        <v>1990</v>
      </c>
      <c r="Q38" s="857"/>
      <c r="R38" s="182"/>
      <c r="S38" s="326"/>
      <c r="T38" s="399"/>
      <c r="U38" s="328">
        <f t="shared" si="24"/>
        <v>0</v>
      </c>
      <c r="V38" s="858"/>
      <c r="W38" s="856"/>
      <c r="X38" s="856"/>
      <c r="Y38" s="856"/>
      <c r="Z38" s="856"/>
      <c r="AA38" s="856"/>
      <c r="AB38" s="856"/>
      <c r="AC38" s="856"/>
      <c r="AD38" s="854"/>
      <c r="AE38" s="854"/>
      <c r="AF38" s="854"/>
      <c r="AG38" s="855"/>
      <c r="AH38" s="326"/>
      <c r="AI38" s="327">
        <f t="shared" si="25"/>
        <v>0</v>
      </c>
      <c r="AJ38" s="328">
        <f t="shared" si="36"/>
        <v>0</v>
      </c>
      <c r="AK38" s="860"/>
      <c r="AL38" s="861"/>
      <c r="AM38" s="861"/>
      <c r="AN38" s="861"/>
      <c r="AO38" s="861"/>
      <c r="AP38" s="861"/>
      <c r="AQ38" s="861"/>
      <c r="AR38" s="861"/>
      <c r="AS38" s="861"/>
      <c r="AT38" s="861"/>
      <c r="AU38" s="861"/>
      <c r="AV38" s="862"/>
      <c r="AW38" s="326"/>
      <c r="AX38" s="332">
        <f t="shared" si="26"/>
        <v>0</v>
      </c>
      <c r="AY38" s="333">
        <f t="shared" si="37"/>
        <v>0</v>
      </c>
      <c r="AZ38" s="873"/>
      <c r="BA38" s="874"/>
      <c r="BB38" s="874"/>
      <c r="BC38" s="874"/>
      <c r="BD38" s="874"/>
      <c r="BE38" s="874"/>
      <c r="BF38" s="874"/>
      <c r="BG38" s="874"/>
      <c r="BH38" s="874"/>
      <c r="BI38" s="874"/>
      <c r="BJ38" s="874"/>
      <c r="BK38" s="875"/>
      <c r="BL38" s="326"/>
      <c r="BM38" s="332">
        <f t="shared" si="27"/>
        <v>0</v>
      </c>
      <c r="BN38" s="333">
        <f t="shared" si="28"/>
        <v>0</v>
      </c>
      <c r="BO38" s="329"/>
      <c r="BP38" s="330"/>
      <c r="BQ38" s="330"/>
      <c r="BR38" s="330"/>
      <c r="BS38" s="330"/>
      <c r="BT38" s="330"/>
      <c r="BU38" s="330"/>
      <c r="BV38" s="330"/>
      <c r="BW38" s="330"/>
      <c r="BX38" s="330"/>
      <c r="BY38" s="330"/>
      <c r="BZ38" s="331"/>
      <c r="CA38" s="326"/>
      <c r="CB38" s="332">
        <f t="shared" si="29"/>
        <v>0</v>
      </c>
      <c r="CC38" s="333">
        <f t="shared" si="30"/>
        <v>0</v>
      </c>
      <c r="CD38" s="329"/>
      <c r="CE38" s="330"/>
      <c r="CF38" s="330"/>
      <c r="CG38" s="330"/>
      <c r="CH38" s="330"/>
      <c r="CI38" s="330"/>
      <c r="CJ38" s="330"/>
      <c r="CK38" s="330"/>
      <c r="CL38" s="330"/>
      <c r="CM38" s="330"/>
      <c r="CN38" s="330"/>
      <c r="CO38" s="331"/>
      <c r="CP38" s="326"/>
      <c r="CQ38" s="332">
        <f t="shared" si="31"/>
        <v>0</v>
      </c>
      <c r="CR38" s="333">
        <f t="shared" si="32"/>
        <v>0</v>
      </c>
      <c r="CS38" s="334">
        <f t="shared" si="33"/>
        <v>0</v>
      </c>
      <c r="CT38" s="335">
        <f t="shared" si="34"/>
        <v>0</v>
      </c>
      <c r="CU38" s="417">
        <f t="shared" si="38"/>
        <v>0</v>
      </c>
      <c r="CV38" s="529" t="str">
        <f t="shared" si="35"/>
        <v xml:space="preserve"> </v>
      </c>
      <c r="CW38" s="529" t="str">
        <f t="shared" si="40"/>
        <v xml:space="preserve"> </v>
      </c>
      <c r="CX38" s="528">
        <f t="shared" si="39"/>
        <v>0</v>
      </c>
    </row>
    <row r="39" spans="1:102" s="33" customFormat="1" ht="27" customHeight="1" thickBot="1">
      <c r="A39" s="1051" t="s">
        <v>1581</v>
      </c>
      <c r="B39" s="1048" t="s">
        <v>1594</v>
      </c>
      <c r="C39" s="1048" t="s">
        <v>1595</v>
      </c>
      <c r="D39" s="34"/>
      <c r="E39" s="125" t="s">
        <v>107</v>
      </c>
      <c r="F39" s="30"/>
      <c r="G39" s="31"/>
      <c r="H39" s="31"/>
      <c r="I39" s="848"/>
      <c r="J39" s="847"/>
      <c r="K39" s="522" t="str">
        <f t="shared" si="23"/>
        <v xml:space="preserve"> </v>
      </c>
      <c r="L39" s="31"/>
      <c r="M39" s="31"/>
      <c r="N39" s="401"/>
      <c r="O39" s="698"/>
      <c r="P39" s="674" t="s">
        <v>1990</v>
      </c>
      <c r="Q39" s="857"/>
      <c r="R39" s="182"/>
      <c r="S39" s="326"/>
      <c r="T39" s="399"/>
      <c r="U39" s="328">
        <f t="shared" si="24"/>
        <v>0</v>
      </c>
      <c r="V39" s="858"/>
      <c r="W39" s="856"/>
      <c r="X39" s="856"/>
      <c r="Y39" s="856"/>
      <c r="Z39" s="856"/>
      <c r="AA39" s="856"/>
      <c r="AB39" s="854"/>
      <c r="AC39" s="854"/>
      <c r="AD39" s="854"/>
      <c r="AE39" s="854"/>
      <c r="AF39" s="854"/>
      <c r="AG39" s="855"/>
      <c r="AH39" s="326"/>
      <c r="AI39" s="327">
        <f t="shared" si="25"/>
        <v>0</v>
      </c>
      <c r="AJ39" s="328">
        <f t="shared" si="36"/>
        <v>0</v>
      </c>
      <c r="AK39" s="860"/>
      <c r="AL39" s="861"/>
      <c r="AQ39" s="861"/>
      <c r="AR39" s="861"/>
      <c r="AS39" s="861"/>
      <c r="AT39" s="861"/>
      <c r="AU39" s="861"/>
      <c r="AV39" s="862"/>
      <c r="AW39" s="326"/>
      <c r="AX39" s="332">
        <f t="shared" si="26"/>
        <v>0</v>
      </c>
      <c r="AY39" s="333">
        <f t="shared" si="37"/>
        <v>0</v>
      </c>
      <c r="AZ39" s="873"/>
      <c r="BA39" s="874"/>
      <c r="BB39" s="874"/>
      <c r="BC39" s="874"/>
      <c r="BD39" s="874"/>
      <c r="BE39" s="874"/>
      <c r="BF39" s="874"/>
      <c r="BG39" s="874"/>
      <c r="BH39" s="874"/>
      <c r="BI39" s="874"/>
      <c r="BJ39" s="874"/>
      <c r="BK39" s="875"/>
      <c r="BL39" s="326"/>
      <c r="BM39" s="332">
        <f t="shared" si="27"/>
        <v>0</v>
      </c>
      <c r="BN39" s="333">
        <f t="shared" si="28"/>
        <v>0</v>
      </c>
      <c r="BO39" s="329"/>
      <c r="BP39" s="330"/>
      <c r="BQ39" s="330"/>
      <c r="BR39" s="330"/>
      <c r="BS39" s="330"/>
      <c r="BT39" s="330"/>
      <c r="BU39" s="330"/>
      <c r="BV39" s="330"/>
      <c r="BW39" s="330"/>
      <c r="BX39" s="330"/>
      <c r="BY39" s="330"/>
      <c r="BZ39" s="331"/>
      <c r="CA39" s="326"/>
      <c r="CB39" s="332">
        <f t="shared" si="29"/>
        <v>0</v>
      </c>
      <c r="CC39" s="333">
        <f t="shared" si="30"/>
        <v>0</v>
      </c>
      <c r="CD39" s="329"/>
      <c r="CE39" s="330"/>
      <c r="CF39" s="330"/>
      <c r="CG39" s="330"/>
      <c r="CH39" s="330"/>
      <c r="CI39" s="330"/>
      <c r="CJ39" s="330"/>
      <c r="CK39" s="330"/>
      <c r="CL39" s="330"/>
      <c r="CM39" s="330"/>
      <c r="CN39" s="330"/>
      <c r="CO39" s="331"/>
      <c r="CP39" s="326"/>
      <c r="CQ39" s="332">
        <f t="shared" si="31"/>
        <v>0</v>
      </c>
      <c r="CR39" s="333">
        <f t="shared" si="32"/>
        <v>0</v>
      </c>
      <c r="CS39" s="334">
        <f t="shared" si="33"/>
        <v>0</v>
      </c>
      <c r="CT39" s="335">
        <f t="shared" si="34"/>
        <v>0</v>
      </c>
      <c r="CU39" s="417">
        <f t="shared" si="38"/>
        <v>0</v>
      </c>
      <c r="CV39" s="529" t="str">
        <f t="shared" si="35"/>
        <v xml:space="preserve"> </v>
      </c>
      <c r="CW39" s="529" t="str">
        <f t="shared" si="40"/>
        <v xml:space="preserve"> </v>
      </c>
      <c r="CX39" s="528">
        <f t="shared" si="39"/>
        <v>0</v>
      </c>
    </row>
    <row r="40" spans="1:102" s="33" customFormat="1" ht="27" customHeight="1" thickBot="1">
      <c r="A40" s="1052"/>
      <c r="B40" s="1050"/>
      <c r="C40" s="1050"/>
      <c r="D40" s="34"/>
      <c r="E40" s="125" t="s">
        <v>107</v>
      </c>
      <c r="F40" s="30"/>
      <c r="G40" s="31"/>
      <c r="H40" s="31"/>
      <c r="I40" s="848"/>
      <c r="J40" s="847"/>
      <c r="K40" s="522" t="str">
        <f t="shared" si="23"/>
        <v xml:space="preserve"> </v>
      </c>
      <c r="L40" s="31"/>
      <c r="M40" s="31"/>
      <c r="N40" s="401"/>
      <c r="O40" s="698"/>
      <c r="P40" s="674" t="s">
        <v>1990</v>
      </c>
      <c r="Q40" s="857"/>
      <c r="R40" s="182"/>
      <c r="S40" s="326"/>
      <c r="T40" s="399"/>
      <c r="U40" s="328">
        <f t="shared" si="24"/>
        <v>0</v>
      </c>
      <c r="V40" s="858"/>
      <c r="W40" s="856"/>
      <c r="X40" s="856"/>
      <c r="Y40" s="856"/>
      <c r="Z40" s="856"/>
      <c r="AA40" s="856"/>
      <c r="AB40" s="854"/>
      <c r="AC40" s="854"/>
      <c r="AD40" s="854"/>
      <c r="AE40" s="854"/>
      <c r="AF40" s="854"/>
      <c r="AG40" s="855"/>
      <c r="AH40" s="326"/>
      <c r="AI40" s="327">
        <f t="shared" si="25"/>
        <v>0</v>
      </c>
      <c r="AJ40" s="328">
        <f t="shared" si="36"/>
        <v>0</v>
      </c>
      <c r="AK40" s="860"/>
      <c r="AL40" s="861"/>
      <c r="AM40" s="861"/>
      <c r="AN40" s="861"/>
      <c r="AO40" s="861"/>
      <c r="AP40" s="861"/>
      <c r="AQ40" s="861"/>
      <c r="AR40" s="861"/>
      <c r="AS40" s="861"/>
      <c r="AT40" s="861"/>
      <c r="AU40" s="861"/>
      <c r="AV40" s="862"/>
      <c r="AW40" s="326"/>
      <c r="AX40" s="332">
        <f t="shared" si="26"/>
        <v>0</v>
      </c>
      <c r="AY40" s="333">
        <f t="shared" si="37"/>
        <v>0</v>
      </c>
      <c r="AZ40" s="873"/>
      <c r="BA40" s="874"/>
      <c r="BB40" s="874"/>
      <c r="BC40" s="874"/>
      <c r="BD40" s="874"/>
      <c r="BE40" s="874"/>
      <c r="BF40" s="874"/>
      <c r="BG40" s="874"/>
      <c r="BH40" s="874"/>
      <c r="BI40" s="874"/>
      <c r="BJ40" s="874"/>
      <c r="BK40" s="875"/>
      <c r="BL40" s="326"/>
      <c r="BM40" s="332">
        <f t="shared" si="27"/>
        <v>0</v>
      </c>
      <c r="BN40" s="333">
        <f t="shared" si="28"/>
        <v>0</v>
      </c>
      <c r="BO40" s="329"/>
      <c r="BP40" s="330"/>
      <c r="BQ40" s="330"/>
      <c r="BR40" s="330"/>
      <c r="BS40" s="330"/>
      <c r="BT40" s="330"/>
      <c r="BU40" s="330"/>
      <c r="BV40" s="330"/>
      <c r="BW40" s="330"/>
      <c r="BX40" s="330"/>
      <c r="BY40" s="330"/>
      <c r="BZ40" s="331"/>
      <c r="CA40" s="326"/>
      <c r="CB40" s="332">
        <f t="shared" si="29"/>
        <v>0</v>
      </c>
      <c r="CC40" s="333">
        <f t="shared" si="30"/>
        <v>0</v>
      </c>
      <c r="CD40" s="329"/>
      <c r="CE40" s="330"/>
      <c r="CF40" s="330"/>
      <c r="CG40" s="330"/>
      <c r="CH40" s="330"/>
      <c r="CI40" s="330"/>
      <c r="CJ40" s="330"/>
      <c r="CK40" s="330"/>
      <c r="CL40" s="330"/>
      <c r="CM40" s="330"/>
      <c r="CN40" s="330"/>
      <c r="CO40" s="331"/>
      <c r="CP40" s="326"/>
      <c r="CQ40" s="332">
        <f t="shared" si="31"/>
        <v>0</v>
      </c>
      <c r="CR40" s="333">
        <f t="shared" si="32"/>
        <v>0</v>
      </c>
      <c r="CS40" s="334">
        <f t="shared" si="33"/>
        <v>0</v>
      </c>
      <c r="CT40" s="335">
        <f t="shared" si="34"/>
        <v>0</v>
      </c>
      <c r="CU40" s="417">
        <f t="shared" si="38"/>
        <v>0</v>
      </c>
      <c r="CV40" s="529" t="str">
        <f t="shared" si="35"/>
        <v xml:space="preserve"> </v>
      </c>
      <c r="CW40" s="529" t="str">
        <f t="shared" si="40"/>
        <v xml:space="preserve"> </v>
      </c>
      <c r="CX40" s="528">
        <f t="shared" si="39"/>
        <v>0</v>
      </c>
    </row>
    <row r="41" spans="1:102" s="33" customFormat="1" ht="27" customHeight="1" thickBot="1">
      <c r="A41" s="1051" t="s">
        <v>1582</v>
      </c>
      <c r="B41" s="1048" t="s">
        <v>1676</v>
      </c>
      <c r="C41" s="1048" t="s">
        <v>1596</v>
      </c>
      <c r="D41" s="34"/>
      <c r="E41" s="125" t="s">
        <v>107</v>
      </c>
      <c r="F41" s="30"/>
      <c r="G41" s="31"/>
      <c r="H41" s="31"/>
      <c r="I41" s="851">
        <v>43296</v>
      </c>
      <c r="J41" s="847">
        <v>30</v>
      </c>
      <c r="K41" s="522">
        <f t="shared" si="23"/>
        <v>43326</v>
      </c>
      <c r="L41" s="31"/>
      <c r="M41" s="31"/>
      <c r="N41" s="401"/>
      <c r="O41" s="698"/>
      <c r="P41" s="674" t="s">
        <v>1990</v>
      </c>
      <c r="Q41" s="857">
        <v>220812.5</v>
      </c>
      <c r="R41" s="182"/>
      <c r="S41" s="326"/>
      <c r="T41" s="399"/>
      <c r="U41" s="328">
        <f t="shared" si="24"/>
        <v>0</v>
      </c>
      <c r="V41" s="858"/>
      <c r="W41" s="856"/>
      <c r="X41" s="856"/>
      <c r="Y41" s="856"/>
      <c r="Z41" s="856"/>
      <c r="AA41" s="856"/>
      <c r="AB41" s="854"/>
      <c r="AC41" s="854"/>
      <c r="AD41" s="854"/>
      <c r="AE41" s="854"/>
      <c r="AF41" s="854"/>
      <c r="AG41" s="855"/>
      <c r="AH41" s="326"/>
      <c r="AI41" s="327">
        <f t="shared" si="25"/>
        <v>0</v>
      </c>
      <c r="AJ41" s="328">
        <f t="shared" si="36"/>
        <v>0</v>
      </c>
      <c r="AK41" s="860"/>
      <c r="AL41" s="861"/>
      <c r="AM41" s="864">
        <v>1</v>
      </c>
      <c r="AN41" s="864">
        <v>1</v>
      </c>
      <c r="AO41" s="864">
        <v>1</v>
      </c>
      <c r="AP41" s="864">
        <v>1</v>
      </c>
      <c r="AU41" s="861"/>
      <c r="AV41" s="862"/>
      <c r="AW41" s="326"/>
      <c r="AX41" s="332">
        <f t="shared" si="26"/>
        <v>4</v>
      </c>
      <c r="AY41" s="333">
        <f t="shared" si="37"/>
        <v>883250</v>
      </c>
      <c r="AZ41" s="873"/>
      <c r="BA41" s="874"/>
      <c r="BB41" s="874"/>
      <c r="BC41" s="874"/>
      <c r="BD41" s="874"/>
      <c r="BE41" s="874"/>
      <c r="BF41" s="874"/>
      <c r="BG41" s="874"/>
      <c r="BH41" s="874"/>
      <c r="BI41" s="874"/>
      <c r="BJ41" s="874"/>
      <c r="BK41" s="875"/>
      <c r="BL41" s="326"/>
      <c r="BM41" s="332">
        <f t="shared" si="27"/>
        <v>0</v>
      </c>
      <c r="BN41" s="333">
        <f t="shared" si="28"/>
        <v>0</v>
      </c>
      <c r="BO41" s="329"/>
      <c r="BP41" s="330"/>
      <c r="BQ41" s="330"/>
      <c r="BR41" s="330"/>
      <c r="BS41" s="330"/>
      <c r="BT41" s="330"/>
      <c r="BU41" s="330"/>
      <c r="BV41" s="330"/>
      <c r="BW41" s="330"/>
      <c r="BX41" s="330"/>
      <c r="BY41" s="330"/>
      <c r="BZ41" s="331"/>
      <c r="CA41" s="326"/>
      <c r="CB41" s="332">
        <f t="shared" si="29"/>
        <v>0</v>
      </c>
      <c r="CC41" s="333">
        <f t="shared" si="30"/>
        <v>0</v>
      </c>
      <c r="CD41" s="329"/>
      <c r="CE41" s="330"/>
      <c r="CF41" s="330"/>
      <c r="CG41" s="330"/>
      <c r="CH41" s="330"/>
      <c r="CI41" s="330"/>
      <c r="CJ41" s="330"/>
      <c r="CK41" s="330"/>
      <c r="CL41" s="330"/>
      <c r="CM41" s="330"/>
      <c r="CN41" s="330"/>
      <c r="CO41" s="331"/>
      <c r="CP41" s="326"/>
      <c r="CQ41" s="332">
        <f t="shared" si="31"/>
        <v>0</v>
      </c>
      <c r="CR41" s="333">
        <f t="shared" si="32"/>
        <v>0</v>
      </c>
      <c r="CS41" s="334">
        <f t="shared" si="33"/>
        <v>0</v>
      </c>
      <c r="CT41" s="335">
        <f t="shared" si="34"/>
        <v>4</v>
      </c>
      <c r="CU41" s="417">
        <f t="shared" si="38"/>
        <v>883250</v>
      </c>
      <c r="CV41" s="529" t="str">
        <f t="shared" si="35"/>
        <v xml:space="preserve"> </v>
      </c>
      <c r="CW41" s="529">
        <f t="shared" si="40"/>
        <v>2018</v>
      </c>
      <c r="CX41" s="528">
        <f t="shared" si="39"/>
        <v>883250</v>
      </c>
    </row>
    <row r="42" spans="1:102" s="33" customFormat="1" ht="27" customHeight="1" thickBot="1">
      <c r="A42" s="1052"/>
      <c r="B42" s="1050"/>
      <c r="C42" s="1050"/>
      <c r="D42" s="34"/>
      <c r="E42" s="125" t="s">
        <v>107</v>
      </c>
      <c r="F42" s="30"/>
      <c r="G42" s="31"/>
      <c r="H42" s="31"/>
      <c r="I42" s="848"/>
      <c r="J42" s="847"/>
      <c r="K42" s="522" t="str">
        <f t="shared" si="23"/>
        <v xml:space="preserve"> </v>
      </c>
      <c r="L42" s="31"/>
      <c r="M42" s="31"/>
      <c r="N42" s="401"/>
      <c r="O42" s="698"/>
      <c r="P42" s="674" t="s">
        <v>1990</v>
      </c>
      <c r="Q42" s="857"/>
      <c r="R42" s="182"/>
      <c r="S42" s="326"/>
      <c r="T42" s="399"/>
      <c r="U42" s="328">
        <f t="shared" si="24"/>
        <v>0</v>
      </c>
      <c r="V42" s="858"/>
      <c r="W42" s="856"/>
      <c r="X42" s="856"/>
      <c r="Y42" s="856"/>
      <c r="Z42" s="856"/>
      <c r="AA42" s="856"/>
      <c r="AB42" s="854"/>
      <c r="AC42" s="854"/>
      <c r="AD42" s="854"/>
      <c r="AE42" s="854"/>
      <c r="AF42" s="854"/>
      <c r="AG42" s="855"/>
      <c r="AH42" s="326"/>
      <c r="AI42" s="327">
        <f t="shared" si="25"/>
        <v>0</v>
      </c>
      <c r="AJ42" s="328">
        <f t="shared" si="36"/>
        <v>0</v>
      </c>
      <c r="AK42" s="860"/>
      <c r="AL42" s="861"/>
      <c r="AM42" s="861"/>
      <c r="AN42" s="861"/>
      <c r="AO42" s="861"/>
      <c r="AP42" s="861"/>
      <c r="AQ42" s="861"/>
      <c r="AR42" s="861"/>
      <c r="AS42" s="861"/>
      <c r="AT42" s="861"/>
      <c r="AU42" s="861"/>
      <c r="AV42" s="862"/>
      <c r="AW42" s="326"/>
      <c r="AX42" s="332">
        <f t="shared" si="26"/>
        <v>0</v>
      </c>
      <c r="AY42" s="333">
        <f t="shared" si="37"/>
        <v>0</v>
      </c>
      <c r="AZ42" s="873"/>
      <c r="BA42" s="874"/>
      <c r="BB42" s="874"/>
      <c r="BC42" s="874"/>
      <c r="BD42" s="874"/>
      <c r="BE42" s="874"/>
      <c r="BF42" s="874"/>
      <c r="BG42" s="874"/>
      <c r="BH42" s="874"/>
      <c r="BI42" s="874"/>
      <c r="BJ42" s="874"/>
      <c r="BK42" s="875"/>
      <c r="BL42" s="326"/>
      <c r="BM42" s="332">
        <f t="shared" si="27"/>
        <v>0</v>
      </c>
      <c r="BN42" s="333">
        <f t="shared" si="28"/>
        <v>0</v>
      </c>
      <c r="BO42" s="329"/>
      <c r="BP42" s="330"/>
      <c r="BQ42" s="330"/>
      <c r="BR42" s="330"/>
      <c r="BS42" s="330"/>
      <c r="BT42" s="330"/>
      <c r="BU42" s="330"/>
      <c r="BV42" s="330"/>
      <c r="BW42" s="330"/>
      <c r="BX42" s="330"/>
      <c r="BY42" s="330"/>
      <c r="BZ42" s="331"/>
      <c r="CA42" s="326"/>
      <c r="CB42" s="332">
        <f t="shared" si="29"/>
        <v>0</v>
      </c>
      <c r="CC42" s="333">
        <f t="shared" si="30"/>
        <v>0</v>
      </c>
      <c r="CD42" s="329"/>
      <c r="CE42" s="330"/>
      <c r="CF42" s="330"/>
      <c r="CG42" s="330"/>
      <c r="CH42" s="330"/>
      <c r="CI42" s="330"/>
      <c r="CJ42" s="330"/>
      <c r="CK42" s="330"/>
      <c r="CL42" s="330"/>
      <c r="CM42" s="330"/>
      <c r="CN42" s="330"/>
      <c r="CO42" s="331"/>
      <c r="CP42" s="326"/>
      <c r="CQ42" s="332">
        <f t="shared" si="31"/>
        <v>0</v>
      </c>
      <c r="CR42" s="333">
        <f t="shared" si="32"/>
        <v>0</v>
      </c>
      <c r="CS42" s="334">
        <f t="shared" si="33"/>
        <v>0</v>
      </c>
      <c r="CT42" s="335">
        <f t="shared" si="34"/>
        <v>0</v>
      </c>
      <c r="CU42" s="417">
        <f t="shared" si="38"/>
        <v>0</v>
      </c>
      <c r="CV42" s="529" t="str">
        <f t="shared" si="35"/>
        <v xml:space="preserve"> </v>
      </c>
      <c r="CW42" s="529" t="str">
        <f t="shared" si="40"/>
        <v xml:space="preserve"> </v>
      </c>
      <c r="CX42" s="528">
        <f t="shared" si="39"/>
        <v>0</v>
      </c>
    </row>
    <row r="43" spans="1:102" s="33" customFormat="1" ht="27" customHeight="1" thickBot="1">
      <c r="A43" s="1051" t="s">
        <v>1583</v>
      </c>
      <c r="B43" s="1048" t="s">
        <v>86</v>
      </c>
      <c r="C43" s="1048" t="s">
        <v>86</v>
      </c>
      <c r="D43" s="34"/>
      <c r="E43" s="125" t="s">
        <v>107</v>
      </c>
      <c r="F43" s="30"/>
      <c r="G43" s="31"/>
      <c r="H43" s="31"/>
      <c r="I43" s="853">
        <v>43419</v>
      </c>
      <c r="J43" s="847">
        <v>30</v>
      </c>
      <c r="K43" s="522">
        <f t="shared" si="23"/>
        <v>43449</v>
      </c>
      <c r="L43" s="31"/>
      <c r="M43" s="31"/>
      <c r="N43" s="401"/>
      <c r="O43" s="698"/>
      <c r="P43" s="674" t="s">
        <v>1990</v>
      </c>
      <c r="Q43" s="857">
        <v>1988500</v>
      </c>
      <c r="R43" s="182"/>
      <c r="S43" s="326"/>
      <c r="T43" s="399"/>
      <c r="U43" s="328">
        <f t="shared" si="24"/>
        <v>0</v>
      </c>
      <c r="V43" s="858"/>
      <c r="W43" s="856"/>
      <c r="X43" s="856"/>
      <c r="Y43" s="856"/>
      <c r="Z43" s="856"/>
      <c r="AA43" s="856"/>
      <c r="AB43" s="854"/>
      <c r="AC43" s="854"/>
      <c r="AD43" s="854"/>
      <c r="AE43" s="854"/>
      <c r="AF43" s="854"/>
      <c r="AG43" s="855"/>
      <c r="AH43" s="326"/>
      <c r="AI43" s="327">
        <f t="shared" si="25"/>
        <v>0</v>
      </c>
      <c r="AJ43" s="328">
        <f t="shared" si="36"/>
        <v>0</v>
      </c>
      <c r="AK43" s="860"/>
      <c r="AL43" s="861"/>
      <c r="AM43" s="861"/>
      <c r="AN43" s="861"/>
      <c r="AO43" s="861"/>
      <c r="AP43" s="861"/>
      <c r="AQ43" s="865">
        <v>1</v>
      </c>
      <c r="AR43" s="865">
        <v>1</v>
      </c>
      <c r="AS43" s="865">
        <v>1</v>
      </c>
      <c r="AT43" s="865">
        <v>1</v>
      </c>
      <c r="AU43" s="874"/>
      <c r="AV43" s="875"/>
      <c r="AW43" s="326"/>
      <c r="AX43" s="332">
        <f t="shared" si="26"/>
        <v>4</v>
      </c>
      <c r="AY43" s="333">
        <f t="shared" si="37"/>
        <v>7954000</v>
      </c>
      <c r="AZ43" s="873"/>
      <c r="BA43" s="874"/>
      <c r="BB43" s="874"/>
      <c r="BC43" s="874"/>
      <c r="BD43" s="874"/>
      <c r="BE43" s="874"/>
      <c r="BF43" s="874"/>
      <c r="BG43" s="874"/>
      <c r="BH43" s="874"/>
      <c r="BI43" s="874"/>
      <c r="BJ43" s="874"/>
      <c r="BK43" s="875"/>
      <c r="BL43" s="326"/>
      <c r="BM43" s="332">
        <f t="shared" si="27"/>
        <v>0</v>
      </c>
      <c r="BN43" s="333">
        <f t="shared" si="28"/>
        <v>0</v>
      </c>
      <c r="BO43" s="329"/>
      <c r="BP43" s="330"/>
      <c r="BQ43" s="330"/>
      <c r="BR43" s="330"/>
      <c r="BS43" s="330"/>
      <c r="BT43" s="330"/>
      <c r="BU43" s="330"/>
      <c r="BV43" s="330"/>
      <c r="BW43" s="330"/>
      <c r="BX43" s="330"/>
      <c r="BY43" s="330"/>
      <c r="BZ43" s="331"/>
      <c r="CA43" s="326"/>
      <c r="CB43" s="332">
        <f t="shared" si="29"/>
        <v>0</v>
      </c>
      <c r="CC43" s="333">
        <f t="shared" si="30"/>
        <v>0</v>
      </c>
      <c r="CD43" s="329"/>
      <c r="CE43" s="330"/>
      <c r="CF43" s="330"/>
      <c r="CG43" s="330"/>
      <c r="CH43" s="330"/>
      <c r="CI43" s="330"/>
      <c r="CJ43" s="330"/>
      <c r="CK43" s="330"/>
      <c r="CL43" s="330"/>
      <c r="CM43" s="330"/>
      <c r="CN43" s="330"/>
      <c r="CO43" s="331"/>
      <c r="CP43" s="326"/>
      <c r="CQ43" s="332">
        <f t="shared" si="31"/>
        <v>0</v>
      </c>
      <c r="CR43" s="333">
        <f>IFERROR(ROUND((Q43*CQ43+AU43*CP43),2),0)</f>
        <v>0</v>
      </c>
      <c r="CS43" s="334">
        <f t="shared" si="33"/>
        <v>0</v>
      </c>
      <c r="CT43" s="335">
        <f t="shared" si="34"/>
        <v>4</v>
      </c>
      <c r="CU43" s="417">
        <f t="shared" si="38"/>
        <v>7954000</v>
      </c>
      <c r="CV43" s="529" t="str">
        <f t="shared" si="35"/>
        <v xml:space="preserve"> </v>
      </c>
      <c r="CW43" s="529">
        <f t="shared" si="40"/>
        <v>2018</v>
      </c>
      <c r="CX43" s="528">
        <f t="shared" si="39"/>
        <v>7954000</v>
      </c>
    </row>
    <row r="44" spans="1:102" s="33" customFormat="1" ht="27" customHeight="1" thickBot="1">
      <c r="A44" s="1052"/>
      <c r="B44" s="1050"/>
      <c r="C44" s="1050"/>
      <c r="D44" s="34"/>
      <c r="E44" s="125" t="s">
        <v>107</v>
      </c>
      <c r="F44" s="30"/>
      <c r="G44" s="31"/>
      <c r="H44" s="31"/>
      <c r="I44" s="848"/>
      <c r="J44" s="847"/>
      <c r="K44" s="522" t="str">
        <f t="shared" si="23"/>
        <v xml:space="preserve"> </v>
      </c>
      <c r="L44" s="31"/>
      <c r="M44" s="31"/>
      <c r="N44" s="401"/>
      <c r="O44" s="698"/>
      <c r="P44" s="674" t="s">
        <v>1990</v>
      </c>
      <c r="Q44" s="857"/>
      <c r="R44" s="182"/>
      <c r="S44" s="326"/>
      <c r="T44" s="399"/>
      <c r="U44" s="328">
        <f t="shared" si="24"/>
        <v>0</v>
      </c>
      <c r="V44" s="858"/>
      <c r="W44" s="856"/>
      <c r="X44" s="856"/>
      <c r="Y44" s="856"/>
      <c r="Z44" s="856"/>
      <c r="AA44" s="856"/>
      <c r="AB44" s="854"/>
      <c r="AC44" s="854"/>
      <c r="AD44" s="854"/>
      <c r="AE44" s="854"/>
      <c r="AF44" s="854"/>
      <c r="AG44" s="855"/>
      <c r="AH44" s="326"/>
      <c r="AI44" s="327">
        <f t="shared" si="25"/>
        <v>0</v>
      </c>
      <c r="AJ44" s="328">
        <f t="shared" si="36"/>
        <v>0</v>
      </c>
      <c r="AK44" s="860"/>
      <c r="AL44" s="861"/>
      <c r="AM44" s="861"/>
      <c r="AN44" s="861"/>
      <c r="AO44" s="861"/>
      <c r="AP44" s="861"/>
      <c r="AQ44" s="861"/>
      <c r="AR44" s="861"/>
      <c r="AS44" s="861"/>
      <c r="AT44" s="861"/>
      <c r="AU44" s="861"/>
      <c r="AV44" s="862"/>
      <c r="AW44" s="326"/>
      <c r="AX44" s="332">
        <f t="shared" si="26"/>
        <v>0</v>
      </c>
      <c r="AY44" s="333">
        <f t="shared" si="37"/>
        <v>0</v>
      </c>
      <c r="AZ44" s="873"/>
      <c r="BA44" s="874"/>
      <c r="BB44" s="874"/>
      <c r="BC44" s="874"/>
      <c r="BD44" s="874"/>
      <c r="BE44" s="874"/>
      <c r="BF44" s="874"/>
      <c r="BG44" s="874"/>
      <c r="BH44" s="874"/>
      <c r="BI44" s="874"/>
      <c r="BJ44" s="874"/>
      <c r="BK44" s="875"/>
      <c r="BL44" s="326"/>
      <c r="BM44" s="332">
        <f t="shared" si="27"/>
        <v>0</v>
      </c>
      <c r="BN44" s="333">
        <f t="shared" si="28"/>
        <v>0</v>
      </c>
      <c r="BO44" s="329"/>
      <c r="BP44" s="330"/>
      <c r="BQ44" s="330"/>
      <c r="BR44" s="330"/>
      <c r="BS44" s="330"/>
      <c r="BT44" s="330"/>
      <c r="BU44" s="330"/>
      <c r="BV44" s="330"/>
      <c r="BW44" s="330"/>
      <c r="BX44" s="330"/>
      <c r="BY44" s="330"/>
      <c r="BZ44" s="331"/>
      <c r="CA44" s="326"/>
      <c r="CB44" s="332">
        <f t="shared" si="29"/>
        <v>0</v>
      </c>
      <c r="CC44" s="333">
        <f t="shared" si="30"/>
        <v>0</v>
      </c>
      <c r="CD44" s="329"/>
      <c r="CE44" s="330"/>
      <c r="CF44" s="330"/>
      <c r="CG44" s="330"/>
      <c r="CH44" s="330"/>
      <c r="CI44" s="330"/>
      <c r="CJ44" s="330"/>
      <c r="CK44" s="330"/>
      <c r="CL44" s="330"/>
      <c r="CM44" s="330"/>
      <c r="CN44" s="330"/>
      <c r="CO44" s="331"/>
      <c r="CP44" s="326"/>
      <c r="CQ44" s="332">
        <f t="shared" si="31"/>
        <v>0</v>
      </c>
      <c r="CR44" s="333">
        <f>IFERROR(ROUND((Q44*CQ44+AU44*CP44),2),0)</f>
        <v>0</v>
      </c>
      <c r="CS44" s="334">
        <f t="shared" si="33"/>
        <v>0</v>
      </c>
      <c r="CT44" s="335">
        <f t="shared" si="34"/>
        <v>0</v>
      </c>
      <c r="CU44" s="417">
        <f t="shared" si="38"/>
        <v>0</v>
      </c>
      <c r="CV44" s="529" t="str">
        <f t="shared" si="35"/>
        <v xml:space="preserve"> </v>
      </c>
      <c r="CW44" s="529" t="str">
        <f t="shared" si="40"/>
        <v xml:space="preserve"> </v>
      </c>
      <c r="CX44" s="528">
        <f t="shared" si="39"/>
        <v>0</v>
      </c>
    </row>
    <row r="45" spans="1:102" s="33" customFormat="1" ht="27" customHeight="1" thickBot="1">
      <c r="A45" s="1051" t="s">
        <v>1584</v>
      </c>
      <c r="B45" s="1048" t="s">
        <v>1677</v>
      </c>
      <c r="C45" s="1048" t="s">
        <v>1678</v>
      </c>
      <c r="D45" s="34"/>
      <c r="E45" s="125" t="s">
        <v>107</v>
      </c>
      <c r="F45" s="30"/>
      <c r="G45" s="31"/>
      <c r="H45" s="31"/>
      <c r="I45" s="852">
        <v>43480</v>
      </c>
      <c r="J45" s="847">
        <v>30</v>
      </c>
      <c r="K45" s="522">
        <f t="shared" si="23"/>
        <v>43510</v>
      </c>
      <c r="L45" s="31"/>
      <c r="M45" s="31"/>
      <c r="N45" s="401"/>
      <c r="O45" s="698"/>
      <c r="P45" s="674" t="s">
        <v>1990</v>
      </c>
      <c r="Q45" s="857">
        <v>377750</v>
      </c>
      <c r="R45" s="182"/>
      <c r="S45" s="326"/>
      <c r="T45" s="399"/>
      <c r="U45" s="328">
        <f t="shared" si="24"/>
        <v>0</v>
      </c>
      <c r="V45" s="858"/>
      <c r="W45" s="856"/>
      <c r="X45" s="856"/>
      <c r="Y45" s="856"/>
      <c r="Z45" s="856"/>
      <c r="AA45" s="856"/>
      <c r="AB45" s="854"/>
      <c r="AC45" s="854"/>
      <c r="AD45" s="854"/>
      <c r="AE45" s="854"/>
      <c r="AF45" s="854"/>
      <c r="AG45" s="855"/>
      <c r="AH45" s="326"/>
      <c r="AI45" s="327">
        <f t="shared" si="25"/>
        <v>0</v>
      </c>
      <c r="AJ45" s="328">
        <f t="shared" si="36"/>
        <v>0</v>
      </c>
      <c r="AK45" s="860"/>
      <c r="AL45" s="861"/>
      <c r="AM45" s="861"/>
      <c r="AN45" s="861"/>
      <c r="AO45" s="861"/>
      <c r="AP45" s="861"/>
      <c r="AQ45" s="861"/>
      <c r="AR45" s="861"/>
      <c r="AS45" s="861"/>
      <c r="AT45" s="861"/>
      <c r="AU45" s="889">
        <v>1</v>
      </c>
      <c r="AV45" s="893">
        <v>1</v>
      </c>
      <c r="AW45" s="326"/>
      <c r="AX45" s="332">
        <f t="shared" si="26"/>
        <v>2</v>
      </c>
      <c r="AY45" s="333">
        <f t="shared" si="37"/>
        <v>755500</v>
      </c>
      <c r="AZ45" s="873"/>
      <c r="BA45" s="874"/>
      <c r="BB45" s="874"/>
      <c r="BC45" s="874"/>
      <c r="BD45" s="874"/>
      <c r="BE45" s="874"/>
      <c r="BF45" s="874"/>
      <c r="BG45" s="874"/>
      <c r="BH45" s="874"/>
      <c r="BI45" s="874"/>
      <c r="BJ45" s="874"/>
      <c r="BK45" s="875"/>
      <c r="BL45" s="326"/>
      <c r="BM45" s="332">
        <f t="shared" si="27"/>
        <v>0</v>
      </c>
      <c r="BN45" s="333">
        <f t="shared" si="28"/>
        <v>0</v>
      </c>
      <c r="BO45" s="329"/>
      <c r="BP45" s="330"/>
      <c r="BQ45" s="330"/>
      <c r="BR45" s="330"/>
      <c r="BS45" s="330"/>
      <c r="BT45" s="330"/>
      <c r="BU45" s="330"/>
      <c r="BV45" s="330"/>
      <c r="BW45" s="330"/>
      <c r="BX45" s="330"/>
      <c r="BY45" s="330"/>
      <c r="BZ45" s="331"/>
      <c r="CA45" s="326"/>
      <c r="CB45" s="332">
        <f t="shared" si="29"/>
        <v>0</v>
      </c>
      <c r="CC45" s="333">
        <f t="shared" si="30"/>
        <v>0</v>
      </c>
      <c r="CD45" s="329"/>
      <c r="CE45" s="330"/>
      <c r="CF45" s="330"/>
      <c r="CG45" s="330"/>
      <c r="CH45" s="330"/>
      <c r="CI45" s="330"/>
      <c r="CJ45" s="330"/>
      <c r="CK45" s="330"/>
      <c r="CL45" s="330"/>
      <c r="CM45" s="330"/>
      <c r="CN45" s="330"/>
      <c r="CO45" s="331"/>
      <c r="CP45" s="326"/>
      <c r="CQ45" s="332">
        <f t="shared" si="31"/>
        <v>0</v>
      </c>
      <c r="CR45" s="333">
        <f>IFERROR(ROUND((Q45*CQ45+AU45*CP45),2),0)</f>
        <v>0</v>
      </c>
      <c r="CS45" s="334">
        <f t="shared" si="33"/>
        <v>0</v>
      </c>
      <c r="CT45" s="335">
        <f t="shared" si="34"/>
        <v>2</v>
      </c>
      <c r="CU45" s="417">
        <f t="shared" si="38"/>
        <v>755500</v>
      </c>
      <c r="CV45" s="529" t="str">
        <f t="shared" si="35"/>
        <v xml:space="preserve"> </v>
      </c>
      <c r="CW45" s="529">
        <f t="shared" si="40"/>
        <v>2019</v>
      </c>
      <c r="CX45" s="528">
        <f t="shared" si="39"/>
        <v>755500</v>
      </c>
    </row>
    <row r="46" spans="1:102" s="33" customFormat="1" ht="27" customHeight="1" thickBot="1">
      <c r="A46" s="1052"/>
      <c r="B46" s="1050"/>
      <c r="C46" s="1050"/>
      <c r="D46" s="34"/>
      <c r="E46" s="125" t="s">
        <v>107</v>
      </c>
      <c r="F46" s="30"/>
      <c r="G46" s="31"/>
      <c r="H46" s="31"/>
      <c r="I46" s="848"/>
      <c r="J46" s="847"/>
      <c r="K46" s="522" t="str">
        <f t="shared" si="23"/>
        <v xml:space="preserve"> </v>
      </c>
      <c r="L46" s="31"/>
      <c r="M46" s="31"/>
      <c r="N46" s="401"/>
      <c r="O46" s="698"/>
      <c r="P46" s="674" t="s">
        <v>1990</v>
      </c>
      <c r="Q46" s="857"/>
      <c r="R46" s="182"/>
      <c r="S46" s="326"/>
      <c r="T46" s="399"/>
      <c r="U46" s="328">
        <f t="shared" si="24"/>
        <v>0</v>
      </c>
      <c r="V46" s="858"/>
      <c r="W46" s="856"/>
      <c r="X46" s="856"/>
      <c r="Y46" s="856"/>
      <c r="Z46" s="856"/>
      <c r="AA46" s="856"/>
      <c r="AB46" s="854"/>
      <c r="AC46" s="854"/>
      <c r="AD46" s="854"/>
      <c r="AE46" s="854"/>
      <c r="AF46" s="854"/>
      <c r="AG46" s="855"/>
      <c r="AH46" s="326"/>
      <c r="AI46" s="327">
        <f t="shared" si="25"/>
        <v>0</v>
      </c>
      <c r="AJ46" s="328">
        <f t="shared" si="36"/>
        <v>0</v>
      </c>
      <c r="AK46" s="860"/>
      <c r="AL46" s="861"/>
      <c r="AM46" s="861"/>
      <c r="AN46" s="861"/>
      <c r="AO46" s="861"/>
      <c r="AP46" s="861"/>
      <c r="AQ46" s="861"/>
      <c r="AR46" s="861"/>
      <c r="AS46" s="861"/>
      <c r="AT46" s="861"/>
      <c r="AU46" s="861"/>
      <c r="AV46" s="862"/>
      <c r="AW46" s="326"/>
      <c r="AX46" s="332">
        <f>SUM(AK46:AV46)</f>
        <v>0</v>
      </c>
      <c r="AY46" s="333">
        <f t="shared" si="37"/>
        <v>0</v>
      </c>
      <c r="AZ46" s="873"/>
      <c r="BA46" s="874"/>
      <c r="BB46" s="874"/>
      <c r="BC46" s="874"/>
      <c r="BD46" s="874"/>
      <c r="BE46" s="874"/>
      <c r="BF46" s="874"/>
      <c r="BG46" s="874"/>
      <c r="BH46" s="874"/>
      <c r="BI46" s="874"/>
      <c r="BJ46" s="874"/>
      <c r="BK46" s="875"/>
      <c r="BL46" s="326"/>
      <c r="BM46" s="332">
        <f t="shared" si="27"/>
        <v>0</v>
      </c>
      <c r="BN46" s="333">
        <f t="shared" si="28"/>
        <v>0</v>
      </c>
      <c r="BO46" s="329"/>
      <c r="BP46" s="330"/>
      <c r="BQ46" s="330"/>
      <c r="BR46" s="330"/>
      <c r="BS46" s="330"/>
      <c r="BT46" s="330"/>
      <c r="BU46" s="330"/>
      <c r="BV46" s="330"/>
      <c r="BW46" s="330"/>
      <c r="BX46" s="330"/>
      <c r="BY46" s="330"/>
      <c r="BZ46" s="331"/>
      <c r="CA46" s="326"/>
      <c r="CB46" s="332">
        <f t="shared" si="29"/>
        <v>0</v>
      </c>
      <c r="CC46" s="333">
        <f t="shared" si="30"/>
        <v>0</v>
      </c>
      <c r="CD46" s="329"/>
      <c r="CE46" s="330"/>
      <c r="CF46" s="330"/>
      <c r="CG46" s="330"/>
      <c r="CH46" s="330"/>
      <c r="CI46" s="330"/>
      <c r="CJ46" s="330"/>
      <c r="CK46" s="330"/>
      <c r="CL46" s="330"/>
      <c r="CM46" s="330"/>
      <c r="CN46" s="330"/>
      <c r="CO46" s="331"/>
      <c r="CP46" s="326"/>
      <c r="CQ46" s="332">
        <f t="shared" si="31"/>
        <v>0</v>
      </c>
      <c r="CR46" s="333">
        <f>IFERROR(ROUND((Q46*CQ46+AU46*CP46),2),0)</f>
        <v>0</v>
      </c>
      <c r="CS46" s="334">
        <f t="shared" si="33"/>
        <v>0</v>
      </c>
      <c r="CT46" s="335">
        <f t="shared" si="34"/>
        <v>0</v>
      </c>
      <c r="CU46" s="417">
        <f t="shared" si="38"/>
        <v>0</v>
      </c>
      <c r="CV46" s="529" t="str">
        <f t="shared" si="35"/>
        <v xml:space="preserve"> </v>
      </c>
      <c r="CW46" s="529" t="str">
        <f t="shared" si="40"/>
        <v xml:space="preserve"> </v>
      </c>
      <c r="CX46" s="528">
        <f t="shared" si="39"/>
        <v>0</v>
      </c>
    </row>
    <row r="47" spans="1:102" s="33" customFormat="1" ht="27" customHeight="1" thickBot="1">
      <c r="A47" s="1051" t="s">
        <v>126</v>
      </c>
      <c r="B47" s="1048" t="s">
        <v>1499</v>
      </c>
      <c r="C47" s="1048" t="s">
        <v>87</v>
      </c>
      <c r="D47" s="34"/>
      <c r="E47" s="125" t="s">
        <v>107</v>
      </c>
      <c r="F47" s="30"/>
      <c r="G47" s="31"/>
      <c r="H47" s="31"/>
      <c r="I47" s="848"/>
      <c r="J47" s="847"/>
      <c r="K47" s="522" t="str">
        <f t="shared" si="23"/>
        <v xml:space="preserve"> </v>
      </c>
      <c r="L47" s="31"/>
      <c r="M47" s="31"/>
      <c r="N47" s="401"/>
      <c r="O47" s="698"/>
      <c r="P47" s="674" t="s">
        <v>1990</v>
      </c>
      <c r="Q47" s="857"/>
      <c r="R47" s="182"/>
      <c r="S47" s="326"/>
      <c r="T47" s="399"/>
      <c r="U47" s="328">
        <f t="shared" si="24"/>
        <v>0</v>
      </c>
      <c r="V47" s="858"/>
      <c r="W47" s="856"/>
      <c r="X47" s="856"/>
      <c r="Y47" s="856"/>
      <c r="Z47" s="856"/>
      <c r="AA47" s="856"/>
      <c r="AB47" s="854"/>
      <c r="AC47" s="854"/>
      <c r="AD47" s="854"/>
      <c r="AE47" s="854"/>
      <c r="AF47" s="854"/>
      <c r="AG47" s="855"/>
      <c r="AH47" s="326"/>
      <c r="AI47" s="327">
        <f t="shared" si="25"/>
        <v>0</v>
      </c>
      <c r="AJ47" s="328">
        <f t="shared" si="36"/>
        <v>0</v>
      </c>
      <c r="AK47" s="860"/>
      <c r="AL47" s="861"/>
      <c r="AM47" s="861"/>
      <c r="AN47" s="861"/>
      <c r="AO47" s="861"/>
      <c r="AP47" s="861"/>
      <c r="AQ47" s="861"/>
      <c r="AR47" s="861"/>
      <c r="AS47" s="861"/>
      <c r="AT47" s="861"/>
      <c r="AW47" s="326"/>
      <c r="AX47" s="332">
        <f>SUM(AK47:AV47)</f>
        <v>0</v>
      </c>
      <c r="AY47" s="333">
        <f t="shared" si="37"/>
        <v>0</v>
      </c>
      <c r="AZ47" s="873"/>
      <c r="BA47" s="874"/>
      <c r="BB47" s="874"/>
      <c r="BC47" s="874"/>
      <c r="BD47" s="874"/>
      <c r="BE47" s="874"/>
      <c r="BF47" s="874"/>
      <c r="BG47" s="874"/>
      <c r="BH47" s="874"/>
      <c r="BI47" s="874"/>
      <c r="BJ47" s="874"/>
      <c r="BK47" s="875"/>
      <c r="BL47" s="326"/>
      <c r="BM47" s="332">
        <f t="shared" si="27"/>
        <v>0</v>
      </c>
      <c r="BN47" s="333">
        <f t="shared" si="28"/>
        <v>0</v>
      </c>
      <c r="BO47" s="329"/>
      <c r="BP47" s="330"/>
      <c r="BQ47" s="330"/>
      <c r="BR47" s="330"/>
      <c r="BS47" s="330"/>
      <c r="BT47" s="330"/>
      <c r="BU47" s="330"/>
      <c r="BV47" s="330"/>
      <c r="BW47" s="330"/>
      <c r="BX47" s="330"/>
      <c r="BY47" s="330"/>
      <c r="BZ47" s="331"/>
      <c r="CA47" s="326"/>
      <c r="CB47" s="332">
        <f t="shared" si="29"/>
        <v>0</v>
      </c>
      <c r="CC47" s="333">
        <f t="shared" si="30"/>
        <v>0</v>
      </c>
      <c r="CD47" s="329"/>
      <c r="CE47" s="330"/>
      <c r="CF47" s="330"/>
      <c r="CG47" s="330"/>
      <c r="CH47" s="330"/>
      <c r="CI47" s="330"/>
      <c r="CJ47" s="330"/>
      <c r="CK47" s="330"/>
      <c r="CL47" s="330"/>
      <c r="CM47" s="330"/>
      <c r="CN47" s="330"/>
      <c r="CO47" s="331"/>
      <c r="CP47" s="326"/>
      <c r="CQ47" s="332">
        <f t="shared" si="31"/>
        <v>0</v>
      </c>
      <c r="CR47" s="333">
        <f>IFERROR(ROUND((Q47*CQ47+AU49*CP47),2),0)</f>
        <v>0</v>
      </c>
      <c r="CS47" s="334">
        <f t="shared" si="33"/>
        <v>0</v>
      </c>
      <c r="CT47" s="335">
        <f t="shared" si="34"/>
        <v>0</v>
      </c>
      <c r="CU47" s="417">
        <f t="shared" si="38"/>
        <v>0</v>
      </c>
      <c r="CV47" s="529" t="str">
        <f t="shared" si="35"/>
        <v xml:space="preserve"> </v>
      </c>
      <c r="CW47" s="529" t="str">
        <f t="shared" si="40"/>
        <v xml:space="preserve"> </v>
      </c>
      <c r="CX47" s="528">
        <f t="shared" si="39"/>
        <v>0</v>
      </c>
    </row>
    <row r="48" spans="1:102" s="33" customFormat="1" ht="27" customHeight="1" thickBot="1">
      <c r="A48" s="1052"/>
      <c r="B48" s="1050"/>
      <c r="C48" s="1050"/>
      <c r="D48" s="34"/>
      <c r="E48" s="125" t="s">
        <v>107</v>
      </c>
      <c r="F48" s="30"/>
      <c r="G48" s="31"/>
      <c r="H48" s="31"/>
      <c r="I48" s="848"/>
      <c r="J48" s="847"/>
      <c r="K48" s="522" t="str">
        <f t="shared" si="23"/>
        <v xml:space="preserve"> </v>
      </c>
      <c r="L48" s="31"/>
      <c r="M48" s="31"/>
      <c r="N48" s="401"/>
      <c r="O48" s="698"/>
      <c r="P48" s="674" t="s">
        <v>1990</v>
      </c>
      <c r="Q48" s="857"/>
      <c r="R48" s="182"/>
      <c r="S48" s="326"/>
      <c r="T48" s="399"/>
      <c r="U48" s="328">
        <f t="shared" si="24"/>
        <v>0</v>
      </c>
      <c r="V48" s="858"/>
      <c r="W48" s="856"/>
      <c r="X48" s="856"/>
      <c r="Y48" s="856"/>
      <c r="Z48" s="856"/>
      <c r="AA48" s="856"/>
      <c r="AB48" s="854"/>
      <c r="AC48" s="854"/>
      <c r="AD48" s="854"/>
      <c r="AE48" s="854"/>
      <c r="AF48" s="854"/>
      <c r="AG48" s="855"/>
      <c r="AH48" s="326"/>
      <c r="AI48" s="327">
        <f t="shared" si="25"/>
        <v>0</v>
      </c>
      <c r="AJ48" s="328">
        <f t="shared" si="36"/>
        <v>0</v>
      </c>
      <c r="AK48" s="860"/>
      <c r="AL48" s="861"/>
      <c r="AM48" s="861"/>
      <c r="AN48" s="861"/>
      <c r="AO48" s="861"/>
      <c r="AP48" s="861"/>
      <c r="AQ48" s="861"/>
      <c r="AR48" s="861"/>
      <c r="AS48" s="861"/>
      <c r="AT48" s="861"/>
      <c r="AU48" s="861"/>
      <c r="AV48" s="862"/>
      <c r="AW48" s="326"/>
      <c r="AX48" s="332">
        <f t="shared" si="26"/>
        <v>0</v>
      </c>
      <c r="AY48" s="333">
        <f t="shared" si="37"/>
        <v>0</v>
      </c>
      <c r="AZ48" s="873"/>
      <c r="BA48" s="874"/>
      <c r="BB48" s="874"/>
      <c r="BC48" s="874"/>
      <c r="BD48" s="874"/>
      <c r="BE48" s="874"/>
      <c r="BF48" s="874"/>
      <c r="BG48" s="874"/>
      <c r="BH48" s="874"/>
      <c r="BI48" s="874"/>
      <c r="BJ48" s="874"/>
      <c r="BK48" s="875"/>
      <c r="BL48" s="326"/>
      <c r="BM48" s="332">
        <f t="shared" si="27"/>
        <v>0</v>
      </c>
      <c r="BN48" s="333">
        <f t="shared" si="28"/>
        <v>0</v>
      </c>
      <c r="BO48" s="329"/>
      <c r="BP48" s="330"/>
      <c r="BQ48" s="330"/>
      <c r="BR48" s="330"/>
      <c r="BS48" s="330"/>
      <c r="BT48" s="330"/>
      <c r="BU48" s="330"/>
      <c r="BV48" s="330"/>
      <c r="BW48" s="330"/>
      <c r="BX48" s="330"/>
      <c r="BY48" s="330"/>
      <c r="BZ48" s="331"/>
      <c r="CA48" s="326"/>
      <c r="CB48" s="332">
        <f t="shared" si="29"/>
        <v>0</v>
      </c>
      <c r="CC48" s="333">
        <f t="shared" si="30"/>
        <v>0</v>
      </c>
      <c r="CD48" s="329"/>
      <c r="CE48" s="330"/>
      <c r="CF48" s="330"/>
      <c r="CG48" s="330"/>
      <c r="CH48" s="330"/>
      <c r="CI48" s="330"/>
      <c r="CJ48" s="330"/>
      <c r="CK48" s="330"/>
      <c r="CL48" s="330"/>
      <c r="CM48" s="330"/>
      <c r="CN48" s="330"/>
      <c r="CO48" s="331"/>
      <c r="CP48" s="326"/>
      <c r="CQ48" s="332">
        <f t="shared" si="31"/>
        <v>0</v>
      </c>
      <c r="CR48" s="333">
        <f t="shared" si="32"/>
        <v>0</v>
      </c>
      <c r="CS48" s="334">
        <f t="shared" si="33"/>
        <v>0</v>
      </c>
      <c r="CT48" s="335">
        <f t="shared" si="34"/>
        <v>0</v>
      </c>
      <c r="CU48" s="417">
        <f t="shared" si="38"/>
        <v>0</v>
      </c>
      <c r="CV48" s="529" t="str">
        <f t="shared" si="35"/>
        <v xml:space="preserve"> </v>
      </c>
      <c r="CW48" s="529" t="str">
        <f t="shared" si="40"/>
        <v xml:space="preserve"> </v>
      </c>
      <c r="CX48" s="528">
        <f t="shared" si="39"/>
        <v>0</v>
      </c>
    </row>
    <row r="49" spans="1:102" s="33" customFormat="1" ht="27" customHeight="1" thickBot="1">
      <c r="A49" s="1051" t="s">
        <v>127</v>
      </c>
      <c r="B49" s="1048" t="s">
        <v>1500</v>
      </c>
      <c r="C49" s="1048" t="s">
        <v>1458</v>
      </c>
      <c r="D49" s="34"/>
      <c r="E49" s="125" t="s">
        <v>107</v>
      </c>
      <c r="F49" s="30"/>
      <c r="G49" s="31"/>
      <c r="H49" s="31"/>
      <c r="I49" s="852">
        <v>43480</v>
      </c>
      <c r="J49" s="847">
        <v>30</v>
      </c>
      <c r="K49" s="522">
        <f t="shared" si="23"/>
        <v>43510</v>
      </c>
      <c r="L49" s="31"/>
      <c r="M49" s="31"/>
      <c r="N49" s="401"/>
      <c r="O49" s="698"/>
      <c r="P49" s="674" t="s">
        <v>1990</v>
      </c>
      <c r="Q49" s="857">
        <v>377750</v>
      </c>
      <c r="R49" s="182"/>
      <c r="S49" s="326"/>
      <c r="T49" s="399"/>
      <c r="U49" s="328">
        <f t="shared" si="24"/>
        <v>0</v>
      </c>
      <c r="V49" s="858"/>
      <c r="W49" s="856"/>
      <c r="X49" s="856"/>
      <c r="Y49" s="856"/>
      <c r="Z49" s="856"/>
      <c r="AA49" s="856"/>
      <c r="AB49" s="854"/>
      <c r="AC49" s="854"/>
      <c r="AD49" s="854"/>
      <c r="AE49" s="854"/>
      <c r="AF49" s="854"/>
      <c r="AG49" s="855"/>
      <c r="AH49" s="326"/>
      <c r="AI49" s="327">
        <f t="shared" si="25"/>
        <v>0</v>
      </c>
      <c r="AJ49" s="328">
        <f t="shared" si="36"/>
        <v>0</v>
      </c>
      <c r="AK49" s="860"/>
      <c r="AL49" s="861"/>
      <c r="AM49" s="861"/>
      <c r="AN49" s="861"/>
      <c r="AO49" s="861"/>
      <c r="AP49" s="861"/>
      <c r="AQ49" s="861"/>
      <c r="AR49" s="861"/>
      <c r="AS49" s="861"/>
      <c r="AT49" s="861"/>
      <c r="AU49" s="863">
        <v>1</v>
      </c>
      <c r="AV49" s="863">
        <v>1</v>
      </c>
      <c r="AW49" s="326"/>
      <c r="AX49" s="332">
        <f>SUM(AK49:AV49)</f>
        <v>2</v>
      </c>
      <c r="AY49" s="333">
        <f t="shared" si="37"/>
        <v>755500</v>
      </c>
      <c r="AZ49" s="873"/>
      <c r="BA49" s="874"/>
      <c r="BB49" s="874"/>
      <c r="BC49" s="874"/>
      <c r="BD49" s="874"/>
      <c r="BE49" s="874"/>
      <c r="BF49" s="874"/>
      <c r="BG49" s="874"/>
      <c r="BH49" s="874"/>
      <c r="BI49" s="874"/>
      <c r="BJ49" s="874"/>
      <c r="BK49" s="875"/>
      <c r="BL49" s="326"/>
      <c r="BM49" s="332">
        <f t="shared" si="27"/>
        <v>0</v>
      </c>
      <c r="BN49" s="333">
        <f t="shared" si="28"/>
        <v>0</v>
      </c>
      <c r="BO49" s="329"/>
      <c r="BP49" s="330"/>
      <c r="BQ49" s="330"/>
      <c r="BR49" s="330"/>
      <c r="BS49" s="330"/>
      <c r="BT49" s="330"/>
      <c r="BU49" s="330"/>
      <c r="BV49" s="330"/>
      <c r="BW49" s="330"/>
      <c r="BX49" s="330"/>
      <c r="BY49" s="330"/>
      <c r="BZ49" s="331"/>
      <c r="CA49" s="326"/>
      <c r="CB49" s="332">
        <f t="shared" si="29"/>
        <v>0</v>
      </c>
      <c r="CC49" s="333">
        <f t="shared" si="30"/>
        <v>0</v>
      </c>
      <c r="CD49" s="329"/>
      <c r="CE49" s="330"/>
      <c r="CF49" s="330"/>
      <c r="CG49" s="330"/>
      <c r="CH49" s="330"/>
      <c r="CI49" s="330"/>
      <c r="CJ49" s="330"/>
      <c r="CK49" s="330"/>
      <c r="CL49" s="330"/>
      <c r="CM49" s="330"/>
      <c r="CN49" s="330"/>
      <c r="CO49" s="331"/>
      <c r="CP49" s="326"/>
      <c r="CQ49" s="332">
        <f t="shared" si="31"/>
        <v>0</v>
      </c>
      <c r="CR49" s="333">
        <f>IFERROR(ROUND((Q49*CQ49+#REF!*CP49),2),0)</f>
        <v>0</v>
      </c>
      <c r="CS49" s="334">
        <f t="shared" si="33"/>
        <v>0</v>
      </c>
      <c r="CT49" s="335">
        <f t="shared" si="34"/>
        <v>2</v>
      </c>
      <c r="CU49" s="417">
        <f t="shared" si="38"/>
        <v>755500</v>
      </c>
      <c r="CV49" s="529" t="str">
        <f t="shared" si="35"/>
        <v xml:space="preserve"> </v>
      </c>
      <c r="CW49" s="529">
        <f t="shared" si="40"/>
        <v>2019</v>
      </c>
      <c r="CX49" s="528">
        <f t="shared" si="39"/>
        <v>755500</v>
      </c>
    </row>
    <row r="50" spans="1:102" s="33" customFormat="1" ht="27" customHeight="1" thickBot="1">
      <c r="A50" s="1052"/>
      <c r="B50" s="1050"/>
      <c r="C50" s="1050"/>
      <c r="D50" s="34"/>
      <c r="E50" s="125" t="s">
        <v>107</v>
      </c>
      <c r="F50" s="30"/>
      <c r="G50" s="31"/>
      <c r="H50" s="31"/>
      <c r="I50" s="848"/>
      <c r="J50" s="847"/>
      <c r="K50" s="522" t="str">
        <f t="shared" si="23"/>
        <v xml:space="preserve"> </v>
      </c>
      <c r="L50" s="31"/>
      <c r="M50" s="31"/>
      <c r="N50" s="401"/>
      <c r="O50" s="698"/>
      <c r="P50" s="674" t="s">
        <v>1990</v>
      </c>
      <c r="Q50" s="857"/>
      <c r="R50" s="182"/>
      <c r="S50" s="326"/>
      <c r="T50" s="399"/>
      <c r="U50" s="328">
        <f t="shared" si="24"/>
        <v>0</v>
      </c>
      <c r="V50" s="858"/>
      <c r="W50" s="856"/>
      <c r="X50" s="856"/>
      <c r="Y50" s="856"/>
      <c r="Z50" s="856"/>
      <c r="AA50" s="856"/>
      <c r="AB50" s="854"/>
      <c r="AC50" s="854"/>
      <c r="AD50" s="854"/>
      <c r="AE50" s="854"/>
      <c r="AF50" s="854"/>
      <c r="AG50" s="855"/>
      <c r="AH50" s="326"/>
      <c r="AI50" s="327">
        <f t="shared" si="25"/>
        <v>0</v>
      </c>
      <c r="AJ50" s="328">
        <f t="shared" si="36"/>
        <v>0</v>
      </c>
      <c r="AK50" s="860"/>
      <c r="AL50" s="861"/>
      <c r="AM50" s="861"/>
      <c r="AN50" s="861"/>
      <c r="AO50" s="861"/>
      <c r="AP50" s="861"/>
      <c r="AQ50" s="861"/>
      <c r="AR50" s="861"/>
      <c r="AS50" s="861"/>
      <c r="AT50" s="861"/>
      <c r="AU50" s="861"/>
      <c r="AV50" s="862"/>
      <c r="AW50" s="326"/>
      <c r="AX50" s="332">
        <f t="shared" si="26"/>
        <v>0</v>
      </c>
      <c r="AY50" s="333">
        <f t="shared" si="37"/>
        <v>0</v>
      </c>
      <c r="AZ50" s="873"/>
      <c r="BA50" s="874"/>
      <c r="BB50" s="874"/>
      <c r="BC50" s="874"/>
      <c r="BD50" s="874"/>
      <c r="BE50" s="874"/>
      <c r="BF50" s="874"/>
      <c r="BG50" s="874"/>
      <c r="BH50" s="874"/>
      <c r="BI50" s="874"/>
      <c r="BJ50" s="874"/>
      <c r="BK50" s="875"/>
      <c r="BL50" s="326"/>
      <c r="BM50" s="332">
        <f t="shared" si="27"/>
        <v>0</v>
      </c>
      <c r="BN50" s="333">
        <f t="shared" si="28"/>
        <v>0</v>
      </c>
      <c r="BO50" s="329"/>
      <c r="BP50" s="330"/>
      <c r="BQ50" s="330"/>
      <c r="BR50" s="330"/>
      <c r="BS50" s="330"/>
      <c r="BT50" s="330"/>
      <c r="BU50" s="330"/>
      <c r="BV50" s="330"/>
      <c r="BW50" s="330"/>
      <c r="BX50" s="330"/>
      <c r="BY50" s="330"/>
      <c r="BZ50" s="331"/>
      <c r="CA50" s="326"/>
      <c r="CB50" s="332">
        <f t="shared" si="29"/>
        <v>0</v>
      </c>
      <c r="CC50" s="333">
        <f t="shared" si="30"/>
        <v>0</v>
      </c>
      <c r="CD50" s="329"/>
      <c r="CE50" s="330"/>
      <c r="CF50" s="330"/>
      <c r="CG50" s="330"/>
      <c r="CH50" s="330"/>
      <c r="CI50" s="330"/>
      <c r="CJ50" s="330"/>
      <c r="CK50" s="330"/>
      <c r="CL50" s="330"/>
      <c r="CM50" s="330"/>
      <c r="CN50" s="330"/>
      <c r="CO50" s="331"/>
      <c r="CP50" s="326"/>
      <c r="CQ50" s="332">
        <f t="shared" si="31"/>
        <v>0</v>
      </c>
      <c r="CR50" s="333">
        <f t="shared" si="32"/>
        <v>0</v>
      </c>
      <c r="CS50" s="334">
        <f t="shared" si="33"/>
        <v>0</v>
      </c>
      <c r="CT50" s="335">
        <f t="shared" si="34"/>
        <v>0</v>
      </c>
      <c r="CU50" s="417">
        <f t="shared" si="38"/>
        <v>0</v>
      </c>
      <c r="CV50" s="529" t="str">
        <f t="shared" si="35"/>
        <v xml:space="preserve"> </v>
      </c>
      <c r="CW50" s="529" t="str">
        <f t="shared" si="40"/>
        <v xml:space="preserve"> </v>
      </c>
      <c r="CX50" s="528">
        <f t="shared" si="39"/>
        <v>0</v>
      </c>
    </row>
    <row r="51" spans="1:102" s="33" customFormat="1" ht="27" customHeight="1" thickBot="1">
      <c r="A51" s="1051" t="s">
        <v>128</v>
      </c>
      <c r="B51" s="1048" t="s">
        <v>1501</v>
      </c>
      <c r="C51" s="1048" t="s">
        <v>1585</v>
      </c>
      <c r="D51" s="34"/>
      <c r="E51" s="125" t="s">
        <v>107</v>
      </c>
      <c r="F51" s="30"/>
      <c r="G51" s="31"/>
      <c r="H51" s="31"/>
      <c r="I51" s="849">
        <v>43539</v>
      </c>
      <c r="J51" s="847">
        <v>30</v>
      </c>
      <c r="K51" s="522">
        <f t="shared" si="23"/>
        <v>43569</v>
      </c>
      <c r="L51" s="31"/>
      <c r="M51" s="31"/>
      <c r="N51" s="401"/>
      <c r="O51" s="698"/>
      <c r="P51" s="674" t="s">
        <v>1990</v>
      </c>
      <c r="Q51" s="857">
        <v>87230.769230769205</v>
      </c>
      <c r="R51" s="182"/>
      <c r="S51" s="326"/>
      <c r="T51" s="399"/>
      <c r="U51" s="328">
        <f t="shared" si="24"/>
        <v>0</v>
      </c>
      <c r="V51" s="858"/>
      <c r="W51" s="856"/>
      <c r="X51" s="856"/>
      <c r="Y51" s="856"/>
      <c r="Z51" s="856"/>
      <c r="AA51" s="856"/>
      <c r="AB51" s="854"/>
      <c r="AC51" s="854"/>
      <c r="AD51" s="854"/>
      <c r="AE51" s="854"/>
      <c r="AF51" s="854"/>
      <c r="AG51" s="855"/>
      <c r="AH51" s="326"/>
      <c r="AI51" s="327">
        <f t="shared" si="25"/>
        <v>0</v>
      </c>
      <c r="AJ51" s="328">
        <f t="shared" si="36"/>
        <v>0</v>
      </c>
      <c r="AK51" s="860"/>
      <c r="AL51" s="861"/>
      <c r="AM51" s="861"/>
      <c r="AN51" s="861"/>
      <c r="AO51" s="861"/>
      <c r="AP51" s="861"/>
      <c r="AQ51" s="861"/>
      <c r="AR51" s="861"/>
      <c r="AS51" s="861"/>
      <c r="AT51" s="861"/>
      <c r="AU51" s="861"/>
      <c r="AV51" s="862"/>
      <c r="AW51" s="326"/>
      <c r="AX51" s="332">
        <f t="shared" si="26"/>
        <v>0</v>
      </c>
      <c r="AY51" s="333">
        <f t="shared" si="37"/>
        <v>0</v>
      </c>
      <c r="AZ51" s="887">
        <v>1</v>
      </c>
      <c r="BA51" s="888">
        <v>1</v>
      </c>
      <c r="BB51" s="874"/>
      <c r="BC51" s="874"/>
      <c r="BD51" s="874"/>
      <c r="BE51" s="874"/>
      <c r="BF51" s="874"/>
      <c r="BG51" s="874"/>
      <c r="BH51" s="874"/>
      <c r="BI51" s="874"/>
      <c r="BJ51" s="874"/>
      <c r="BK51" s="875"/>
      <c r="BL51" s="326"/>
      <c r="BM51" s="332">
        <f t="shared" si="27"/>
        <v>2</v>
      </c>
      <c r="BN51" s="333">
        <f t="shared" si="28"/>
        <v>174461.54</v>
      </c>
      <c r="BO51" s="329"/>
      <c r="BP51" s="330"/>
      <c r="BQ51" s="330"/>
      <c r="BR51" s="330"/>
      <c r="BS51" s="330"/>
      <c r="BT51" s="330"/>
      <c r="BU51" s="330"/>
      <c r="BV51" s="330"/>
      <c r="BW51" s="330"/>
      <c r="BX51" s="330"/>
      <c r="BY51" s="330"/>
      <c r="BZ51" s="331"/>
      <c r="CA51" s="326"/>
      <c r="CB51" s="332">
        <f t="shared" si="29"/>
        <v>0</v>
      </c>
      <c r="CC51" s="333">
        <f t="shared" si="30"/>
        <v>0</v>
      </c>
      <c r="CD51" s="329"/>
      <c r="CE51" s="330"/>
      <c r="CF51" s="330"/>
      <c r="CG51" s="330"/>
      <c r="CH51" s="330"/>
      <c r="CI51" s="330"/>
      <c r="CJ51" s="330"/>
      <c r="CK51" s="330"/>
      <c r="CL51" s="330"/>
      <c r="CM51" s="330"/>
      <c r="CN51" s="330"/>
      <c r="CO51" s="331"/>
      <c r="CP51" s="326"/>
      <c r="CQ51" s="332">
        <f t="shared" si="31"/>
        <v>0</v>
      </c>
      <c r="CR51" s="333">
        <f t="shared" si="32"/>
        <v>0</v>
      </c>
      <c r="CS51" s="334">
        <f t="shared" si="33"/>
        <v>0</v>
      </c>
      <c r="CT51" s="335">
        <f t="shared" si="34"/>
        <v>2</v>
      </c>
      <c r="CU51" s="417">
        <f t="shared" si="38"/>
        <v>174461.54</v>
      </c>
      <c r="CV51" s="529" t="str">
        <f t="shared" si="35"/>
        <v xml:space="preserve"> </v>
      </c>
      <c r="CW51" s="529">
        <f t="shared" si="40"/>
        <v>2019</v>
      </c>
      <c r="CX51" s="528">
        <f t="shared" si="39"/>
        <v>174461.54</v>
      </c>
    </row>
    <row r="52" spans="1:102" s="33" customFormat="1" ht="27" customHeight="1" thickBot="1">
      <c r="A52" s="1052"/>
      <c r="B52" s="1050"/>
      <c r="C52" s="1050"/>
      <c r="D52" s="34"/>
      <c r="E52" s="125" t="s">
        <v>107</v>
      </c>
      <c r="F52" s="30"/>
      <c r="G52" s="31"/>
      <c r="H52" s="31"/>
      <c r="I52" s="848"/>
      <c r="J52" s="847"/>
      <c r="K52" s="522" t="str">
        <f t="shared" si="23"/>
        <v xml:space="preserve"> </v>
      </c>
      <c r="L52" s="31"/>
      <c r="M52" s="31"/>
      <c r="N52" s="401"/>
      <c r="O52" s="698"/>
      <c r="P52" s="674" t="s">
        <v>1990</v>
      </c>
      <c r="Q52" s="857"/>
      <c r="R52" s="182"/>
      <c r="S52" s="326"/>
      <c r="T52" s="399"/>
      <c r="U52" s="328">
        <f t="shared" si="24"/>
        <v>0</v>
      </c>
      <c r="V52" s="858"/>
      <c r="W52" s="856"/>
      <c r="X52" s="856"/>
      <c r="Y52" s="856"/>
      <c r="Z52" s="856"/>
      <c r="AA52" s="856"/>
      <c r="AB52" s="854"/>
      <c r="AC52" s="854"/>
      <c r="AD52" s="854"/>
      <c r="AE52" s="854"/>
      <c r="AF52" s="854"/>
      <c r="AG52" s="855"/>
      <c r="AH52" s="326"/>
      <c r="AI52" s="327">
        <f t="shared" si="25"/>
        <v>0</v>
      </c>
      <c r="AJ52" s="328">
        <f t="shared" si="36"/>
        <v>0</v>
      </c>
      <c r="AK52" s="860"/>
      <c r="AL52" s="861"/>
      <c r="AM52" s="861"/>
      <c r="AN52" s="861"/>
      <c r="AO52" s="861"/>
      <c r="AP52" s="861"/>
      <c r="AQ52" s="861"/>
      <c r="AR52" s="861"/>
      <c r="AS52" s="861"/>
      <c r="AT52" s="861"/>
      <c r="AU52" s="861"/>
      <c r="AV52" s="862"/>
      <c r="AW52" s="326"/>
      <c r="AX52" s="332">
        <f t="shared" si="26"/>
        <v>0</v>
      </c>
      <c r="AY52" s="333">
        <f t="shared" si="37"/>
        <v>0</v>
      </c>
      <c r="AZ52" s="873"/>
      <c r="BA52" s="874"/>
      <c r="BB52" s="874"/>
      <c r="BC52" s="874"/>
      <c r="BD52" s="874"/>
      <c r="BE52" s="874"/>
      <c r="BF52" s="874"/>
      <c r="BG52" s="874"/>
      <c r="BH52" s="874"/>
      <c r="BI52" s="874"/>
      <c r="BJ52" s="874"/>
      <c r="BK52" s="875"/>
      <c r="BL52" s="326"/>
      <c r="BM52" s="332">
        <f t="shared" si="27"/>
        <v>0</v>
      </c>
      <c r="BN52" s="333">
        <f t="shared" si="28"/>
        <v>0</v>
      </c>
      <c r="BO52" s="329"/>
      <c r="BP52" s="330"/>
      <c r="BQ52" s="330"/>
      <c r="BR52" s="330"/>
      <c r="BS52" s="330"/>
      <c r="BT52" s="330"/>
      <c r="BU52" s="330"/>
      <c r="BV52" s="330"/>
      <c r="BW52" s="330"/>
      <c r="BX52" s="330"/>
      <c r="BY52" s="330"/>
      <c r="BZ52" s="331"/>
      <c r="CA52" s="326"/>
      <c r="CB52" s="332">
        <f t="shared" si="29"/>
        <v>0</v>
      </c>
      <c r="CC52" s="333">
        <f t="shared" si="30"/>
        <v>0</v>
      </c>
      <c r="CD52" s="329"/>
      <c r="CE52" s="330"/>
      <c r="CF52" s="330"/>
      <c r="CG52" s="330"/>
      <c r="CH52" s="330"/>
      <c r="CI52" s="330"/>
      <c r="CJ52" s="330"/>
      <c r="CK52" s="330"/>
      <c r="CL52" s="330"/>
      <c r="CM52" s="330"/>
      <c r="CN52" s="330"/>
      <c r="CO52" s="331"/>
      <c r="CP52" s="326"/>
      <c r="CQ52" s="332">
        <f t="shared" si="31"/>
        <v>0</v>
      </c>
      <c r="CR52" s="333">
        <f t="shared" si="32"/>
        <v>0</v>
      </c>
      <c r="CS52" s="334">
        <f t="shared" si="33"/>
        <v>0</v>
      </c>
      <c r="CT52" s="335">
        <f t="shared" si="34"/>
        <v>0</v>
      </c>
      <c r="CU52" s="417">
        <f t="shared" si="38"/>
        <v>0</v>
      </c>
      <c r="CV52" s="529" t="str">
        <f t="shared" si="35"/>
        <v xml:space="preserve"> </v>
      </c>
      <c r="CW52" s="529" t="str">
        <f t="shared" si="40"/>
        <v xml:space="preserve"> </v>
      </c>
      <c r="CX52" s="528">
        <f t="shared" si="39"/>
        <v>0</v>
      </c>
    </row>
    <row r="53" spans="1:102" s="33" customFormat="1" ht="27" customHeight="1" thickBot="1">
      <c r="A53" s="1051" t="s">
        <v>129</v>
      </c>
      <c r="B53" s="1048" t="s">
        <v>1502</v>
      </c>
      <c r="C53" s="1048" t="s">
        <v>1459</v>
      </c>
      <c r="D53" s="34"/>
      <c r="E53" s="125" t="s">
        <v>107</v>
      </c>
      <c r="F53" s="30"/>
      <c r="G53" s="31"/>
      <c r="H53" s="31"/>
      <c r="I53" s="848"/>
      <c r="J53" s="847"/>
      <c r="K53" s="522" t="str">
        <f t="shared" si="23"/>
        <v xml:space="preserve"> </v>
      </c>
      <c r="L53" s="31"/>
      <c r="M53" s="31"/>
      <c r="N53" s="401"/>
      <c r="O53" s="698"/>
      <c r="P53" s="674" t="s">
        <v>1990</v>
      </c>
      <c r="Q53" s="857"/>
      <c r="R53" s="182"/>
      <c r="S53" s="326"/>
      <c r="T53" s="399"/>
      <c r="U53" s="328">
        <f t="shared" si="24"/>
        <v>0</v>
      </c>
      <c r="V53" s="858"/>
      <c r="W53" s="856"/>
      <c r="X53" s="856"/>
      <c r="Y53" s="856"/>
      <c r="Z53" s="856"/>
      <c r="AA53" s="856"/>
      <c r="AB53" s="854"/>
      <c r="AC53" s="854"/>
      <c r="AD53" s="854"/>
      <c r="AE53" s="854"/>
      <c r="AF53" s="854"/>
      <c r="AG53" s="855"/>
      <c r="AH53" s="326"/>
      <c r="AI53" s="327">
        <f t="shared" si="25"/>
        <v>0</v>
      </c>
      <c r="AJ53" s="328">
        <f t="shared" si="36"/>
        <v>0</v>
      </c>
      <c r="AK53" s="860"/>
      <c r="AL53" s="861"/>
      <c r="AM53" s="861"/>
      <c r="AN53" s="861"/>
      <c r="AO53" s="861"/>
      <c r="AP53" s="861"/>
      <c r="AQ53" s="861"/>
      <c r="AR53" s="861"/>
      <c r="AS53" s="861"/>
      <c r="AT53" s="861"/>
      <c r="AU53" s="861"/>
      <c r="AV53" s="862"/>
      <c r="AW53" s="326"/>
      <c r="AX53" s="332">
        <f t="shared" si="26"/>
        <v>0</v>
      </c>
      <c r="AY53" s="333">
        <f t="shared" si="37"/>
        <v>0</v>
      </c>
      <c r="AZ53" s="873"/>
      <c r="BA53" s="874"/>
      <c r="BB53" s="874"/>
      <c r="BC53" s="874"/>
      <c r="BD53" s="874"/>
      <c r="BE53" s="874"/>
      <c r="BF53" s="874"/>
      <c r="BG53" s="874"/>
      <c r="BH53" s="874"/>
      <c r="BI53" s="874"/>
      <c r="BJ53" s="874"/>
      <c r="BK53" s="875"/>
      <c r="BL53" s="326"/>
      <c r="BM53" s="332">
        <f t="shared" si="27"/>
        <v>0</v>
      </c>
      <c r="BN53" s="333">
        <f t="shared" si="28"/>
        <v>0</v>
      </c>
      <c r="BO53" s="329"/>
      <c r="BP53" s="330"/>
      <c r="BQ53" s="330"/>
      <c r="BR53" s="330"/>
      <c r="BS53" s="330"/>
      <c r="BT53" s="330"/>
      <c r="BU53" s="330"/>
      <c r="BV53" s="330"/>
      <c r="BW53" s="330"/>
      <c r="BX53" s="330"/>
      <c r="BY53" s="330"/>
      <c r="BZ53" s="331"/>
      <c r="CA53" s="326"/>
      <c r="CB53" s="332">
        <f t="shared" si="29"/>
        <v>0</v>
      </c>
      <c r="CC53" s="333">
        <f t="shared" si="30"/>
        <v>0</v>
      </c>
      <c r="CD53" s="329"/>
      <c r="CE53" s="330"/>
      <c r="CF53" s="330"/>
      <c r="CG53" s="330"/>
      <c r="CH53" s="330"/>
      <c r="CI53" s="330"/>
      <c r="CJ53" s="330"/>
      <c r="CK53" s="330"/>
      <c r="CL53" s="330"/>
      <c r="CM53" s="330"/>
      <c r="CN53" s="330"/>
      <c r="CO53" s="331"/>
      <c r="CP53" s="326"/>
      <c r="CQ53" s="332">
        <f t="shared" si="31"/>
        <v>0</v>
      </c>
      <c r="CR53" s="333">
        <f t="shared" si="32"/>
        <v>0</v>
      </c>
      <c r="CS53" s="334">
        <f t="shared" si="33"/>
        <v>0</v>
      </c>
      <c r="CT53" s="335">
        <f t="shared" si="34"/>
        <v>0</v>
      </c>
      <c r="CU53" s="417">
        <f t="shared" si="38"/>
        <v>0</v>
      </c>
      <c r="CV53" s="529" t="str">
        <f t="shared" si="35"/>
        <v xml:space="preserve"> </v>
      </c>
      <c r="CW53" s="529" t="str">
        <f t="shared" si="40"/>
        <v xml:space="preserve"> </v>
      </c>
      <c r="CX53" s="528">
        <f t="shared" si="39"/>
        <v>0</v>
      </c>
    </row>
    <row r="54" spans="1:102" s="33" customFormat="1" ht="27" customHeight="1" thickBot="1">
      <c r="A54" s="1052"/>
      <c r="B54" s="1050"/>
      <c r="C54" s="1050"/>
      <c r="D54" s="34"/>
      <c r="E54" s="125" t="s">
        <v>107</v>
      </c>
      <c r="F54" s="30"/>
      <c r="G54" s="31"/>
      <c r="H54" s="31"/>
      <c r="I54" s="848"/>
      <c r="J54" s="847"/>
      <c r="K54" s="522" t="str">
        <f t="shared" si="23"/>
        <v xml:space="preserve"> </v>
      </c>
      <c r="L54" s="31"/>
      <c r="M54" s="31"/>
      <c r="N54" s="401"/>
      <c r="O54" s="698"/>
      <c r="P54" s="674" t="s">
        <v>1990</v>
      </c>
      <c r="Q54" s="857"/>
      <c r="R54" s="182"/>
      <c r="S54" s="326"/>
      <c r="T54" s="399"/>
      <c r="U54" s="328">
        <f t="shared" si="24"/>
        <v>0</v>
      </c>
      <c r="V54" s="858"/>
      <c r="W54" s="856"/>
      <c r="X54" s="856"/>
      <c r="Y54" s="856"/>
      <c r="Z54" s="856"/>
      <c r="AA54" s="856"/>
      <c r="AB54" s="854"/>
      <c r="AC54" s="854"/>
      <c r="AD54" s="854"/>
      <c r="AE54" s="854"/>
      <c r="AF54" s="854"/>
      <c r="AG54" s="855"/>
      <c r="AH54" s="326"/>
      <c r="AI54" s="327">
        <f t="shared" si="25"/>
        <v>0</v>
      </c>
      <c r="AJ54" s="328">
        <f t="shared" si="36"/>
        <v>0</v>
      </c>
      <c r="AK54" s="860"/>
      <c r="AL54" s="861"/>
      <c r="AM54" s="861"/>
      <c r="AN54" s="861"/>
      <c r="AO54" s="861"/>
      <c r="AP54" s="861"/>
      <c r="AQ54" s="861"/>
      <c r="AR54" s="861"/>
      <c r="AS54" s="861"/>
      <c r="AT54" s="861"/>
      <c r="AU54" s="861"/>
      <c r="AV54" s="862"/>
      <c r="AW54" s="326"/>
      <c r="AX54" s="332">
        <f t="shared" si="26"/>
        <v>0</v>
      </c>
      <c r="AY54" s="333">
        <f t="shared" si="37"/>
        <v>0</v>
      </c>
      <c r="AZ54" s="873"/>
      <c r="BA54" s="874"/>
      <c r="BB54" s="874"/>
      <c r="BC54" s="874"/>
      <c r="BD54" s="874"/>
      <c r="BE54" s="874"/>
      <c r="BF54" s="874"/>
      <c r="BG54" s="874"/>
      <c r="BH54" s="874"/>
      <c r="BI54" s="874"/>
      <c r="BJ54" s="874"/>
      <c r="BK54" s="875"/>
      <c r="BL54" s="326"/>
      <c r="BM54" s="332">
        <f t="shared" si="27"/>
        <v>0</v>
      </c>
      <c r="BN54" s="333">
        <f t="shared" si="28"/>
        <v>0</v>
      </c>
      <c r="BO54" s="329"/>
      <c r="BP54" s="330"/>
      <c r="BQ54" s="330"/>
      <c r="BR54" s="330"/>
      <c r="BS54" s="330"/>
      <c r="BT54" s="330"/>
      <c r="BU54" s="330"/>
      <c r="BV54" s="330"/>
      <c r="BW54" s="330"/>
      <c r="BX54" s="330"/>
      <c r="BY54" s="330"/>
      <c r="BZ54" s="331"/>
      <c r="CA54" s="326"/>
      <c r="CB54" s="332">
        <f t="shared" si="29"/>
        <v>0</v>
      </c>
      <c r="CC54" s="333">
        <f t="shared" si="30"/>
        <v>0</v>
      </c>
      <c r="CD54" s="329"/>
      <c r="CE54" s="330"/>
      <c r="CF54" s="330"/>
      <c r="CG54" s="330"/>
      <c r="CH54" s="330"/>
      <c r="CI54" s="330"/>
      <c r="CJ54" s="330"/>
      <c r="CK54" s="330"/>
      <c r="CL54" s="330"/>
      <c r="CM54" s="330"/>
      <c r="CN54" s="330"/>
      <c r="CO54" s="331"/>
      <c r="CP54" s="326"/>
      <c r="CQ54" s="332">
        <f t="shared" si="31"/>
        <v>0</v>
      </c>
      <c r="CR54" s="333">
        <f t="shared" si="32"/>
        <v>0</v>
      </c>
      <c r="CS54" s="334">
        <f t="shared" si="33"/>
        <v>0</v>
      </c>
      <c r="CT54" s="335">
        <f t="shared" si="34"/>
        <v>0</v>
      </c>
      <c r="CU54" s="417">
        <f t="shared" si="38"/>
        <v>0</v>
      </c>
      <c r="CV54" s="529" t="str">
        <f t="shared" si="35"/>
        <v xml:space="preserve"> </v>
      </c>
      <c r="CW54" s="529" t="str">
        <f t="shared" si="40"/>
        <v xml:space="preserve"> </v>
      </c>
      <c r="CX54" s="528">
        <f t="shared" si="39"/>
        <v>0</v>
      </c>
    </row>
    <row r="55" spans="1:102" s="33" customFormat="1" ht="27" customHeight="1" thickBot="1">
      <c r="A55" s="1051" t="s">
        <v>130</v>
      </c>
      <c r="B55" s="1048" t="s">
        <v>1503</v>
      </c>
      <c r="C55" s="1048" t="s">
        <v>88</v>
      </c>
      <c r="D55" s="34"/>
      <c r="E55" s="125" t="s">
        <v>107</v>
      </c>
      <c r="F55" s="30"/>
      <c r="G55" s="31"/>
      <c r="H55" s="31"/>
      <c r="I55" s="849">
        <v>43539</v>
      </c>
      <c r="J55" s="847">
        <v>30</v>
      </c>
      <c r="K55" s="522">
        <f t="shared" si="23"/>
        <v>43569</v>
      </c>
      <c r="L55" s="31"/>
      <c r="M55" s="31"/>
      <c r="N55" s="401"/>
      <c r="O55" s="698"/>
      <c r="P55" s="674" t="s">
        <v>1990</v>
      </c>
      <c r="Q55" s="857">
        <v>87230.769230769205</v>
      </c>
      <c r="R55" s="182"/>
      <c r="S55" s="326"/>
      <c r="T55" s="399"/>
      <c r="U55" s="328">
        <f t="shared" si="24"/>
        <v>0</v>
      </c>
      <c r="V55" s="858"/>
      <c r="W55" s="856"/>
      <c r="X55" s="856"/>
      <c r="Y55" s="856"/>
      <c r="Z55" s="856"/>
      <c r="AA55" s="856"/>
      <c r="AB55" s="854"/>
      <c r="AC55" s="854"/>
      <c r="AD55" s="854"/>
      <c r="AE55" s="854"/>
      <c r="AF55" s="854"/>
      <c r="AG55" s="855"/>
      <c r="AH55" s="326"/>
      <c r="AI55" s="327">
        <f t="shared" si="25"/>
        <v>0</v>
      </c>
      <c r="AJ55" s="328">
        <f t="shared" si="36"/>
        <v>0</v>
      </c>
      <c r="AK55" s="860"/>
      <c r="AL55" s="861"/>
      <c r="AM55" s="861"/>
      <c r="AN55" s="861"/>
      <c r="AO55" s="861"/>
      <c r="AP55" s="861"/>
      <c r="AQ55" s="861"/>
      <c r="AR55" s="861"/>
      <c r="AS55" s="861"/>
      <c r="AT55" s="861"/>
      <c r="AU55" s="861"/>
      <c r="AV55" s="862"/>
      <c r="AW55" s="326"/>
      <c r="AX55" s="332">
        <f t="shared" si="26"/>
        <v>0</v>
      </c>
      <c r="AY55" s="333">
        <f t="shared" si="37"/>
        <v>0</v>
      </c>
      <c r="AZ55" s="887">
        <v>1</v>
      </c>
      <c r="BA55" s="888">
        <v>1</v>
      </c>
      <c r="BB55" s="874"/>
      <c r="BC55" s="874"/>
      <c r="BD55" s="874"/>
      <c r="BE55" s="874"/>
      <c r="BF55" s="874"/>
      <c r="BG55" s="874"/>
      <c r="BH55" s="874"/>
      <c r="BI55" s="874"/>
      <c r="BJ55" s="874"/>
      <c r="BK55" s="875"/>
      <c r="BL55" s="326"/>
      <c r="BM55" s="332">
        <f t="shared" si="27"/>
        <v>2</v>
      </c>
      <c r="BN55" s="333">
        <f t="shared" si="28"/>
        <v>174461.54</v>
      </c>
      <c r="BO55" s="329"/>
      <c r="BP55" s="330"/>
      <c r="BQ55" s="330"/>
      <c r="BR55" s="330"/>
      <c r="BS55" s="330"/>
      <c r="BT55" s="330"/>
      <c r="BU55" s="330"/>
      <c r="BV55" s="330"/>
      <c r="BW55" s="330"/>
      <c r="BX55" s="330"/>
      <c r="BY55" s="330"/>
      <c r="BZ55" s="331"/>
      <c r="CA55" s="326"/>
      <c r="CB55" s="332">
        <f t="shared" si="29"/>
        <v>0</v>
      </c>
      <c r="CC55" s="333">
        <f t="shared" si="30"/>
        <v>0</v>
      </c>
      <c r="CD55" s="329"/>
      <c r="CE55" s="330"/>
      <c r="CF55" s="330"/>
      <c r="CG55" s="330"/>
      <c r="CH55" s="330"/>
      <c r="CI55" s="330"/>
      <c r="CJ55" s="330"/>
      <c r="CK55" s="330"/>
      <c r="CL55" s="330"/>
      <c r="CM55" s="330"/>
      <c r="CN55" s="330"/>
      <c r="CO55" s="331"/>
      <c r="CP55" s="326"/>
      <c r="CQ55" s="332">
        <f t="shared" si="31"/>
        <v>0</v>
      </c>
      <c r="CR55" s="333">
        <f t="shared" si="32"/>
        <v>0</v>
      </c>
      <c r="CS55" s="334">
        <f t="shared" si="33"/>
        <v>0</v>
      </c>
      <c r="CT55" s="335">
        <f t="shared" si="34"/>
        <v>2</v>
      </c>
      <c r="CU55" s="417">
        <f t="shared" si="38"/>
        <v>174461.54</v>
      </c>
      <c r="CV55" s="529" t="str">
        <f t="shared" si="35"/>
        <v xml:space="preserve"> </v>
      </c>
      <c r="CW55" s="529">
        <f t="shared" si="40"/>
        <v>2019</v>
      </c>
      <c r="CX55" s="528">
        <f t="shared" si="39"/>
        <v>174461.54</v>
      </c>
    </row>
    <row r="56" spans="1:102" s="33" customFormat="1" ht="27" customHeight="1" thickBot="1">
      <c r="A56" s="1052"/>
      <c r="B56" s="1050"/>
      <c r="C56" s="1050"/>
      <c r="D56" s="34"/>
      <c r="E56" s="125" t="s">
        <v>107</v>
      </c>
      <c r="F56" s="30"/>
      <c r="G56" s="31"/>
      <c r="H56" s="31"/>
      <c r="I56" s="848"/>
      <c r="J56" s="847"/>
      <c r="K56" s="522" t="str">
        <f t="shared" si="23"/>
        <v xml:space="preserve"> </v>
      </c>
      <c r="L56" s="31"/>
      <c r="M56" s="31"/>
      <c r="N56" s="401"/>
      <c r="O56" s="698"/>
      <c r="P56" s="674" t="s">
        <v>1990</v>
      </c>
      <c r="Q56" s="857"/>
      <c r="R56" s="182"/>
      <c r="S56" s="326"/>
      <c r="T56" s="399"/>
      <c r="U56" s="328">
        <f t="shared" si="24"/>
        <v>0</v>
      </c>
      <c r="V56" s="858"/>
      <c r="W56" s="856"/>
      <c r="X56" s="856"/>
      <c r="Y56" s="856"/>
      <c r="Z56" s="856"/>
      <c r="AA56" s="856"/>
      <c r="AB56" s="854"/>
      <c r="AC56" s="854"/>
      <c r="AD56" s="854"/>
      <c r="AE56" s="854"/>
      <c r="AF56" s="854"/>
      <c r="AG56" s="855"/>
      <c r="AH56" s="326"/>
      <c r="AI56" s="327">
        <f t="shared" si="25"/>
        <v>0</v>
      </c>
      <c r="AJ56" s="328">
        <f t="shared" si="36"/>
        <v>0</v>
      </c>
      <c r="AK56" s="860"/>
      <c r="AL56" s="861"/>
      <c r="AM56" s="861"/>
      <c r="AN56" s="861"/>
      <c r="AO56" s="861"/>
      <c r="AP56" s="861"/>
      <c r="AQ56" s="861"/>
      <c r="AR56" s="861"/>
      <c r="AS56" s="861"/>
      <c r="AT56" s="861"/>
      <c r="AU56" s="861"/>
      <c r="AV56" s="862"/>
      <c r="AW56" s="326"/>
      <c r="AX56" s="332">
        <f t="shared" si="26"/>
        <v>0</v>
      </c>
      <c r="AY56" s="333">
        <f t="shared" si="37"/>
        <v>0</v>
      </c>
      <c r="AZ56" s="873"/>
      <c r="BA56" s="874"/>
      <c r="BB56" s="874"/>
      <c r="BC56" s="874"/>
      <c r="BD56" s="874"/>
      <c r="BE56" s="874"/>
      <c r="BF56" s="874"/>
      <c r="BG56" s="874"/>
      <c r="BH56" s="874"/>
      <c r="BI56" s="874"/>
      <c r="BJ56" s="874"/>
      <c r="BK56" s="875"/>
      <c r="BL56" s="326"/>
      <c r="BM56" s="332">
        <f t="shared" si="27"/>
        <v>0</v>
      </c>
      <c r="BN56" s="333">
        <f t="shared" si="28"/>
        <v>0</v>
      </c>
      <c r="BO56" s="329"/>
      <c r="BP56" s="330"/>
      <c r="BQ56" s="330"/>
      <c r="BR56" s="330"/>
      <c r="BS56" s="330"/>
      <c r="BT56" s="330"/>
      <c r="BU56" s="330"/>
      <c r="BV56" s="330"/>
      <c r="BW56" s="330"/>
      <c r="BX56" s="330"/>
      <c r="BY56" s="330"/>
      <c r="BZ56" s="331"/>
      <c r="CA56" s="326"/>
      <c r="CB56" s="332">
        <f t="shared" si="29"/>
        <v>0</v>
      </c>
      <c r="CC56" s="333">
        <f t="shared" si="30"/>
        <v>0</v>
      </c>
      <c r="CD56" s="329"/>
      <c r="CE56" s="330"/>
      <c r="CF56" s="330"/>
      <c r="CG56" s="330"/>
      <c r="CH56" s="330"/>
      <c r="CI56" s="330"/>
      <c r="CJ56" s="330"/>
      <c r="CK56" s="330"/>
      <c r="CL56" s="330"/>
      <c r="CM56" s="330"/>
      <c r="CN56" s="330"/>
      <c r="CO56" s="331"/>
      <c r="CP56" s="326"/>
      <c r="CQ56" s="332">
        <f t="shared" si="31"/>
        <v>0</v>
      </c>
      <c r="CR56" s="333">
        <f t="shared" si="32"/>
        <v>0</v>
      </c>
      <c r="CS56" s="334">
        <f t="shared" si="33"/>
        <v>0</v>
      </c>
      <c r="CT56" s="335">
        <f t="shared" si="34"/>
        <v>0</v>
      </c>
      <c r="CU56" s="417">
        <f t="shared" si="38"/>
        <v>0</v>
      </c>
      <c r="CV56" s="529" t="str">
        <f t="shared" si="35"/>
        <v xml:space="preserve"> </v>
      </c>
      <c r="CW56" s="529" t="str">
        <f t="shared" si="40"/>
        <v xml:space="preserve"> </v>
      </c>
      <c r="CX56" s="528">
        <f t="shared" si="39"/>
        <v>0</v>
      </c>
    </row>
    <row r="57" spans="1:102" s="33" customFormat="1" ht="27" customHeight="1" thickBot="1">
      <c r="A57" s="1051" t="s">
        <v>131</v>
      </c>
      <c r="B57" s="1048" t="s">
        <v>1504</v>
      </c>
      <c r="C57" s="1048" t="s">
        <v>1460</v>
      </c>
      <c r="D57" s="34"/>
      <c r="E57" s="125" t="s">
        <v>107</v>
      </c>
      <c r="F57" s="30"/>
      <c r="G57" s="31"/>
      <c r="H57" s="31"/>
      <c r="I57" s="849">
        <v>43539</v>
      </c>
      <c r="J57" s="847">
        <v>30</v>
      </c>
      <c r="K57" s="522">
        <f t="shared" si="23"/>
        <v>43569</v>
      </c>
      <c r="L57" s="31"/>
      <c r="M57" s="31"/>
      <c r="N57" s="401"/>
      <c r="O57" s="698"/>
      <c r="P57" s="674" t="s">
        <v>1990</v>
      </c>
      <c r="Q57" s="857">
        <v>87230.769230769205</v>
      </c>
      <c r="R57" s="182"/>
      <c r="S57" s="326"/>
      <c r="T57" s="399"/>
      <c r="U57" s="328">
        <f t="shared" si="24"/>
        <v>0</v>
      </c>
      <c r="V57" s="858"/>
      <c r="W57" s="856"/>
      <c r="X57" s="856"/>
      <c r="Y57" s="856"/>
      <c r="Z57" s="856"/>
      <c r="AA57" s="856"/>
      <c r="AB57" s="854"/>
      <c r="AC57" s="854"/>
      <c r="AD57" s="854"/>
      <c r="AE57" s="854"/>
      <c r="AF57" s="854"/>
      <c r="AG57" s="855"/>
      <c r="AH57" s="326"/>
      <c r="AI57" s="327">
        <f t="shared" si="25"/>
        <v>0</v>
      </c>
      <c r="AJ57" s="328">
        <f t="shared" si="36"/>
        <v>0</v>
      </c>
      <c r="AK57" s="860"/>
      <c r="AL57" s="861"/>
      <c r="AM57" s="861"/>
      <c r="AN57" s="861"/>
      <c r="AO57" s="861"/>
      <c r="AP57" s="861"/>
      <c r="AQ57" s="861"/>
      <c r="AR57" s="861"/>
      <c r="AS57" s="861"/>
      <c r="AT57" s="861"/>
      <c r="AU57" s="861"/>
      <c r="AV57" s="862"/>
      <c r="AW57" s="326"/>
      <c r="AX57" s="332">
        <f t="shared" si="26"/>
        <v>0</v>
      </c>
      <c r="AY57" s="333">
        <f t="shared" si="37"/>
        <v>0</v>
      </c>
      <c r="AZ57" s="887">
        <v>1</v>
      </c>
      <c r="BA57" s="888">
        <v>1</v>
      </c>
      <c r="BB57" s="874"/>
      <c r="BC57" s="874"/>
      <c r="BD57" s="874"/>
      <c r="BE57" s="874"/>
      <c r="BF57" s="874"/>
      <c r="BG57" s="874"/>
      <c r="BH57" s="874"/>
      <c r="BI57" s="874"/>
      <c r="BJ57" s="874"/>
      <c r="BK57" s="875"/>
      <c r="BL57" s="326"/>
      <c r="BM57" s="332">
        <f t="shared" si="27"/>
        <v>2</v>
      </c>
      <c r="BN57" s="333">
        <f t="shared" si="28"/>
        <v>174461.54</v>
      </c>
      <c r="BO57" s="329"/>
      <c r="BP57" s="330"/>
      <c r="BQ57" s="330"/>
      <c r="BR57" s="330"/>
      <c r="BS57" s="330"/>
      <c r="BT57" s="330"/>
      <c r="BU57" s="330"/>
      <c r="BV57" s="330"/>
      <c r="BW57" s="330"/>
      <c r="BX57" s="330"/>
      <c r="BY57" s="330"/>
      <c r="BZ57" s="331"/>
      <c r="CA57" s="326"/>
      <c r="CB57" s="332">
        <f t="shared" si="29"/>
        <v>0</v>
      </c>
      <c r="CC57" s="333">
        <f t="shared" si="30"/>
        <v>0</v>
      </c>
      <c r="CD57" s="329"/>
      <c r="CE57" s="330"/>
      <c r="CF57" s="330"/>
      <c r="CG57" s="330"/>
      <c r="CH57" s="330"/>
      <c r="CI57" s="330"/>
      <c r="CJ57" s="330"/>
      <c r="CK57" s="330"/>
      <c r="CL57" s="330"/>
      <c r="CM57" s="330"/>
      <c r="CN57" s="330"/>
      <c r="CO57" s="331"/>
      <c r="CP57" s="326"/>
      <c r="CQ57" s="332">
        <f t="shared" si="31"/>
        <v>0</v>
      </c>
      <c r="CR57" s="333">
        <f t="shared" si="32"/>
        <v>0</v>
      </c>
      <c r="CS57" s="334">
        <f t="shared" si="33"/>
        <v>0</v>
      </c>
      <c r="CT57" s="335">
        <f t="shared" si="34"/>
        <v>2</v>
      </c>
      <c r="CU57" s="417">
        <f t="shared" si="38"/>
        <v>174461.54</v>
      </c>
      <c r="CV57" s="529" t="str">
        <f t="shared" ref="CV57:CV88" si="41">IF(H57=0," ",H57)</f>
        <v xml:space="preserve"> </v>
      </c>
      <c r="CW57" s="529">
        <f t="shared" si="40"/>
        <v>2019</v>
      </c>
      <c r="CX57" s="528">
        <f t="shared" si="39"/>
        <v>174461.54</v>
      </c>
    </row>
    <row r="58" spans="1:102" s="33" customFormat="1" ht="27" customHeight="1" thickBot="1">
      <c r="A58" s="1052"/>
      <c r="B58" s="1050"/>
      <c r="C58" s="1050"/>
      <c r="D58" s="34"/>
      <c r="E58" s="125" t="s">
        <v>107</v>
      </c>
      <c r="F58" s="30"/>
      <c r="G58" s="31"/>
      <c r="H58" s="31"/>
      <c r="I58" s="848"/>
      <c r="J58" s="847"/>
      <c r="K58" s="522" t="str">
        <f t="shared" si="23"/>
        <v xml:space="preserve"> </v>
      </c>
      <c r="L58" s="31"/>
      <c r="M58" s="31"/>
      <c r="N58" s="401"/>
      <c r="O58" s="698"/>
      <c r="P58" s="674" t="s">
        <v>1990</v>
      </c>
      <c r="Q58" s="857"/>
      <c r="R58" s="182"/>
      <c r="S58" s="326"/>
      <c r="T58" s="399"/>
      <c r="U58" s="328">
        <f t="shared" si="24"/>
        <v>0</v>
      </c>
      <c r="V58" s="858"/>
      <c r="W58" s="856"/>
      <c r="X58" s="856"/>
      <c r="Y58" s="856"/>
      <c r="Z58" s="856"/>
      <c r="AA58" s="856"/>
      <c r="AB58" s="854"/>
      <c r="AC58" s="854"/>
      <c r="AD58" s="854"/>
      <c r="AE58" s="854"/>
      <c r="AF58" s="854"/>
      <c r="AG58" s="855"/>
      <c r="AH58" s="326"/>
      <c r="AI58" s="327">
        <f t="shared" si="25"/>
        <v>0</v>
      </c>
      <c r="AJ58" s="328">
        <f t="shared" si="36"/>
        <v>0</v>
      </c>
      <c r="AK58" s="860"/>
      <c r="AL58" s="861"/>
      <c r="AM58" s="861"/>
      <c r="AN58" s="861"/>
      <c r="AO58" s="861"/>
      <c r="AP58" s="861"/>
      <c r="AQ58" s="861"/>
      <c r="AR58" s="861"/>
      <c r="AS58" s="861"/>
      <c r="AT58" s="861"/>
      <c r="AU58" s="861"/>
      <c r="AV58" s="862"/>
      <c r="AW58" s="326"/>
      <c r="AX58" s="332">
        <f t="shared" si="26"/>
        <v>0</v>
      </c>
      <c r="AY58" s="333">
        <f t="shared" si="37"/>
        <v>0</v>
      </c>
      <c r="AZ58" s="873"/>
      <c r="BA58" s="874"/>
      <c r="BB58" s="874"/>
      <c r="BC58" s="874"/>
      <c r="BD58" s="874"/>
      <c r="BE58" s="874"/>
      <c r="BF58" s="874"/>
      <c r="BG58" s="874"/>
      <c r="BH58" s="874"/>
      <c r="BI58" s="874"/>
      <c r="BJ58" s="874"/>
      <c r="BK58" s="875"/>
      <c r="BL58" s="326"/>
      <c r="BM58" s="332">
        <f t="shared" si="27"/>
        <v>0</v>
      </c>
      <c r="BN58" s="333">
        <f t="shared" si="28"/>
        <v>0</v>
      </c>
      <c r="BO58" s="329"/>
      <c r="BP58" s="330"/>
      <c r="BQ58" s="330"/>
      <c r="BR58" s="330"/>
      <c r="BS58" s="330"/>
      <c r="BT58" s="330"/>
      <c r="BU58" s="330"/>
      <c r="BV58" s="330"/>
      <c r="BW58" s="330"/>
      <c r="BX58" s="330"/>
      <c r="BY58" s="330"/>
      <c r="BZ58" s="331"/>
      <c r="CA58" s="326"/>
      <c r="CB58" s="332">
        <f t="shared" si="29"/>
        <v>0</v>
      </c>
      <c r="CC58" s="333">
        <f t="shared" si="30"/>
        <v>0</v>
      </c>
      <c r="CD58" s="329"/>
      <c r="CE58" s="330"/>
      <c r="CF58" s="330"/>
      <c r="CG58" s="330"/>
      <c r="CH58" s="330"/>
      <c r="CI58" s="330"/>
      <c r="CJ58" s="330"/>
      <c r="CK58" s="330"/>
      <c r="CL58" s="330"/>
      <c r="CM58" s="330"/>
      <c r="CN58" s="330"/>
      <c r="CO58" s="331"/>
      <c r="CP58" s="326"/>
      <c r="CQ58" s="332">
        <f t="shared" si="31"/>
        <v>0</v>
      </c>
      <c r="CR58" s="333">
        <f t="shared" si="32"/>
        <v>0</v>
      </c>
      <c r="CS58" s="334">
        <f t="shared" si="33"/>
        <v>0</v>
      </c>
      <c r="CT58" s="335">
        <f t="shared" si="34"/>
        <v>0</v>
      </c>
      <c r="CU58" s="417">
        <f t="shared" si="38"/>
        <v>0</v>
      </c>
      <c r="CV58" s="529" t="str">
        <f t="shared" si="41"/>
        <v xml:space="preserve"> </v>
      </c>
      <c r="CW58" s="529" t="str">
        <f t="shared" si="40"/>
        <v xml:space="preserve"> </v>
      </c>
      <c r="CX58" s="528">
        <f t="shared" si="39"/>
        <v>0</v>
      </c>
    </row>
    <row r="59" spans="1:102" s="33" customFormat="1" ht="24.75" customHeight="1" thickBot="1">
      <c r="A59" s="1051" t="s">
        <v>132</v>
      </c>
      <c r="B59" s="1048" t="s">
        <v>1505</v>
      </c>
      <c r="C59" s="1048" t="s">
        <v>89</v>
      </c>
      <c r="D59" s="34"/>
      <c r="E59" s="125" t="s">
        <v>107</v>
      </c>
      <c r="F59" s="30"/>
      <c r="G59" s="31"/>
      <c r="H59" s="31"/>
      <c r="I59" s="848"/>
      <c r="J59" s="847"/>
      <c r="K59" s="522" t="str">
        <f t="shared" si="23"/>
        <v xml:space="preserve"> </v>
      </c>
      <c r="L59" s="31"/>
      <c r="M59" s="31"/>
      <c r="N59" s="401"/>
      <c r="O59" s="698"/>
      <c r="P59" s="674" t="s">
        <v>1990</v>
      </c>
      <c r="Q59" s="857"/>
      <c r="R59" s="182"/>
      <c r="S59" s="326"/>
      <c r="T59" s="399"/>
      <c r="U59" s="328">
        <f t="shared" si="24"/>
        <v>0</v>
      </c>
      <c r="V59" s="858"/>
      <c r="W59" s="856"/>
      <c r="X59" s="856"/>
      <c r="Y59" s="856"/>
      <c r="Z59" s="856"/>
      <c r="AA59" s="856"/>
      <c r="AB59" s="854"/>
      <c r="AC59" s="854"/>
      <c r="AD59" s="854"/>
      <c r="AE59" s="854"/>
      <c r="AF59" s="854"/>
      <c r="AG59" s="855"/>
      <c r="AH59" s="326"/>
      <c r="AI59" s="327">
        <f t="shared" si="25"/>
        <v>0</v>
      </c>
      <c r="AJ59" s="328">
        <f t="shared" si="36"/>
        <v>0</v>
      </c>
      <c r="AK59" s="860"/>
      <c r="AL59" s="861"/>
      <c r="AM59" s="861"/>
      <c r="AN59" s="861"/>
      <c r="AO59" s="861"/>
      <c r="AP59" s="861"/>
      <c r="AQ59" s="861"/>
      <c r="AR59" s="861"/>
      <c r="AS59" s="861"/>
      <c r="AT59" s="861"/>
      <c r="AU59" s="861"/>
      <c r="AV59" s="862"/>
      <c r="AW59" s="326"/>
      <c r="AX59" s="332">
        <f t="shared" si="26"/>
        <v>0</v>
      </c>
      <c r="AY59" s="333">
        <f t="shared" si="37"/>
        <v>0</v>
      </c>
      <c r="AZ59" s="873"/>
      <c r="BA59" s="874"/>
      <c r="BB59" s="874"/>
      <c r="BC59" s="874"/>
      <c r="BD59" s="874"/>
      <c r="BE59" s="874"/>
      <c r="BF59" s="874"/>
      <c r="BG59" s="874"/>
      <c r="BH59" s="874"/>
      <c r="BI59" s="874"/>
      <c r="BJ59" s="874"/>
      <c r="BK59" s="875"/>
      <c r="BL59" s="326"/>
      <c r="BM59" s="332">
        <f t="shared" si="27"/>
        <v>0</v>
      </c>
      <c r="BN59" s="333">
        <f t="shared" si="28"/>
        <v>0</v>
      </c>
      <c r="BO59" s="329"/>
      <c r="BP59" s="330"/>
      <c r="BQ59" s="330"/>
      <c r="BR59" s="330"/>
      <c r="BS59" s="330"/>
      <c r="BT59" s="330"/>
      <c r="BU59" s="330"/>
      <c r="BV59" s="330"/>
      <c r="BW59" s="330"/>
      <c r="BX59" s="330"/>
      <c r="BY59" s="330"/>
      <c r="BZ59" s="331"/>
      <c r="CA59" s="326"/>
      <c r="CB59" s="332">
        <f t="shared" si="29"/>
        <v>0</v>
      </c>
      <c r="CC59" s="333">
        <f t="shared" si="30"/>
        <v>0</v>
      </c>
      <c r="CD59" s="329"/>
      <c r="CE59" s="330"/>
      <c r="CF59" s="330"/>
      <c r="CG59" s="330"/>
      <c r="CH59" s="330"/>
      <c r="CI59" s="330"/>
      <c r="CJ59" s="330"/>
      <c r="CK59" s="330"/>
      <c r="CL59" s="330"/>
      <c r="CM59" s="330"/>
      <c r="CN59" s="330"/>
      <c r="CO59" s="331"/>
      <c r="CP59" s="326"/>
      <c r="CQ59" s="332">
        <f t="shared" si="31"/>
        <v>0</v>
      </c>
      <c r="CR59" s="333">
        <f t="shared" si="32"/>
        <v>0</v>
      </c>
      <c r="CS59" s="334">
        <f t="shared" si="33"/>
        <v>0</v>
      </c>
      <c r="CT59" s="335">
        <f t="shared" si="34"/>
        <v>0</v>
      </c>
      <c r="CU59" s="417">
        <f t="shared" si="38"/>
        <v>0</v>
      </c>
      <c r="CV59" s="529" t="str">
        <f t="shared" si="41"/>
        <v xml:space="preserve"> </v>
      </c>
      <c r="CW59" s="529" t="str">
        <f t="shared" si="40"/>
        <v xml:space="preserve"> </v>
      </c>
      <c r="CX59" s="528">
        <f t="shared" si="39"/>
        <v>0</v>
      </c>
    </row>
    <row r="60" spans="1:102" s="33" customFormat="1" ht="24.75" customHeight="1" thickBot="1">
      <c r="A60" s="1052"/>
      <c r="B60" s="1050"/>
      <c r="C60" s="1050"/>
      <c r="D60" s="34"/>
      <c r="E60" s="125" t="s">
        <v>107</v>
      </c>
      <c r="F60" s="30"/>
      <c r="G60" s="31"/>
      <c r="H60" s="31"/>
      <c r="I60" s="848"/>
      <c r="J60" s="847"/>
      <c r="K60" s="522" t="str">
        <f t="shared" si="23"/>
        <v xml:space="preserve"> </v>
      </c>
      <c r="L60" s="31"/>
      <c r="M60" s="31"/>
      <c r="N60" s="401"/>
      <c r="O60" s="698"/>
      <c r="P60" s="674" t="s">
        <v>1990</v>
      </c>
      <c r="Q60" s="857"/>
      <c r="R60" s="182"/>
      <c r="S60" s="326"/>
      <c r="T60" s="399"/>
      <c r="U60" s="328">
        <f t="shared" si="24"/>
        <v>0</v>
      </c>
      <c r="V60" s="858"/>
      <c r="W60" s="856"/>
      <c r="X60" s="856"/>
      <c r="Y60" s="856"/>
      <c r="Z60" s="856"/>
      <c r="AA60" s="856"/>
      <c r="AB60" s="854"/>
      <c r="AC60" s="854"/>
      <c r="AD60" s="854"/>
      <c r="AE60" s="854"/>
      <c r="AF60" s="854"/>
      <c r="AG60" s="855"/>
      <c r="AH60" s="326"/>
      <c r="AI60" s="327">
        <f t="shared" si="25"/>
        <v>0</v>
      </c>
      <c r="AJ60" s="328">
        <f t="shared" si="36"/>
        <v>0</v>
      </c>
      <c r="AK60" s="860"/>
      <c r="AL60" s="861"/>
      <c r="AM60" s="861"/>
      <c r="AN60" s="861"/>
      <c r="AO60" s="861"/>
      <c r="AP60" s="861"/>
      <c r="AQ60" s="861"/>
      <c r="AR60" s="861"/>
      <c r="AS60" s="861"/>
      <c r="AT60" s="861"/>
      <c r="AU60" s="861"/>
      <c r="AV60" s="862"/>
      <c r="AW60" s="326"/>
      <c r="AX60" s="332">
        <f t="shared" si="26"/>
        <v>0</v>
      </c>
      <c r="AY60" s="333">
        <f t="shared" si="37"/>
        <v>0</v>
      </c>
      <c r="AZ60" s="873"/>
      <c r="BA60" s="874"/>
      <c r="BB60" s="874"/>
      <c r="BC60" s="874"/>
      <c r="BD60" s="874"/>
      <c r="BE60" s="874"/>
      <c r="BF60" s="874"/>
      <c r="BG60" s="874"/>
      <c r="BH60" s="874"/>
      <c r="BI60" s="874"/>
      <c r="BJ60" s="874"/>
      <c r="BK60" s="875"/>
      <c r="BL60" s="326"/>
      <c r="BM60" s="332">
        <f t="shared" si="27"/>
        <v>0</v>
      </c>
      <c r="BN60" s="333">
        <f t="shared" si="28"/>
        <v>0</v>
      </c>
      <c r="BO60" s="329"/>
      <c r="BP60" s="330"/>
      <c r="BQ60" s="330"/>
      <c r="BR60" s="330"/>
      <c r="BS60" s="330"/>
      <c r="BT60" s="330"/>
      <c r="BU60" s="330"/>
      <c r="BV60" s="330"/>
      <c r="BW60" s="330"/>
      <c r="BX60" s="330"/>
      <c r="BY60" s="330"/>
      <c r="BZ60" s="331"/>
      <c r="CA60" s="326"/>
      <c r="CB60" s="332">
        <f t="shared" si="29"/>
        <v>0</v>
      </c>
      <c r="CC60" s="333">
        <f t="shared" si="30"/>
        <v>0</v>
      </c>
      <c r="CD60" s="329"/>
      <c r="CE60" s="330"/>
      <c r="CF60" s="330"/>
      <c r="CG60" s="330"/>
      <c r="CH60" s="330"/>
      <c r="CI60" s="330"/>
      <c r="CJ60" s="330"/>
      <c r="CK60" s="330"/>
      <c r="CL60" s="330"/>
      <c r="CM60" s="330"/>
      <c r="CN60" s="330"/>
      <c r="CO60" s="331"/>
      <c r="CP60" s="326"/>
      <c r="CQ60" s="332">
        <f t="shared" si="31"/>
        <v>0</v>
      </c>
      <c r="CR60" s="333">
        <f t="shared" si="32"/>
        <v>0</v>
      </c>
      <c r="CS60" s="334">
        <f t="shared" si="33"/>
        <v>0</v>
      </c>
      <c r="CT60" s="335">
        <f t="shared" si="34"/>
        <v>0</v>
      </c>
      <c r="CU60" s="417">
        <f t="shared" si="38"/>
        <v>0</v>
      </c>
      <c r="CV60" s="529" t="str">
        <f t="shared" si="41"/>
        <v xml:space="preserve"> </v>
      </c>
      <c r="CW60" s="529" t="str">
        <f t="shared" si="40"/>
        <v xml:space="preserve"> </v>
      </c>
      <c r="CX60" s="528">
        <f t="shared" si="39"/>
        <v>0</v>
      </c>
    </row>
    <row r="61" spans="1:102" s="33" customFormat="1" ht="24.75" customHeight="1" thickBot="1">
      <c r="A61" s="1051" t="s">
        <v>133</v>
      </c>
      <c r="B61" s="1048" t="s">
        <v>1506</v>
      </c>
      <c r="C61" s="1048" t="s">
        <v>90</v>
      </c>
      <c r="D61" s="34"/>
      <c r="E61" s="125" t="s">
        <v>107</v>
      </c>
      <c r="F61" s="30"/>
      <c r="G61" s="31"/>
      <c r="H61" s="31"/>
      <c r="I61" s="848"/>
      <c r="J61" s="847"/>
      <c r="K61" s="522" t="str">
        <f t="shared" si="23"/>
        <v xml:space="preserve"> </v>
      </c>
      <c r="L61" s="31"/>
      <c r="M61" s="31"/>
      <c r="N61" s="401"/>
      <c r="O61" s="698"/>
      <c r="P61" s="674" t="s">
        <v>1990</v>
      </c>
      <c r="Q61" s="857"/>
      <c r="R61" s="182"/>
      <c r="S61" s="326"/>
      <c r="T61" s="399"/>
      <c r="U61" s="328">
        <f t="shared" si="24"/>
        <v>0</v>
      </c>
      <c r="V61" s="858"/>
      <c r="W61" s="856"/>
      <c r="X61" s="856"/>
      <c r="Y61" s="856"/>
      <c r="Z61" s="856"/>
      <c r="AA61" s="856"/>
      <c r="AB61" s="854"/>
      <c r="AC61" s="854"/>
      <c r="AD61" s="854"/>
      <c r="AE61" s="854"/>
      <c r="AF61" s="854"/>
      <c r="AG61" s="855"/>
      <c r="AH61" s="326"/>
      <c r="AI61" s="327">
        <f t="shared" si="25"/>
        <v>0</v>
      </c>
      <c r="AJ61" s="328">
        <f t="shared" si="36"/>
        <v>0</v>
      </c>
      <c r="AK61" s="860"/>
      <c r="AL61" s="861"/>
      <c r="AM61" s="861"/>
      <c r="AN61" s="861"/>
      <c r="AO61" s="861"/>
      <c r="AP61" s="861"/>
      <c r="AQ61" s="861"/>
      <c r="AR61" s="861"/>
      <c r="AS61" s="874"/>
      <c r="AT61" s="874"/>
      <c r="AU61" s="861"/>
      <c r="AV61" s="862"/>
      <c r="AW61" s="326"/>
      <c r="AX61" s="332">
        <f t="shared" si="26"/>
        <v>0</v>
      </c>
      <c r="AY61" s="333">
        <f t="shared" si="37"/>
        <v>0</v>
      </c>
      <c r="AZ61" s="873"/>
      <c r="BA61" s="874"/>
      <c r="BB61" s="874"/>
      <c r="BC61" s="874"/>
      <c r="BD61" s="874"/>
      <c r="BE61" s="874"/>
      <c r="BF61" s="874"/>
      <c r="BG61" s="874"/>
      <c r="BH61" s="874"/>
      <c r="BI61" s="874"/>
      <c r="BJ61" s="874"/>
      <c r="BK61" s="875"/>
      <c r="BL61" s="326"/>
      <c r="BM61" s="332">
        <f t="shared" si="27"/>
        <v>0</v>
      </c>
      <c r="BN61" s="333">
        <f t="shared" si="28"/>
        <v>0</v>
      </c>
      <c r="BO61" s="329"/>
      <c r="BP61" s="330"/>
      <c r="BQ61" s="330"/>
      <c r="BR61" s="330"/>
      <c r="BS61" s="330"/>
      <c r="BT61" s="330"/>
      <c r="BU61" s="330"/>
      <c r="BV61" s="330"/>
      <c r="BW61" s="330"/>
      <c r="BX61" s="330"/>
      <c r="BY61" s="330"/>
      <c r="BZ61" s="331"/>
      <c r="CA61" s="326"/>
      <c r="CB61" s="332">
        <f t="shared" si="29"/>
        <v>0</v>
      </c>
      <c r="CC61" s="333">
        <f t="shared" si="30"/>
        <v>0</v>
      </c>
      <c r="CD61" s="329"/>
      <c r="CE61" s="330"/>
      <c r="CF61" s="330"/>
      <c r="CG61" s="330"/>
      <c r="CH61" s="330"/>
      <c r="CI61" s="330"/>
      <c r="CJ61" s="330"/>
      <c r="CK61" s="330"/>
      <c r="CL61" s="330"/>
      <c r="CM61" s="330"/>
      <c r="CN61" s="330"/>
      <c r="CO61" s="331"/>
      <c r="CP61" s="326"/>
      <c r="CQ61" s="332">
        <f t="shared" si="31"/>
        <v>0</v>
      </c>
      <c r="CR61" s="333">
        <f t="shared" si="32"/>
        <v>0</v>
      </c>
      <c r="CS61" s="334">
        <f t="shared" si="33"/>
        <v>0</v>
      </c>
      <c r="CT61" s="335">
        <f t="shared" si="34"/>
        <v>0</v>
      </c>
      <c r="CU61" s="417">
        <f t="shared" si="38"/>
        <v>0</v>
      </c>
      <c r="CV61" s="529" t="str">
        <f t="shared" si="41"/>
        <v xml:space="preserve"> </v>
      </c>
      <c r="CW61" s="529" t="str">
        <f t="shared" si="40"/>
        <v xml:space="preserve"> </v>
      </c>
      <c r="CX61" s="528">
        <f t="shared" si="39"/>
        <v>0</v>
      </c>
    </row>
    <row r="62" spans="1:102" s="33" customFormat="1" ht="24.75" customHeight="1" thickBot="1">
      <c r="A62" s="1052"/>
      <c r="B62" s="1050"/>
      <c r="C62" s="1050"/>
      <c r="D62" s="34"/>
      <c r="E62" s="125" t="s">
        <v>107</v>
      </c>
      <c r="F62" s="30"/>
      <c r="G62" s="31"/>
      <c r="H62" s="31"/>
      <c r="I62" s="848"/>
      <c r="J62" s="847"/>
      <c r="K62" s="522" t="str">
        <f t="shared" si="23"/>
        <v xml:space="preserve"> </v>
      </c>
      <c r="L62" s="31"/>
      <c r="M62" s="31"/>
      <c r="N62" s="401"/>
      <c r="O62" s="698"/>
      <c r="P62" s="674" t="s">
        <v>1990</v>
      </c>
      <c r="Q62" s="857"/>
      <c r="R62" s="182"/>
      <c r="S62" s="326"/>
      <c r="T62" s="399"/>
      <c r="U62" s="328">
        <f t="shared" si="24"/>
        <v>0</v>
      </c>
      <c r="V62" s="858"/>
      <c r="W62" s="856"/>
      <c r="X62" s="856"/>
      <c r="Y62" s="856"/>
      <c r="Z62" s="856"/>
      <c r="AA62" s="856"/>
      <c r="AB62" s="854"/>
      <c r="AC62" s="854"/>
      <c r="AD62" s="854"/>
      <c r="AE62" s="854"/>
      <c r="AF62" s="854"/>
      <c r="AG62" s="855"/>
      <c r="AH62" s="326"/>
      <c r="AI62" s="327">
        <f t="shared" si="25"/>
        <v>0</v>
      </c>
      <c r="AJ62" s="328">
        <f t="shared" si="36"/>
        <v>0</v>
      </c>
      <c r="AK62" s="860"/>
      <c r="AL62" s="861"/>
      <c r="AM62" s="861"/>
      <c r="AN62" s="861"/>
      <c r="AO62" s="861"/>
      <c r="AP62" s="861"/>
      <c r="AQ62" s="861"/>
      <c r="AR62" s="861"/>
      <c r="AS62" s="861"/>
      <c r="AT62" s="861"/>
      <c r="AU62" s="861"/>
      <c r="AV62" s="862"/>
      <c r="AW62" s="326"/>
      <c r="AX62" s="332">
        <f t="shared" si="26"/>
        <v>0</v>
      </c>
      <c r="AY62" s="333">
        <f t="shared" si="37"/>
        <v>0</v>
      </c>
      <c r="AZ62" s="873"/>
      <c r="BA62" s="874"/>
      <c r="BB62" s="874"/>
      <c r="BC62" s="874"/>
      <c r="BD62" s="874"/>
      <c r="BE62" s="874"/>
      <c r="BF62" s="874"/>
      <c r="BG62" s="874"/>
      <c r="BH62" s="874"/>
      <c r="BI62" s="874"/>
      <c r="BJ62" s="874"/>
      <c r="BK62" s="875"/>
      <c r="BL62" s="326"/>
      <c r="BM62" s="332">
        <f t="shared" si="27"/>
        <v>0</v>
      </c>
      <c r="BN62" s="333">
        <f t="shared" si="28"/>
        <v>0</v>
      </c>
      <c r="BO62" s="329"/>
      <c r="BP62" s="330"/>
      <c r="BQ62" s="330"/>
      <c r="BR62" s="330"/>
      <c r="BS62" s="330"/>
      <c r="BT62" s="330"/>
      <c r="BU62" s="330"/>
      <c r="BV62" s="330"/>
      <c r="BW62" s="330"/>
      <c r="BX62" s="330"/>
      <c r="BY62" s="330"/>
      <c r="BZ62" s="331"/>
      <c r="CA62" s="326"/>
      <c r="CB62" s="332">
        <f t="shared" si="29"/>
        <v>0</v>
      </c>
      <c r="CC62" s="333">
        <f t="shared" si="30"/>
        <v>0</v>
      </c>
      <c r="CD62" s="329"/>
      <c r="CE62" s="330"/>
      <c r="CF62" s="330"/>
      <c r="CG62" s="330"/>
      <c r="CH62" s="330"/>
      <c r="CI62" s="330"/>
      <c r="CJ62" s="330"/>
      <c r="CK62" s="330"/>
      <c r="CL62" s="330"/>
      <c r="CM62" s="330"/>
      <c r="CN62" s="330"/>
      <c r="CO62" s="331"/>
      <c r="CP62" s="326"/>
      <c r="CQ62" s="332">
        <f t="shared" si="31"/>
        <v>0</v>
      </c>
      <c r="CR62" s="333">
        <f t="shared" si="32"/>
        <v>0</v>
      </c>
      <c r="CS62" s="334">
        <f t="shared" si="33"/>
        <v>0</v>
      </c>
      <c r="CT62" s="335">
        <f t="shared" si="34"/>
        <v>0</v>
      </c>
      <c r="CU62" s="417">
        <f t="shared" si="38"/>
        <v>0</v>
      </c>
      <c r="CV62" s="529" t="str">
        <f t="shared" si="41"/>
        <v xml:space="preserve"> </v>
      </c>
      <c r="CW62" s="529" t="str">
        <f t="shared" si="40"/>
        <v xml:space="preserve"> </v>
      </c>
      <c r="CX62" s="528">
        <f t="shared" si="39"/>
        <v>0</v>
      </c>
    </row>
    <row r="63" spans="1:102" s="33" customFormat="1" ht="24.75" customHeight="1" thickBot="1">
      <c r="A63" s="1051" t="s">
        <v>134</v>
      </c>
      <c r="B63" s="1048" t="s">
        <v>1507</v>
      </c>
      <c r="C63" s="1048" t="s">
        <v>91</v>
      </c>
      <c r="D63" s="34"/>
      <c r="E63" s="125" t="s">
        <v>107</v>
      </c>
      <c r="F63" s="30"/>
      <c r="G63" s="31"/>
      <c r="H63" s="31"/>
      <c r="I63" s="853">
        <v>43419</v>
      </c>
      <c r="J63" s="847">
        <v>30</v>
      </c>
      <c r="K63" s="522">
        <f t="shared" si="23"/>
        <v>43449</v>
      </c>
      <c r="L63" s="31"/>
      <c r="M63" s="31"/>
      <c r="N63" s="401"/>
      <c r="O63" s="698"/>
      <c r="P63" s="674" t="s">
        <v>1990</v>
      </c>
      <c r="Q63" s="857">
        <v>225000</v>
      </c>
      <c r="R63" s="182"/>
      <c r="S63" s="326"/>
      <c r="T63" s="399"/>
      <c r="U63" s="328">
        <f t="shared" si="24"/>
        <v>0</v>
      </c>
      <c r="V63" s="858"/>
      <c r="W63" s="856"/>
      <c r="X63" s="856"/>
      <c r="Y63" s="856"/>
      <c r="Z63" s="856"/>
      <c r="AA63" s="856"/>
      <c r="AB63" s="854"/>
      <c r="AC63" s="854"/>
      <c r="AD63" s="854"/>
      <c r="AE63" s="854"/>
      <c r="AF63" s="854"/>
      <c r="AG63" s="855"/>
      <c r="AH63" s="326"/>
      <c r="AI63" s="327">
        <f t="shared" si="25"/>
        <v>0</v>
      </c>
      <c r="AJ63" s="328">
        <f t="shared" si="36"/>
        <v>0</v>
      </c>
      <c r="AK63" s="860"/>
      <c r="AL63" s="861"/>
      <c r="AM63" s="861"/>
      <c r="AN63" s="861"/>
      <c r="AO63" s="861"/>
      <c r="AP63" s="861"/>
      <c r="AQ63" s="861"/>
      <c r="AR63" s="861"/>
      <c r="AS63" s="894">
        <v>1</v>
      </c>
      <c r="AT63" s="894">
        <v>1</v>
      </c>
      <c r="AU63" s="861"/>
      <c r="AV63" s="862"/>
      <c r="AW63" s="326"/>
      <c r="AX63" s="332">
        <f t="shared" si="26"/>
        <v>2</v>
      </c>
      <c r="AY63" s="333">
        <f t="shared" si="37"/>
        <v>450000</v>
      </c>
      <c r="AZ63" s="873"/>
      <c r="BA63" s="874"/>
      <c r="BB63" s="874"/>
      <c r="BC63" s="874"/>
      <c r="BD63" s="874"/>
      <c r="BE63" s="874"/>
      <c r="BF63" s="874"/>
      <c r="BG63" s="874"/>
      <c r="BH63" s="874"/>
      <c r="BI63" s="874"/>
      <c r="BJ63" s="874"/>
      <c r="BK63" s="875"/>
      <c r="BL63" s="326"/>
      <c r="BM63" s="332">
        <f t="shared" si="27"/>
        <v>0</v>
      </c>
      <c r="BN63" s="333">
        <f t="shared" si="28"/>
        <v>0</v>
      </c>
      <c r="BO63" s="329"/>
      <c r="BP63" s="330"/>
      <c r="BQ63" s="330"/>
      <c r="BR63" s="330"/>
      <c r="BS63" s="330"/>
      <c r="BT63" s="330"/>
      <c r="BU63" s="330"/>
      <c r="BV63" s="330"/>
      <c r="BW63" s="330"/>
      <c r="BX63" s="330"/>
      <c r="BY63" s="330"/>
      <c r="BZ63" s="331"/>
      <c r="CA63" s="326"/>
      <c r="CB63" s="332">
        <f t="shared" si="29"/>
        <v>0</v>
      </c>
      <c r="CC63" s="333">
        <f t="shared" si="30"/>
        <v>0</v>
      </c>
      <c r="CD63" s="329"/>
      <c r="CE63" s="330"/>
      <c r="CF63" s="330"/>
      <c r="CG63" s="330"/>
      <c r="CH63" s="330"/>
      <c r="CI63" s="330"/>
      <c r="CJ63" s="330"/>
      <c r="CK63" s="330"/>
      <c r="CL63" s="330"/>
      <c r="CM63" s="330"/>
      <c r="CN63" s="330"/>
      <c r="CO63" s="331"/>
      <c r="CP63" s="326"/>
      <c r="CQ63" s="332">
        <f t="shared" si="31"/>
        <v>0</v>
      </c>
      <c r="CR63" s="333">
        <f t="shared" si="32"/>
        <v>0</v>
      </c>
      <c r="CS63" s="334">
        <f t="shared" si="33"/>
        <v>0</v>
      </c>
      <c r="CT63" s="335">
        <f t="shared" si="34"/>
        <v>2</v>
      </c>
      <c r="CU63" s="417">
        <f t="shared" si="38"/>
        <v>450000</v>
      </c>
      <c r="CV63" s="529" t="str">
        <f t="shared" si="41"/>
        <v xml:space="preserve"> </v>
      </c>
      <c r="CW63" s="529">
        <f t="shared" ref="CW63:CW94" si="42">IF(YEAR(I63+J63)=1900," ",YEAR(I63+J63))</f>
        <v>2018</v>
      </c>
      <c r="CX63" s="528">
        <f t="shared" si="39"/>
        <v>450000</v>
      </c>
    </row>
    <row r="64" spans="1:102" s="33" customFormat="1" ht="24.75" customHeight="1" thickBot="1">
      <c r="A64" s="1052"/>
      <c r="B64" s="1050"/>
      <c r="C64" s="1050"/>
      <c r="D64" s="34"/>
      <c r="E64" s="125" t="s">
        <v>107</v>
      </c>
      <c r="F64" s="30"/>
      <c r="G64" s="31"/>
      <c r="H64" s="31"/>
      <c r="I64" s="848"/>
      <c r="J64" s="847"/>
      <c r="K64" s="522" t="str">
        <f t="shared" si="23"/>
        <v xml:space="preserve"> </v>
      </c>
      <c r="L64" s="31"/>
      <c r="M64" s="31"/>
      <c r="N64" s="401"/>
      <c r="O64" s="698"/>
      <c r="P64" s="674" t="s">
        <v>1990</v>
      </c>
      <c r="Q64" s="857"/>
      <c r="R64" s="182"/>
      <c r="S64" s="326"/>
      <c r="T64" s="399"/>
      <c r="U64" s="328">
        <f t="shared" si="24"/>
        <v>0</v>
      </c>
      <c r="V64" s="858"/>
      <c r="W64" s="856"/>
      <c r="X64" s="856"/>
      <c r="Y64" s="856"/>
      <c r="Z64" s="856"/>
      <c r="AA64" s="856"/>
      <c r="AB64" s="854"/>
      <c r="AC64" s="854"/>
      <c r="AD64" s="854"/>
      <c r="AE64" s="854"/>
      <c r="AF64" s="854"/>
      <c r="AG64" s="855"/>
      <c r="AH64" s="326"/>
      <c r="AI64" s="327">
        <f t="shared" si="25"/>
        <v>0</v>
      </c>
      <c r="AJ64" s="328">
        <f t="shared" si="36"/>
        <v>0</v>
      </c>
      <c r="AK64" s="860"/>
      <c r="AL64" s="861"/>
      <c r="AM64" s="861"/>
      <c r="AN64" s="861"/>
      <c r="AO64" s="861"/>
      <c r="AP64" s="861"/>
      <c r="AQ64" s="861"/>
      <c r="AR64" s="861"/>
      <c r="AS64" s="861"/>
      <c r="AT64" s="861"/>
      <c r="AU64" s="861"/>
      <c r="AV64" s="862"/>
      <c r="AW64" s="326"/>
      <c r="AX64" s="332">
        <f t="shared" si="26"/>
        <v>0</v>
      </c>
      <c r="AY64" s="333">
        <f t="shared" si="37"/>
        <v>0</v>
      </c>
      <c r="AZ64" s="873"/>
      <c r="BA64" s="874"/>
      <c r="BB64" s="874"/>
      <c r="BC64" s="874"/>
      <c r="BD64" s="874"/>
      <c r="BE64" s="874"/>
      <c r="BF64" s="874"/>
      <c r="BG64" s="874"/>
      <c r="BH64" s="874"/>
      <c r="BI64" s="874"/>
      <c r="BJ64" s="874"/>
      <c r="BK64" s="875"/>
      <c r="BL64" s="326"/>
      <c r="BM64" s="332">
        <f t="shared" si="27"/>
        <v>0</v>
      </c>
      <c r="BN64" s="333">
        <f t="shared" si="28"/>
        <v>0</v>
      </c>
      <c r="BO64" s="329"/>
      <c r="BP64" s="330"/>
      <c r="BQ64" s="330"/>
      <c r="BR64" s="330"/>
      <c r="BS64" s="330"/>
      <c r="BT64" s="330"/>
      <c r="BU64" s="330"/>
      <c r="BV64" s="330"/>
      <c r="BW64" s="330"/>
      <c r="BX64" s="330"/>
      <c r="BY64" s="330"/>
      <c r="BZ64" s="331"/>
      <c r="CA64" s="326"/>
      <c r="CB64" s="332">
        <f t="shared" si="29"/>
        <v>0</v>
      </c>
      <c r="CC64" s="333">
        <f t="shared" si="30"/>
        <v>0</v>
      </c>
      <c r="CD64" s="329"/>
      <c r="CE64" s="330"/>
      <c r="CF64" s="330"/>
      <c r="CG64" s="330"/>
      <c r="CH64" s="330"/>
      <c r="CI64" s="330"/>
      <c r="CJ64" s="330"/>
      <c r="CK64" s="330"/>
      <c r="CL64" s="330"/>
      <c r="CM64" s="330"/>
      <c r="CN64" s="330"/>
      <c r="CO64" s="331"/>
      <c r="CP64" s="326"/>
      <c r="CQ64" s="332">
        <f t="shared" si="31"/>
        <v>0</v>
      </c>
      <c r="CR64" s="333">
        <f t="shared" si="32"/>
        <v>0</v>
      </c>
      <c r="CS64" s="334">
        <f t="shared" si="33"/>
        <v>0</v>
      </c>
      <c r="CT64" s="335">
        <f t="shared" si="34"/>
        <v>0</v>
      </c>
      <c r="CU64" s="417">
        <f t="shared" si="38"/>
        <v>0</v>
      </c>
      <c r="CV64" s="529" t="str">
        <f t="shared" si="41"/>
        <v xml:space="preserve"> </v>
      </c>
      <c r="CW64" s="529" t="str">
        <f t="shared" si="42"/>
        <v xml:space="preserve"> </v>
      </c>
      <c r="CX64" s="528">
        <f t="shared" si="39"/>
        <v>0</v>
      </c>
    </row>
    <row r="65" spans="1:102" s="33" customFormat="1" ht="24.75" customHeight="1" thickBot="1">
      <c r="A65" s="1051" t="s">
        <v>135</v>
      </c>
      <c r="B65" s="1048" t="s">
        <v>1586</v>
      </c>
      <c r="C65" s="1048" t="s">
        <v>1587</v>
      </c>
      <c r="D65" s="34"/>
      <c r="E65" s="125" t="s">
        <v>107</v>
      </c>
      <c r="F65" s="30"/>
      <c r="G65" s="31"/>
      <c r="H65" s="31"/>
      <c r="I65" s="849">
        <v>43539</v>
      </c>
      <c r="J65" s="847">
        <v>30</v>
      </c>
      <c r="K65" s="522">
        <f t="shared" si="23"/>
        <v>43569</v>
      </c>
      <c r="L65" s="31"/>
      <c r="M65" s="31"/>
      <c r="N65" s="401"/>
      <c r="O65" s="698"/>
      <c r="P65" s="674" t="s">
        <v>1990</v>
      </c>
      <c r="Q65" s="857">
        <v>87230.769230769205</v>
      </c>
      <c r="R65" s="182"/>
      <c r="S65" s="326"/>
      <c r="T65" s="399"/>
      <c r="U65" s="328">
        <f t="shared" si="24"/>
        <v>0</v>
      </c>
      <c r="V65" s="858"/>
      <c r="W65" s="856"/>
      <c r="X65" s="856"/>
      <c r="Y65" s="856"/>
      <c r="Z65" s="856"/>
      <c r="AA65" s="856"/>
      <c r="AB65" s="854"/>
      <c r="AC65" s="854"/>
      <c r="AD65" s="854"/>
      <c r="AE65" s="854"/>
      <c r="AF65" s="854"/>
      <c r="AG65" s="855"/>
      <c r="AH65" s="326"/>
      <c r="AI65" s="327">
        <f t="shared" si="25"/>
        <v>0</v>
      </c>
      <c r="AJ65" s="328">
        <f t="shared" si="36"/>
        <v>0</v>
      </c>
      <c r="AK65" s="860"/>
      <c r="AL65" s="861"/>
      <c r="AM65" s="861"/>
      <c r="AN65" s="861"/>
      <c r="AO65" s="861"/>
      <c r="AP65" s="861"/>
      <c r="AQ65" s="861"/>
      <c r="AR65" s="861"/>
      <c r="AS65" s="861"/>
      <c r="AT65" s="861"/>
      <c r="AU65" s="861"/>
      <c r="AV65" s="862"/>
      <c r="AW65" s="326"/>
      <c r="AX65" s="332">
        <f t="shared" si="26"/>
        <v>0</v>
      </c>
      <c r="AY65" s="333">
        <f t="shared" si="37"/>
        <v>0</v>
      </c>
      <c r="AZ65" s="887">
        <v>1</v>
      </c>
      <c r="BA65" s="888">
        <v>1</v>
      </c>
      <c r="BB65" s="874"/>
      <c r="BC65" s="874"/>
      <c r="BD65" s="874"/>
      <c r="BE65" s="874"/>
      <c r="BF65" s="874"/>
      <c r="BG65" s="874"/>
      <c r="BH65" s="874"/>
      <c r="BI65" s="874"/>
      <c r="BJ65" s="874"/>
      <c r="BK65" s="875"/>
      <c r="BL65" s="326"/>
      <c r="BM65" s="332">
        <f t="shared" si="27"/>
        <v>2</v>
      </c>
      <c r="BN65" s="333">
        <f t="shared" si="28"/>
        <v>174461.54</v>
      </c>
      <c r="BO65" s="329"/>
      <c r="BP65" s="330"/>
      <c r="BQ65" s="330"/>
      <c r="BR65" s="330"/>
      <c r="BS65" s="330"/>
      <c r="BT65" s="330"/>
      <c r="BU65" s="330"/>
      <c r="BV65" s="330"/>
      <c r="BW65" s="330"/>
      <c r="BX65" s="330"/>
      <c r="BY65" s="330"/>
      <c r="BZ65" s="331"/>
      <c r="CA65" s="326"/>
      <c r="CB65" s="332">
        <f t="shared" si="29"/>
        <v>0</v>
      </c>
      <c r="CC65" s="333">
        <f t="shared" si="30"/>
        <v>0</v>
      </c>
      <c r="CD65" s="329"/>
      <c r="CE65" s="330"/>
      <c r="CF65" s="330"/>
      <c r="CG65" s="330"/>
      <c r="CH65" s="330"/>
      <c r="CI65" s="330"/>
      <c r="CJ65" s="330"/>
      <c r="CK65" s="330"/>
      <c r="CL65" s="330"/>
      <c r="CM65" s="330"/>
      <c r="CN65" s="330"/>
      <c r="CO65" s="331"/>
      <c r="CP65" s="326"/>
      <c r="CQ65" s="332">
        <f t="shared" si="31"/>
        <v>0</v>
      </c>
      <c r="CR65" s="333">
        <f t="shared" si="32"/>
        <v>0</v>
      </c>
      <c r="CS65" s="334">
        <f t="shared" si="33"/>
        <v>0</v>
      </c>
      <c r="CT65" s="335">
        <f t="shared" si="34"/>
        <v>2</v>
      </c>
      <c r="CU65" s="417">
        <f t="shared" si="38"/>
        <v>174461.54</v>
      </c>
      <c r="CV65" s="529" t="str">
        <f t="shared" si="41"/>
        <v xml:space="preserve"> </v>
      </c>
      <c r="CW65" s="529">
        <f t="shared" si="42"/>
        <v>2019</v>
      </c>
      <c r="CX65" s="528">
        <f t="shared" si="39"/>
        <v>174461.54</v>
      </c>
    </row>
    <row r="66" spans="1:102" s="33" customFormat="1" ht="24.75" customHeight="1" thickBot="1">
      <c r="A66" s="1052"/>
      <c r="B66" s="1050"/>
      <c r="C66" s="1050"/>
      <c r="D66" s="34"/>
      <c r="E66" s="125" t="s">
        <v>107</v>
      </c>
      <c r="F66" s="30"/>
      <c r="G66" s="31"/>
      <c r="H66" s="31"/>
      <c r="I66" s="848"/>
      <c r="J66" s="847"/>
      <c r="K66" s="522" t="str">
        <f t="shared" si="23"/>
        <v xml:space="preserve"> </v>
      </c>
      <c r="L66" s="31"/>
      <c r="M66" s="31"/>
      <c r="N66" s="401"/>
      <c r="O66" s="698"/>
      <c r="P66" s="674" t="s">
        <v>1990</v>
      </c>
      <c r="Q66" s="857"/>
      <c r="R66" s="182"/>
      <c r="S66" s="326"/>
      <c r="T66" s="399"/>
      <c r="U66" s="328">
        <f t="shared" si="24"/>
        <v>0</v>
      </c>
      <c r="V66" s="858"/>
      <c r="W66" s="856"/>
      <c r="X66" s="856"/>
      <c r="Y66" s="856"/>
      <c r="Z66" s="856"/>
      <c r="AA66" s="856"/>
      <c r="AB66" s="854"/>
      <c r="AC66" s="854"/>
      <c r="AD66" s="854"/>
      <c r="AE66" s="854"/>
      <c r="AF66" s="854"/>
      <c r="AG66" s="855"/>
      <c r="AH66" s="326"/>
      <c r="AI66" s="327">
        <f t="shared" si="25"/>
        <v>0</v>
      </c>
      <c r="AJ66" s="328">
        <f t="shared" si="36"/>
        <v>0</v>
      </c>
      <c r="AK66" s="860"/>
      <c r="AL66" s="861"/>
      <c r="AM66" s="861"/>
      <c r="AN66" s="861"/>
      <c r="AO66" s="861"/>
      <c r="AP66" s="861"/>
      <c r="AQ66" s="861"/>
      <c r="AR66" s="861"/>
      <c r="AS66" s="861"/>
      <c r="AT66" s="861"/>
      <c r="AU66" s="861"/>
      <c r="AV66" s="862"/>
      <c r="AW66" s="326"/>
      <c r="AX66" s="332">
        <f t="shared" si="26"/>
        <v>0</v>
      </c>
      <c r="AY66" s="333">
        <f t="shared" si="37"/>
        <v>0</v>
      </c>
      <c r="AZ66" s="873"/>
      <c r="BA66" s="874"/>
      <c r="BB66" s="874"/>
      <c r="BC66" s="874"/>
      <c r="BD66" s="874"/>
      <c r="BE66" s="874"/>
      <c r="BF66" s="874"/>
      <c r="BG66" s="874"/>
      <c r="BH66" s="874"/>
      <c r="BI66" s="874"/>
      <c r="BJ66" s="874"/>
      <c r="BK66" s="875"/>
      <c r="BL66" s="326"/>
      <c r="BM66" s="332">
        <f t="shared" si="27"/>
        <v>0</v>
      </c>
      <c r="BN66" s="333">
        <f t="shared" si="28"/>
        <v>0</v>
      </c>
      <c r="BO66" s="329"/>
      <c r="BP66" s="330"/>
      <c r="BQ66" s="330"/>
      <c r="BR66" s="330"/>
      <c r="BS66" s="330"/>
      <c r="BT66" s="330"/>
      <c r="BU66" s="330"/>
      <c r="BV66" s="330"/>
      <c r="BW66" s="330"/>
      <c r="BX66" s="330"/>
      <c r="BY66" s="330"/>
      <c r="BZ66" s="331"/>
      <c r="CA66" s="326"/>
      <c r="CB66" s="332">
        <f t="shared" si="29"/>
        <v>0</v>
      </c>
      <c r="CC66" s="333">
        <f t="shared" si="30"/>
        <v>0</v>
      </c>
      <c r="CD66" s="329"/>
      <c r="CE66" s="330"/>
      <c r="CF66" s="330"/>
      <c r="CG66" s="330"/>
      <c r="CH66" s="330"/>
      <c r="CI66" s="330"/>
      <c r="CJ66" s="330"/>
      <c r="CK66" s="330"/>
      <c r="CL66" s="330"/>
      <c r="CM66" s="330"/>
      <c r="CN66" s="330"/>
      <c r="CO66" s="331"/>
      <c r="CP66" s="326"/>
      <c r="CQ66" s="332">
        <f t="shared" si="31"/>
        <v>0</v>
      </c>
      <c r="CR66" s="333">
        <f t="shared" si="32"/>
        <v>0</v>
      </c>
      <c r="CS66" s="334">
        <f t="shared" si="33"/>
        <v>0</v>
      </c>
      <c r="CT66" s="335">
        <f t="shared" si="34"/>
        <v>0</v>
      </c>
      <c r="CU66" s="417">
        <f t="shared" si="38"/>
        <v>0</v>
      </c>
      <c r="CV66" s="529" t="str">
        <f t="shared" si="41"/>
        <v xml:space="preserve"> </v>
      </c>
      <c r="CW66" s="529" t="str">
        <f t="shared" si="42"/>
        <v xml:space="preserve"> </v>
      </c>
      <c r="CX66" s="528">
        <f t="shared" si="39"/>
        <v>0</v>
      </c>
    </row>
    <row r="67" spans="1:102" s="33" customFormat="1" ht="24.75" customHeight="1" thickBot="1">
      <c r="A67" s="1051" t="s">
        <v>136</v>
      </c>
      <c r="B67" s="1048" t="s">
        <v>1725</v>
      </c>
      <c r="C67" s="1048" t="s">
        <v>1724</v>
      </c>
      <c r="D67" s="34"/>
      <c r="E67" s="125" t="s">
        <v>107</v>
      </c>
      <c r="F67" s="30"/>
      <c r="G67" s="31"/>
      <c r="H67" s="31"/>
      <c r="I67" s="848"/>
      <c r="J67" s="847"/>
      <c r="K67" s="522" t="str">
        <f t="shared" si="23"/>
        <v xml:space="preserve"> </v>
      </c>
      <c r="L67" s="31"/>
      <c r="M67" s="31"/>
      <c r="N67" s="401"/>
      <c r="O67" s="698"/>
      <c r="P67" s="674" t="s">
        <v>1990</v>
      </c>
      <c r="Q67" s="857"/>
      <c r="R67" s="182"/>
      <c r="S67" s="326"/>
      <c r="T67" s="399"/>
      <c r="U67" s="328">
        <f t="shared" si="24"/>
        <v>0</v>
      </c>
      <c r="V67" s="858"/>
      <c r="W67" s="856"/>
      <c r="X67" s="856"/>
      <c r="Y67" s="856"/>
      <c r="Z67" s="856"/>
      <c r="AA67" s="856"/>
      <c r="AB67" s="854"/>
      <c r="AC67" s="854"/>
      <c r="AD67" s="854"/>
      <c r="AE67" s="854"/>
      <c r="AF67" s="854"/>
      <c r="AG67" s="855"/>
      <c r="AH67" s="326"/>
      <c r="AI67" s="327">
        <f t="shared" si="25"/>
        <v>0</v>
      </c>
      <c r="AJ67" s="328">
        <f t="shared" si="36"/>
        <v>0</v>
      </c>
      <c r="AK67" s="860"/>
      <c r="AL67" s="861"/>
      <c r="AM67" s="861"/>
      <c r="AN67" s="861"/>
      <c r="AO67" s="861"/>
      <c r="AP67" s="861"/>
      <c r="AQ67" s="861"/>
      <c r="AR67" s="861"/>
      <c r="AS67" s="861"/>
      <c r="AT67" s="861"/>
      <c r="AU67" s="861"/>
      <c r="AV67" s="862"/>
      <c r="AW67" s="326"/>
      <c r="AX67" s="332">
        <f t="shared" si="26"/>
        <v>0</v>
      </c>
      <c r="AY67" s="333">
        <f t="shared" si="37"/>
        <v>0</v>
      </c>
      <c r="AZ67" s="873"/>
      <c r="BA67" s="874"/>
      <c r="BB67" s="874"/>
      <c r="BC67" s="874"/>
      <c r="BD67" s="874"/>
      <c r="BE67" s="874"/>
      <c r="BF67" s="874"/>
      <c r="BG67" s="874"/>
      <c r="BH67" s="874"/>
      <c r="BI67" s="874"/>
      <c r="BJ67" s="874"/>
      <c r="BK67" s="875"/>
      <c r="BL67" s="326"/>
      <c r="BM67" s="332">
        <f t="shared" si="27"/>
        <v>0</v>
      </c>
      <c r="BN67" s="333">
        <f t="shared" si="28"/>
        <v>0</v>
      </c>
      <c r="BO67" s="329"/>
      <c r="BP67" s="330"/>
      <c r="BQ67" s="330"/>
      <c r="BR67" s="330"/>
      <c r="BS67" s="330"/>
      <c r="BT67" s="330"/>
      <c r="BU67" s="330"/>
      <c r="BV67" s="330"/>
      <c r="BW67" s="330"/>
      <c r="BX67" s="330"/>
      <c r="BY67" s="330"/>
      <c r="BZ67" s="331"/>
      <c r="CA67" s="326"/>
      <c r="CB67" s="332">
        <f t="shared" si="29"/>
        <v>0</v>
      </c>
      <c r="CC67" s="333">
        <f t="shared" si="30"/>
        <v>0</v>
      </c>
      <c r="CD67" s="329"/>
      <c r="CE67" s="330"/>
      <c r="CF67" s="330"/>
      <c r="CG67" s="330"/>
      <c r="CH67" s="330"/>
      <c r="CI67" s="330"/>
      <c r="CJ67" s="330"/>
      <c r="CK67" s="330"/>
      <c r="CL67" s="330"/>
      <c r="CM67" s="330"/>
      <c r="CN67" s="330"/>
      <c r="CO67" s="331"/>
      <c r="CP67" s="326"/>
      <c r="CQ67" s="332">
        <f t="shared" si="31"/>
        <v>0</v>
      </c>
      <c r="CR67" s="333">
        <f t="shared" si="32"/>
        <v>0</v>
      </c>
      <c r="CS67" s="334">
        <f t="shared" si="33"/>
        <v>0</v>
      </c>
      <c r="CT67" s="335">
        <f t="shared" si="34"/>
        <v>0</v>
      </c>
      <c r="CU67" s="417">
        <f t="shared" si="38"/>
        <v>0</v>
      </c>
      <c r="CV67" s="529" t="str">
        <f t="shared" si="41"/>
        <v xml:space="preserve"> </v>
      </c>
      <c r="CW67" s="529" t="str">
        <f t="shared" si="42"/>
        <v xml:space="preserve"> </v>
      </c>
      <c r="CX67" s="528">
        <f t="shared" si="39"/>
        <v>0</v>
      </c>
    </row>
    <row r="68" spans="1:102" s="33" customFormat="1" ht="24.75" customHeight="1" thickBot="1">
      <c r="A68" s="1052"/>
      <c r="B68" s="1050"/>
      <c r="C68" s="1050"/>
      <c r="D68" s="34"/>
      <c r="E68" s="125" t="s">
        <v>107</v>
      </c>
      <c r="F68" s="30"/>
      <c r="G68" s="31"/>
      <c r="H68" s="31"/>
      <c r="I68" s="848"/>
      <c r="J68" s="847"/>
      <c r="K68" s="522" t="str">
        <f t="shared" si="23"/>
        <v xml:space="preserve"> </v>
      </c>
      <c r="L68" s="31"/>
      <c r="M68" s="31"/>
      <c r="N68" s="401"/>
      <c r="O68" s="698"/>
      <c r="P68" s="674" t="s">
        <v>1990</v>
      </c>
      <c r="Q68" s="857"/>
      <c r="R68" s="182"/>
      <c r="S68" s="326"/>
      <c r="T68" s="399"/>
      <c r="U68" s="328">
        <f t="shared" si="24"/>
        <v>0</v>
      </c>
      <c r="V68" s="858"/>
      <c r="W68" s="856"/>
      <c r="X68" s="856"/>
      <c r="Y68" s="856"/>
      <c r="Z68" s="856"/>
      <c r="AA68" s="856"/>
      <c r="AB68" s="854"/>
      <c r="AC68" s="854"/>
      <c r="AD68" s="854"/>
      <c r="AE68" s="854"/>
      <c r="AF68" s="854"/>
      <c r="AG68" s="855"/>
      <c r="AH68" s="326"/>
      <c r="AI68" s="327">
        <f t="shared" si="25"/>
        <v>0</v>
      </c>
      <c r="AJ68" s="328">
        <f t="shared" si="36"/>
        <v>0</v>
      </c>
      <c r="AK68" s="860"/>
      <c r="AL68" s="861"/>
      <c r="AM68" s="861"/>
      <c r="AN68" s="861"/>
      <c r="AO68" s="861"/>
      <c r="AP68" s="861"/>
      <c r="AQ68" s="861"/>
      <c r="AR68" s="861"/>
      <c r="AS68" s="861"/>
      <c r="AT68" s="861"/>
      <c r="AU68" s="861"/>
      <c r="AV68" s="862"/>
      <c r="AW68" s="326"/>
      <c r="AX68" s="332">
        <f t="shared" si="26"/>
        <v>0</v>
      </c>
      <c r="AY68" s="333">
        <f t="shared" si="37"/>
        <v>0</v>
      </c>
      <c r="AZ68" s="873"/>
      <c r="BA68" s="874"/>
      <c r="BB68" s="874"/>
      <c r="BC68" s="874"/>
      <c r="BD68" s="874"/>
      <c r="BE68" s="874"/>
      <c r="BF68" s="874"/>
      <c r="BG68" s="874"/>
      <c r="BH68" s="874"/>
      <c r="BI68" s="874"/>
      <c r="BJ68" s="874"/>
      <c r="BK68" s="875"/>
      <c r="BL68" s="326"/>
      <c r="BM68" s="332">
        <f t="shared" si="27"/>
        <v>0</v>
      </c>
      <c r="BN68" s="333">
        <f t="shared" si="28"/>
        <v>0</v>
      </c>
      <c r="BO68" s="329"/>
      <c r="BP68" s="330"/>
      <c r="BQ68" s="330"/>
      <c r="BR68" s="330"/>
      <c r="BS68" s="330"/>
      <c r="BT68" s="330"/>
      <c r="BU68" s="330"/>
      <c r="BV68" s="330"/>
      <c r="BW68" s="330"/>
      <c r="BX68" s="330"/>
      <c r="BY68" s="330"/>
      <c r="BZ68" s="331"/>
      <c r="CA68" s="326"/>
      <c r="CB68" s="332">
        <f t="shared" si="29"/>
        <v>0</v>
      </c>
      <c r="CC68" s="333">
        <f t="shared" si="30"/>
        <v>0</v>
      </c>
      <c r="CD68" s="329"/>
      <c r="CE68" s="330"/>
      <c r="CF68" s="330"/>
      <c r="CG68" s="330"/>
      <c r="CH68" s="330"/>
      <c r="CI68" s="330"/>
      <c r="CJ68" s="330"/>
      <c r="CK68" s="330"/>
      <c r="CL68" s="330"/>
      <c r="CM68" s="330"/>
      <c r="CN68" s="330"/>
      <c r="CO68" s="331"/>
      <c r="CP68" s="326"/>
      <c r="CQ68" s="332">
        <f t="shared" si="31"/>
        <v>0</v>
      </c>
      <c r="CR68" s="333">
        <f t="shared" si="32"/>
        <v>0</v>
      </c>
      <c r="CS68" s="334">
        <f t="shared" si="33"/>
        <v>0</v>
      </c>
      <c r="CT68" s="335">
        <f t="shared" si="34"/>
        <v>0</v>
      </c>
      <c r="CU68" s="417">
        <f t="shared" si="38"/>
        <v>0</v>
      </c>
      <c r="CV68" s="529" t="str">
        <f t="shared" si="41"/>
        <v xml:space="preserve"> </v>
      </c>
      <c r="CW68" s="529" t="str">
        <f t="shared" si="42"/>
        <v xml:space="preserve"> </v>
      </c>
      <c r="CX68" s="528">
        <f t="shared" si="39"/>
        <v>0</v>
      </c>
    </row>
    <row r="69" spans="1:102" s="33" customFormat="1" ht="24.75" customHeight="1" thickBot="1">
      <c r="A69" s="1051" t="s">
        <v>137</v>
      </c>
      <c r="B69" s="1048" t="s">
        <v>1509</v>
      </c>
      <c r="C69" s="1048" t="s">
        <v>93</v>
      </c>
      <c r="D69" s="34"/>
      <c r="E69" s="125" t="s">
        <v>107</v>
      </c>
      <c r="F69" s="30"/>
      <c r="G69" s="31"/>
      <c r="H69" s="31"/>
      <c r="I69" s="849">
        <v>43539</v>
      </c>
      <c r="J69" s="847">
        <v>30</v>
      </c>
      <c r="K69" s="522">
        <f t="shared" si="23"/>
        <v>43569</v>
      </c>
      <c r="L69" s="31"/>
      <c r="M69" s="31"/>
      <c r="N69" s="401"/>
      <c r="O69" s="698"/>
      <c r="P69" s="674" t="s">
        <v>1990</v>
      </c>
      <c r="Q69" s="857">
        <v>87230.769230769205</v>
      </c>
      <c r="R69" s="182"/>
      <c r="S69" s="326"/>
      <c r="T69" s="399"/>
      <c r="U69" s="328">
        <f t="shared" si="24"/>
        <v>0</v>
      </c>
      <c r="V69" s="858"/>
      <c r="W69" s="856"/>
      <c r="X69" s="856"/>
      <c r="Y69" s="856"/>
      <c r="Z69" s="856"/>
      <c r="AA69" s="856"/>
      <c r="AB69" s="854"/>
      <c r="AC69" s="854"/>
      <c r="AD69" s="854"/>
      <c r="AE69" s="854"/>
      <c r="AF69" s="854"/>
      <c r="AG69" s="855"/>
      <c r="AH69" s="326"/>
      <c r="AI69" s="327">
        <f t="shared" si="25"/>
        <v>0</v>
      </c>
      <c r="AJ69" s="328">
        <f t="shared" si="36"/>
        <v>0</v>
      </c>
      <c r="AK69" s="860"/>
      <c r="AL69" s="861"/>
      <c r="AM69" s="861"/>
      <c r="AN69" s="861"/>
      <c r="AO69" s="861"/>
      <c r="AP69" s="861"/>
      <c r="AQ69" s="861"/>
      <c r="AR69" s="861"/>
      <c r="AS69" s="861"/>
      <c r="AT69" s="861"/>
      <c r="AU69" s="861"/>
      <c r="AV69" s="862"/>
      <c r="AW69" s="326"/>
      <c r="AX69" s="332">
        <f t="shared" si="26"/>
        <v>0</v>
      </c>
      <c r="AY69" s="333">
        <f t="shared" si="37"/>
        <v>0</v>
      </c>
      <c r="AZ69" s="887">
        <v>1</v>
      </c>
      <c r="BA69" s="888">
        <v>1</v>
      </c>
      <c r="BB69" s="874"/>
      <c r="BC69" s="874"/>
      <c r="BD69" s="874"/>
      <c r="BE69" s="874"/>
      <c r="BF69" s="874"/>
      <c r="BG69" s="874"/>
      <c r="BH69" s="874"/>
      <c r="BI69" s="874"/>
      <c r="BJ69" s="874"/>
      <c r="BK69" s="875"/>
      <c r="BL69" s="326"/>
      <c r="BM69" s="332">
        <f t="shared" si="27"/>
        <v>2</v>
      </c>
      <c r="BN69" s="333">
        <f t="shared" si="28"/>
        <v>174461.54</v>
      </c>
      <c r="BO69" s="329"/>
      <c r="BP69" s="330"/>
      <c r="BQ69" s="330"/>
      <c r="BR69" s="330"/>
      <c r="BS69" s="330"/>
      <c r="BT69" s="330"/>
      <c r="BU69" s="330"/>
      <c r="BV69" s="330"/>
      <c r="BW69" s="330"/>
      <c r="BX69" s="330"/>
      <c r="BY69" s="330"/>
      <c r="BZ69" s="331"/>
      <c r="CA69" s="326"/>
      <c r="CB69" s="332">
        <f t="shared" si="29"/>
        <v>0</v>
      </c>
      <c r="CC69" s="333">
        <f t="shared" si="30"/>
        <v>0</v>
      </c>
      <c r="CD69" s="329"/>
      <c r="CE69" s="330"/>
      <c r="CF69" s="330"/>
      <c r="CG69" s="330"/>
      <c r="CH69" s="330"/>
      <c r="CI69" s="330"/>
      <c r="CJ69" s="330"/>
      <c r="CK69" s="330"/>
      <c r="CL69" s="330"/>
      <c r="CM69" s="330"/>
      <c r="CN69" s="330"/>
      <c r="CO69" s="331"/>
      <c r="CP69" s="326"/>
      <c r="CQ69" s="332">
        <f t="shared" si="31"/>
        <v>0</v>
      </c>
      <c r="CR69" s="333">
        <f t="shared" si="32"/>
        <v>0</v>
      </c>
      <c r="CS69" s="334">
        <f t="shared" si="33"/>
        <v>0</v>
      </c>
      <c r="CT69" s="335">
        <f t="shared" si="34"/>
        <v>2</v>
      </c>
      <c r="CU69" s="417">
        <f t="shared" si="38"/>
        <v>174461.54</v>
      </c>
      <c r="CV69" s="529" t="str">
        <f t="shared" si="41"/>
        <v xml:space="preserve"> </v>
      </c>
      <c r="CW69" s="529">
        <f t="shared" si="42"/>
        <v>2019</v>
      </c>
      <c r="CX69" s="528">
        <f t="shared" si="39"/>
        <v>174461.54</v>
      </c>
    </row>
    <row r="70" spans="1:102" s="33" customFormat="1" ht="24.75" customHeight="1" thickBot="1">
      <c r="A70" s="1052"/>
      <c r="B70" s="1050"/>
      <c r="C70" s="1050"/>
      <c r="D70" s="34"/>
      <c r="E70" s="125" t="s">
        <v>107</v>
      </c>
      <c r="F70" s="30"/>
      <c r="G70" s="31"/>
      <c r="H70" s="31"/>
      <c r="I70" s="848"/>
      <c r="J70" s="847"/>
      <c r="K70" s="522" t="str">
        <f t="shared" si="23"/>
        <v xml:space="preserve"> </v>
      </c>
      <c r="L70" s="31"/>
      <c r="M70" s="31"/>
      <c r="N70" s="401"/>
      <c r="O70" s="698"/>
      <c r="P70" s="674" t="s">
        <v>1990</v>
      </c>
      <c r="Q70" s="857"/>
      <c r="R70" s="182"/>
      <c r="S70" s="326"/>
      <c r="T70" s="399"/>
      <c r="U70" s="328">
        <f t="shared" si="24"/>
        <v>0</v>
      </c>
      <c r="V70" s="858"/>
      <c r="W70" s="856"/>
      <c r="X70" s="856"/>
      <c r="Y70" s="856"/>
      <c r="Z70" s="856"/>
      <c r="AA70" s="856"/>
      <c r="AB70" s="854"/>
      <c r="AC70" s="854"/>
      <c r="AD70" s="854"/>
      <c r="AE70" s="854"/>
      <c r="AF70" s="854"/>
      <c r="AG70" s="855"/>
      <c r="AH70" s="326"/>
      <c r="AI70" s="327">
        <f t="shared" si="25"/>
        <v>0</v>
      </c>
      <c r="AJ70" s="328">
        <f t="shared" si="36"/>
        <v>0</v>
      </c>
      <c r="AK70" s="860"/>
      <c r="AL70" s="861"/>
      <c r="AM70" s="861"/>
      <c r="AN70" s="861"/>
      <c r="AO70" s="861"/>
      <c r="AP70" s="861"/>
      <c r="AQ70" s="861"/>
      <c r="AR70" s="861"/>
      <c r="AS70" s="861"/>
      <c r="AT70" s="861"/>
      <c r="AU70" s="861"/>
      <c r="AV70" s="862"/>
      <c r="AW70" s="326"/>
      <c r="AX70" s="332">
        <f t="shared" si="26"/>
        <v>0</v>
      </c>
      <c r="AY70" s="333">
        <f t="shared" si="37"/>
        <v>0</v>
      </c>
      <c r="AZ70" s="873"/>
      <c r="BA70" s="874"/>
      <c r="BB70" s="874"/>
      <c r="BC70" s="874"/>
      <c r="BD70" s="874"/>
      <c r="BE70" s="874"/>
      <c r="BF70" s="874"/>
      <c r="BG70" s="874"/>
      <c r="BH70" s="874"/>
      <c r="BI70" s="874"/>
      <c r="BJ70" s="874"/>
      <c r="BK70" s="875"/>
      <c r="BL70" s="326"/>
      <c r="BM70" s="332">
        <f t="shared" si="27"/>
        <v>0</v>
      </c>
      <c r="BN70" s="333">
        <f t="shared" si="28"/>
        <v>0</v>
      </c>
      <c r="BO70" s="329"/>
      <c r="BP70" s="330"/>
      <c r="BQ70" s="330"/>
      <c r="BR70" s="330"/>
      <c r="BS70" s="330"/>
      <c r="BT70" s="330"/>
      <c r="BU70" s="330"/>
      <c r="BV70" s="330"/>
      <c r="BW70" s="330"/>
      <c r="BX70" s="330"/>
      <c r="BY70" s="330"/>
      <c r="BZ70" s="331"/>
      <c r="CA70" s="326"/>
      <c r="CB70" s="332">
        <f t="shared" si="29"/>
        <v>0</v>
      </c>
      <c r="CC70" s="333">
        <f t="shared" si="30"/>
        <v>0</v>
      </c>
      <c r="CD70" s="329"/>
      <c r="CE70" s="330"/>
      <c r="CF70" s="330"/>
      <c r="CG70" s="330"/>
      <c r="CH70" s="330"/>
      <c r="CI70" s="330"/>
      <c r="CJ70" s="330"/>
      <c r="CK70" s="330"/>
      <c r="CL70" s="330"/>
      <c r="CM70" s="330"/>
      <c r="CN70" s="330"/>
      <c r="CO70" s="331"/>
      <c r="CP70" s="326"/>
      <c r="CQ70" s="332">
        <f t="shared" si="31"/>
        <v>0</v>
      </c>
      <c r="CR70" s="333">
        <f t="shared" si="32"/>
        <v>0</v>
      </c>
      <c r="CS70" s="334">
        <f t="shared" si="33"/>
        <v>0</v>
      </c>
      <c r="CT70" s="335">
        <f t="shared" si="34"/>
        <v>0</v>
      </c>
      <c r="CU70" s="417">
        <f t="shared" si="38"/>
        <v>0</v>
      </c>
      <c r="CV70" s="529" t="str">
        <f t="shared" si="41"/>
        <v xml:space="preserve"> </v>
      </c>
      <c r="CW70" s="529" t="str">
        <f t="shared" si="42"/>
        <v xml:space="preserve"> </v>
      </c>
      <c r="CX70" s="528">
        <f t="shared" si="39"/>
        <v>0</v>
      </c>
    </row>
    <row r="71" spans="1:102" s="33" customFormat="1" ht="24.75" customHeight="1" thickBot="1">
      <c r="A71" s="1051" t="s">
        <v>139</v>
      </c>
      <c r="B71" s="1048" t="s">
        <v>1679</v>
      </c>
      <c r="C71" s="1048" t="s">
        <v>1534</v>
      </c>
      <c r="D71" s="34"/>
      <c r="E71" s="125" t="s">
        <v>107</v>
      </c>
      <c r="F71" s="30"/>
      <c r="G71" s="31"/>
      <c r="H71" s="31"/>
      <c r="I71" s="849">
        <v>43539</v>
      </c>
      <c r="J71" s="847">
        <v>30</v>
      </c>
      <c r="K71" s="522">
        <f t="shared" si="23"/>
        <v>43569</v>
      </c>
      <c r="L71" s="31"/>
      <c r="M71" s="31"/>
      <c r="N71" s="401"/>
      <c r="O71" s="698"/>
      <c r="P71" s="674" t="s">
        <v>1990</v>
      </c>
      <c r="Q71" s="857">
        <v>87230.769230769205</v>
      </c>
      <c r="R71" s="182"/>
      <c r="S71" s="326"/>
      <c r="T71" s="399"/>
      <c r="U71" s="328">
        <f t="shared" si="24"/>
        <v>0</v>
      </c>
      <c r="V71" s="858"/>
      <c r="W71" s="856"/>
      <c r="X71" s="856"/>
      <c r="Y71" s="856"/>
      <c r="Z71" s="856"/>
      <c r="AA71" s="856"/>
      <c r="AB71" s="854"/>
      <c r="AC71" s="854"/>
      <c r="AD71" s="854"/>
      <c r="AE71" s="854"/>
      <c r="AF71" s="854"/>
      <c r="AG71" s="855"/>
      <c r="AH71" s="326"/>
      <c r="AI71" s="327">
        <f t="shared" si="25"/>
        <v>0</v>
      </c>
      <c r="AJ71" s="328">
        <f t="shared" si="36"/>
        <v>0</v>
      </c>
      <c r="AK71" s="860"/>
      <c r="AL71" s="861"/>
      <c r="AM71" s="861"/>
      <c r="AN71" s="861"/>
      <c r="AO71" s="861"/>
      <c r="AP71" s="861"/>
      <c r="AQ71" s="861"/>
      <c r="AR71" s="861"/>
      <c r="AS71" s="861"/>
      <c r="AT71" s="861"/>
      <c r="AU71" s="861"/>
      <c r="AV71" s="862"/>
      <c r="AW71" s="326"/>
      <c r="AX71" s="332">
        <f t="shared" si="26"/>
        <v>0</v>
      </c>
      <c r="AY71" s="333">
        <f t="shared" si="37"/>
        <v>0</v>
      </c>
      <c r="AZ71" s="887">
        <v>1</v>
      </c>
      <c r="BA71" s="888">
        <v>1</v>
      </c>
      <c r="BB71" s="874"/>
      <c r="BC71" s="874"/>
      <c r="BD71" s="874"/>
      <c r="BE71" s="874"/>
      <c r="BF71" s="874"/>
      <c r="BG71" s="874"/>
      <c r="BH71" s="874"/>
      <c r="BI71" s="874"/>
      <c r="BJ71" s="874"/>
      <c r="BK71" s="875"/>
      <c r="BL71" s="326"/>
      <c r="BM71" s="332">
        <f t="shared" si="27"/>
        <v>2</v>
      </c>
      <c r="BN71" s="333">
        <f t="shared" si="28"/>
        <v>174461.54</v>
      </c>
      <c r="BO71" s="329"/>
      <c r="BP71" s="330"/>
      <c r="BQ71" s="330"/>
      <c r="BR71" s="330"/>
      <c r="BS71" s="330"/>
      <c r="BT71" s="330"/>
      <c r="BU71" s="330"/>
      <c r="BV71" s="330"/>
      <c r="BW71" s="330"/>
      <c r="BX71" s="330"/>
      <c r="BY71" s="330"/>
      <c r="BZ71" s="331"/>
      <c r="CA71" s="326"/>
      <c r="CB71" s="332">
        <f t="shared" si="29"/>
        <v>0</v>
      </c>
      <c r="CC71" s="333">
        <f t="shared" si="30"/>
        <v>0</v>
      </c>
      <c r="CD71" s="329"/>
      <c r="CE71" s="330"/>
      <c r="CF71" s="330"/>
      <c r="CG71" s="330"/>
      <c r="CH71" s="330"/>
      <c r="CI71" s="330"/>
      <c r="CJ71" s="330"/>
      <c r="CK71" s="330"/>
      <c r="CL71" s="330"/>
      <c r="CM71" s="330"/>
      <c r="CN71" s="330"/>
      <c r="CO71" s="331"/>
      <c r="CP71" s="326"/>
      <c r="CQ71" s="332">
        <f t="shared" si="31"/>
        <v>0</v>
      </c>
      <c r="CR71" s="333">
        <f t="shared" si="32"/>
        <v>0</v>
      </c>
      <c r="CS71" s="334">
        <f t="shared" si="33"/>
        <v>0</v>
      </c>
      <c r="CT71" s="335">
        <f t="shared" si="34"/>
        <v>2</v>
      </c>
      <c r="CU71" s="417">
        <f t="shared" si="38"/>
        <v>174461.54</v>
      </c>
      <c r="CV71" s="529" t="str">
        <f t="shared" si="41"/>
        <v xml:space="preserve"> </v>
      </c>
      <c r="CW71" s="529">
        <f t="shared" si="42"/>
        <v>2019</v>
      </c>
      <c r="CX71" s="528">
        <f t="shared" si="39"/>
        <v>174461.54</v>
      </c>
    </row>
    <row r="72" spans="1:102" s="33" customFormat="1" ht="24.75" customHeight="1" thickBot="1">
      <c r="A72" s="1052"/>
      <c r="B72" s="1050"/>
      <c r="C72" s="1050"/>
      <c r="D72" s="34"/>
      <c r="E72" s="125" t="s">
        <v>107</v>
      </c>
      <c r="F72" s="30"/>
      <c r="G72" s="31"/>
      <c r="H72" s="31"/>
      <c r="I72" s="848"/>
      <c r="J72" s="847"/>
      <c r="K72" s="522" t="str">
        <f t="shared" si="23"/>
        <v xml:space="preserve"> </v>
      </c>
      <c r="L72" s="31"/>
      <c r="M72" s="31"/>
      <c r="N72" s="401"/>
      <c r="O72" s="698"/>
      <c r="P72" s="674" t="s">
        <v>1990</v>
      </c>
      <c r="Q72" s="857"/>
      <c r="R72" s="182"/>
      <c r="S72" s="326"/>
      <c r="T72" s="399"/>
      <c r="U72" s="328">
        <f t="shared" si="24"/>
        <v>0</v>
      </c>
      <c r="V72" s="858"/>
      <c r="W72" s="856"/>
      <c r="X72" s="856"/>
      <c r="Y72" s="856"/>
      <c r="Z72" s="856"/>
      <c r="AA72" s="856"/>
      <c r="AB72" s="854"/>
      <c r="AC72" s="854"/>
      <c r="AD72" s="854"/>
      <c r="AE72" s="854"/>
      <c r="AF72" s="854"/>
      <c r="AG72" s="855"/>
      <c r="AH72" s="326"/>
      <c r="AI72" s="327">
        <f t="shared" si="25"/>
        <v>0</v>
      </c>
      <c r="AJ72" s="328">
        <f t="shared" si="36"/>
        <v>0</v>
      </c>
      <c r="AK72" s="860"/>
      <c r="AL72" s="861"/>
      <c r="AM72" s="861"/>
      <c r="AN72" s="861"/>
      <c r="AO72" s="861"/>
      <c r="AP72" s="861"/>
      <c r="AQ72" s="861"/>
      <c r="AR72" s="861"/>
      <c r="AS72" s="861"/>
      <c r="AT72" s="861"/>
      <c r="AU72" s="861"/>
      <c r="AV72" s="862"/>
      <c r="AW72" s="326"/>
      <c r="AX72" s="332">
        <f t="shared" si="26"/>
        <v>0</v>
      </c>
      <c r="AY72" s="333">
        <f t="shared" si="37"/>
        <v>0</v>
      </c>
      <c r="AZ72" s="873"/>
      <c r="BA72" s="874"/>
      <c r="BB72" s="874"/>
      <c r="BC72" s="874"/>
      <c r="BD72" s="874"/>
      <c r="BE72" s="874"/>
      <c r="BF72" s="874"/>
      <c r="BG72" s="874"/>
      <c r="BH72" s="874"/>
      <c r="BI72" s="874"/>
      <c r="BJ72" s="874"/>
      <c r="BK72" s="875"/>
      <c r="BL72" s="326"/>
      <c r="BM72" s="332">
        <f t="shared" si="27"/>
        <v>0</v>
      </c>
      <c r="BN72" s="333">
        <f t="shared" si="28"/>
        <v>0</v>
      </c>
      <c r="BO72" s="329"/>
      <c r="BP72" s="330"/>
      <c r="BQ72" s="330"/>
      <c r="BR72" s="330"/>
      <c r="BS72" s="330"/>
      <c r="BT72" s="330"/>
      <c r="BU72" s="330"/>
      <c r="BV72" s="330"/>
      <c r="BW72" s="330"/>
      <c r="BX72" s="330"/>
      <c r="BY72" s="330"/>
      <c r="BZ72" s="331"/>
      <c r="CA72" s="326"/>
      <c r="CB72" s="332">
        <f t="shared" si="29"/>
        <v>0</v>
      </c>
      <c r="CC72" s="333">
        <f t="shared" si="30"/>
        <v>0</v>
      </c>
      <c r="CD72" s="329"/>
      <c r="CE72" s="330"/>
      <c r="CF72" s="330"/>
      <c r="CG72" s="330"/>
      <c r="CH72" s="330"/>
      <c r="CI72" s="330"/>
      <c r="CJ72" s="330"/>
      <c r="CK72" s="330"/>
      <c r="CL72" s="330"/>
      <c r="CM72" s="330"/>
      <c r="CN72" s="330"/>
      <c r="CO72" s="331"/>
      <c r="CP72" s="326"/>
      <c r="CQ72" s="332">
        <f t="shared" si="31"/>
        <v>0</v>
      </c>
      <c r="CR72" s="333">
        <f t="shared" si="32"/>
        <v>0</v>
      </c>
      <c r="CS72" s="334">
        <f t="shared" si="33"/>
        <v>0</v>
      </c>
      <c r="CT72" s="335">
        <f t="shared" si="34"/>
        <v>0</v>
      </c>
      <c r="CU72" s="417">
        <f t="shared" si="38"/>
        <v>0</v>
      </c>
      <c r="CV72" s="529" t="str">
        <f t="shared" si="41"/>
        <v xml:space="preserve"> </v>
      </c>
      <c r="CW72" s="529" t="str">
        <f t="shared" si="42"/>
        <v xml:space="preserve"> </v>
      </c>
      <c r="CX72" s="528">
        <f t="shared" si="39"/>
        <v>0</v>
      </c>
    </row>
    <row r="73" spans="1:102" s="33" customFormat="1" ht="24.75" customHeight="1" thickBot="1">
      <c r="A73" s="1051" t="s">
        <v>140</v>
      </c>
      <c r="B73" s="1048" t="s">
        <v>1510</v>
      </c>
      <c r="C73" s="1048" t="s">
        <v>1535</v>
      </c>
      <c r="D73" s="34"/>
      <c r="E73" s="125" t="s">
        <v>107</v>
      </c>
      <c r="F73" s="30"/>
      <c r="G73" s="31"/>
      <c r="H73" s="31"/>
      <c r="I73" s="848"/>
      <c r="J73" s="847"/>
      <c r="K73" s="522" t="str">
        <f t="shared" si="23"/>
        <v xml:space="preserve"> </v>
      </c>
      <c r="L73" s="31"/>
      <c r="M73" s="31"/>
      <c r="N73" s="401"/>
      <c r="O73" s="698"/>
      <c r="P73" s="674" t="s">
        <v>1990</v>
      </c>
      <c r="Q73" s="857"/>
      <c r="R73" s="182"/>
      <c r="S73" s="326"/>
      <c r="T73" s="399"/>
      <c r="U73" s="328">
        <f t="shared" si="24"/>
        <v>0</v>
      </c>
      <c r="V73" s="858"/>
      <c r="W73" s="856"/>
      <c r="X73" s="856"/>
      <c r="Y73" s="856"/>
      <c r="Z73" s="856"/>
      <c r="AA73" s="856"/>
      <c r="AB73" s="854"/>
      <c r="AC73" s="854"/>
      <c r="AD73" s="854"/>
      <c r="AE73" s="854"/>
      <c r="AF73" s="854"/>
      <c r="AG73" s="855"/>
      <c r="AH73" s="326"/>
      <c r="AI73" s="327">
        <f t="shared" si="25"/>
        <v>0</v>
      </c>
      <c r="AJ73" s="328">
        <f t="shared" si="36"/>
        <v>0</v>
      </c>
      <c r="AK73" s="860"/>
      <c r="AL73" s="861"/>
      <c r="AM73" s="861"/>
      <c r="AN73" s="861"/>
      <c r="AO73" s="861"/>
      <c r="AP73" s="861"/>
      <c r="AQ73" s="861"/>
      <c r="AR73" s="861"/>
      <c r="AS73" s="861"/>
      <c r="AT73" s="861"/>
      <c r="AU73" s="861"/>
      <c r="AV73" s="862"/>
      <c r="AW73" s="326"/>
      <c r="AX73" s="332">
        <f t="shared" si="26"/>
        <v>0</v>
      </c>
      <c r="AY73" s="333">
        <f t="shared" si="37"/>
        <v>0</v>
      </c>
      <c r="AZ73" s="873"/>
      <c r="BA73" s="874"/>
      <c r="BB73" s="874"/>
      <c r="BC73" s="874"/>
      <c r="BD73" s="874"/>
      <c r="BE73" s="874"/>
      <c r="BF73" s="874"/>
      <c r="BG73" s="874"/>
      <c r="BH73" s="874"/>
      <c r="BI73" s="874"/>
      <c r="BJ73" s="874"/>
      <c r="BK73" s="875"/>
      <c r="BL73" s="326"/>
      <c r="BM73" s="332">
        <f t="shared" si="27"/>
        <v>0</v>
      </c>
      <c r="BN73" s="333">
        <f t="shared" si="28"/>
        <v>0</v>
      </c>
      <c r="BO73" s="329"/>
      <c r="BP73" s="330"/>
      <c r="BQ73" s="330"/>
      <c r="BR73" s="330"/>
      <c r="BS73" s="330"/>
      <c r="BT73" s="330"/>
      <c r="BU73" s="330"/>
      <c r="BV73" s="330"/>
      <c r="BW73" s="330"/>
      <c r="BX73" s="330"/>
      <c r="BY73" s="330"/>
      <c r="BZ73" s="331"/>
      <c r="CA73" s="326"/>
      <c r="CB73" s="332">
        <f t="shared" si="29"/>
        <v>0</v>
      </c>
      <c r="CC73" s="333">
        <f t="shared" si="30"/>
        <v>0</v>
      </c>
      <c r="CD73" s="329"/>
      <c r="CE73" s="330"/>
      <c r="CF73" s="330"/>
      <c r="CG73" s="330"/>
      <c r="CH73" s="330"/>
      <c r="CI73" s="330"/>
      <c r="CJ73" s="330"/>
      <c r="CK73" s="330"/>
      <c r="CL73" s="330"/>
      <c r="CM73" s="330"/>
      <c r="CN73" s="330"/>
      <c r="CO73" s="331"/>
      <c r="CP73" s="326"/>
      <c r="CQ73" s="332">
        <f t="shared" si="31"/>
        <v>0</v>
      </c>
      <c r="CR73" s="333">
        <f t="shared" si="32"/>
        <v>0</v>
      </c>
      <c r="CS73" s="334">
        <f t="shared" si="33"/>
        <v>0</v>
      </c>
      <c r="CT73" s="335">
        <f t="shared" si="34"/>
        <v>0</v>
      </c>
      <c r="CU73" s="417">
        <f t="shared" si="38"/>
        <v>0</v>
      </c>
      <c r="CV73" s="529" t="str">
        <f t="shared" si="41"/>
        <v xml:space="preserve"> </v>
      </c>
      <c r="CW73" s="529" t="str">
        <f t="shared" si="42"/>
        <v xml:space="preserve"> </v>
      </c>
      <c r="CX73" s="528">
        <f t="shared" si="39"/>
        <v>0</v>
      </c>
    </row>
    <row r="74" spans="1:102" s="33" customFormat="1" ht="24.75" customHeight="1" thickBot="1">
      <c r="A74" s="1052"/>
      <c r="B74" s="1050"/>
      <c r="C74" s="1050"/>
      <c r="D74" s="34"/>
      <c r="E74" s="125" t="s">
        <v>107</v>
      </c>
      <c r="F74" s="30"/>
      <c r="G74" s="31"/>
      <c r="H74" s="31"/>
      <c r="I74" s="848"/>
      <c r="J74" s="847"/>
      <c r="K74" s="522" t="str">
        <f t="shared" si="23"/>
        <v xml:space="preserve"> </v>
      </c>
      <c r="L74" s="31"/>
      <c r="M74" s="31"/>
      <c r="N74" s="401"/>
      <c r="O74" s="698"/>
      <c r="P74" s="674" t="s">
        <v>1990</v>
      </c>
      <c r="Q74" s="857"/>
      <c r="R74" s="182"/>
      <c r="S74" s="326"/>
      <c r="T74" s="399"/>
      <c r="U74" s="328">
        <f t="shared" si="24"/>
        <v>0</v>
      </c>
      <c r="V74" s="858"/>
      <c r="W74" s="856"/>
      <c r="X74" s="856"/>
      <c r="Y74" s="856"/>
      <c r="Z74" s="856"/>
      <c r="AA74" s="856"/>
      <c r="AB74" s="854"/>
      <c r="AC74" s="854"/>
      <c r="AD74" s="854"/>
      <c r="AE74" s="854"/>
      <c r="AF74" s="854"/>
      <c r="AG74" s="855"/>
      <c r="AH74" s="326"/>
      <c r="AI74" s="327">
        <f t="shared" si="25"/>
        <v>0</v>
      </c>
      <c r="AJ74" s="328">
        <f t="shared" si="36"/>
        <v>0</v>
      </c>
      <c r="AK74" s="860"/>
      <c r="AL74" s="861"/>
      <c r="AM74" s="861"/>
      <c r="AN74" s="861"/>
      <c r="AO74" s="861"/>
      <c r="AP74" s="861"/>
      <c r="AQ74" s="861"/>
      <c r="AR74" s="861"/>
      <c r="AS74" s="861"/>
      <c r="AT74" s="861"/>
      <c r="AU74" s="861"/>
      <c r="AV74" s="862"/>
      <c r="AW74" s="326"/>
      <c r="AX74" s="332">
        <f t="shared" si="26"/>
        <v>0</v>
      </c>
      <c r="AY74" s="333">
        <f t="shared" si="37"/>
        <v>0</v>
      </c>
      <c r="AZ74" s="873"/>
      <c r="BA74" s="874"/>
      <c r="BB74" s="874"/>
      <c r="BC74" s="874"/>
      <c r="BD74" s="874"/>
      <c r="BE74" s="874"/>
      <c r="BF74" s="874"/>
      <c r="BG74" s="874"/>
      <c r="BH74" s="874"/>
      <c r="BI74" s="874"/>
      <c r="BJ74" s="874"/>
      <c r="BK74" s="875"/>
      <c r="BL74" s="326"/>
      <c r="BM74" s="332">
        <f t="shared" si="27"/>
        <v>0</v>
      </c>
      <c r="BN74" s="333">
        <f t="shared" si="28"/>
        <v>0</v>
      </c>
      <c r="BO74" s="329"/>
      <c r="BP74" s="330"/>
      <c r="BQ74" s="330"/>
      <c r="BR74" s="330"/>
      <c r="BS74" s="330"/>
      <c r="BT74" s="330"/>
      <c r="BU74" s="330"/>
      <c r="BV74" s="330"/>
      <c r="BW74" s="330"/>
      <c r="BX74" s="330"/>
      <c r="BY74" s="330"/>
      <c r="BZ74" s="331"/>
      <c r="CA74" s="326"/>
      <c r="CB74" s="332">
        <f t="shared" si="29"/>
        <v>0</v>
      </c>
      <c r="CC74" s="333">
        <f t="shared" si="30"/>
        <v>0</v>
      </c>
      <c r="CD74" s="329"/>
      <c r="CE74" s="330"/>
      <c r="CF74" s="330"/>
      <c r="CG74" s="330"/>
      <c r="CH74" s="330"/>
      <c r="CI74" s="330"/>
      <c r="CJ74" s="330"/>
      <c r="CK74" s="330"/>
      <c r="CL74" s="330"/>
      <c r="CM74" s="330"/>
      <c r="CN74" s="330"/>
      <c r="CO74" s="331"/>
      <c r="CP74" s="326"/>
      <c r="CQ74" s="332">
        <f t="shared" si="31"/>
        <v>0</v>
      </c>
      <c r="CR74" s="333">
        <f t="shared" si="32"/>
        <v>0</v>
      </c>
      <c r="CS74" s="334">
        <f t="shared" si="33"/>
        <v>0</v>
      </c>
      <c r="CT74" s="335">
        <f t="shared" si="34"/>
        <v>0</v>
      </c>
      <c r="CU74" s="417">
        <f t="shared" si="38"/>
        <v>0</v>
      </c>
      <c r="CV74" s="529" t="str">
        <f t="shared" si="41"/>
        <v xml:space="preserve"> </v>
      </c>
      <c r="CW74" s="529" t="str">
        <f t="shared" si="42"/>
        <v xml:space="preserve"> </v>
      </c>
      <c r="CX74" s="528">
        <f t="shared" si="39"/>
        <v>0</v>
      </c>
    </row>
    <row r="75" spans="1:102" s="33" customFormat="1" ht="24.75" customHeight="1" thickBot="1">
      <c r="A75" s="1051" t="s">
        <v>141</v>
      </c>
      <c r="B75" s="1048" t="s">
        <v>1511</v>
      </c>
      <c r="C75" s="1048" t="s">
        <v>1492</v>
      </c>
      <c r="D75" s="34"/>
      <c r="E75" s="125" t="s">
        <v>107</v>
      </c>
      <c r="F75" s="30"/>
      <c r="G75" s="31"/>
      <c r="H75" s="31"/>
      <c r="I75" s="848"/>
      <c r="J75" s="847"/>
      <c r="K75" s="522" t="str">
        <f t="shared" si="23"/>
        <v xml:space="preserve"> </v>
      </c>
      <c r="L75" s="31"/>
      <c r="M75" s="31"/>
      <c r="N75" s="401"/>
      <c r="O75" s="698"/>
      <c r="P75" s="674" t="s">
        <v>1990</v>
      </c>
      <c r="Q75" s="857"/>
      <c r="R75" s="182"/>
      <c r="S75" s="326"/>
      <c r="T75" s="399"/>
      <c r="U75" s="328">
        <f t="shared" si="24"/>
        <v>0</v>
      </c>
      <c r="V75" s="858"/>
      <c r="W75" s="856"/>
      <c r="X75" s="856"/>
      <c r="Y75" s="856"/>
      <c r="Z75" s="856"/>
      <c r="AA75" s="856"/>
      <c r="AB75" s="854"/>
      <c r="AC75" s="854"/>
      <c r="AD75" s="854"/>
      <c r="AE75" s="854"/>
      <c r="AF75" s="854"/>
      <c r="AG75" s="855"/>
      <c r="AH75" s="326"/>
      <c r="AI75" s="327">
        <f t="shared" si="25"/>
        <v>0</v>
      </c>
      <c r="AJ75" s="328">
        <f t="shared" si="36"/>
        <v>0</v>
      </c>
      <c r="AK75" s="860"/>
      <c r="AL75" s="861"/>
      <c r="AM75" s="861"/>
      <c r="AN75" s="861"/>
      <c r="AO75" s="861"/>
      <c r="AP75" s="861"/>
      <c r="AQ75" s="861"/>
      <c r="AR75" s="861"/>
      <c r="AS75" s="861"/>
      <c r="AT75" s="861"/>
      <c r="AU75" s="861"/>
      <c r="AV75" s="862"/>
      <c r="AW75" s="326"/>
      <c r="AX75" s="332">
        <f t="shared" si="26"/>
        <v>0</v>
      </c>
      <c r="AY75" s="333">
        <f t="shared" si="37"/>
        <v>0</v>
      </c>
      <c r="AZ75" s="873"/>
      <c r="BA75" s="874"/>
      <c r="BB75" s="874"/>
      <c r="BC75" s="874"/>
      <c r="BD75" s="874"/>
      <c r="BE75" s="874"/>
      <c r="BF75" s="874"/>
      <c r="BG75" s="874"/>
      <c r="BH75" s="874"/>
      <c r="BI75" s="874"/>
      <c r="BJ75" s="874"/>
      <c r="BK75" s="875"/>
      <c r="BL75" s="326"/>
      <c r="BM75" s="332">
        <f t="shared" si="27"/>
        <v>0</v>
      </c>
      <c r="BN75" s="333">
        <f t="shared" si="28"/>
        <v>0</v>
      </c>
      <c r="BO75" s="329"/>
      <c r="BP75" s="330"/>
      <c r="BQ75" s="330"/>
      <c r="BR75" s="330"/>
      <c r="BS75" s="330"/>
      <c r="BT75" s="330"/>
      <c r="BU75" s="330"/>
      <c r="BV75" s="330"/>
      <c r="BW75" s="330"/>
      <c r="BX75" s="330"/>
      <c r="BY75" s="330"/>
      <c r="BZ75" s="331"/>
      <c r="CA75" s="326"/>
      <c r="CB75" s="332">
        <f t="shared" si="29"/>
        <v>0</v>
      </c>
      <c r="CC75" s="333">
        <f t="shared" si="30"/>
        <v>0</v>
      </c>
      <c r="CD75" s="329"/>
      <c r="CE75" s="330"/>
      <c r="CF75" s="330"/>
      <c r="CG75" s="330"/>
      <c r="CH75" s="330"/>
      <c r="CI75" s="330"/>
      <c r="CJ75" s="330"/>
      <c r="CK75" s="330"/>
      <c r="CL75" s="330"/>
      <c r="CM75" s="330"/>
      <c r="CN75" s="330"/>
      <c r="CO75" s="331"/>
      <c r="CP75" s="326"/>
      <c r="CQ75" s="332">
        <f t="shared" si="31"/>
        <v>0</v>
      </c>
      <c r="CR75" s="333">
        <f t="shared" si="32"/>
        <v>0</v>
      </c>
      <c r="CS75" s="334">
        <f t="shared" si="33"/>
        <v>0</v>
      </c>
      <c r="CT75" s="335">
        <f t="shared" si="34"/>
        <v>0</v>
      </c>
      <c r="CU75" s="417">
        <f t="shared" si="38"/>
        <v>0</v>
      </c>
      <c r="CV75" s="529" t="str">
        <f t="shared" si="41"/>
        <v xml:space="preserve"> </v>
      </c>
      <c r="CW75" s="529" t="str">
        <f t="shared" si="42"/>
        <v xml:space="preserve"> </v>
      </c>
      <c r="CX75" s="528">
        <f t="shared" si="39"/>
        <v>0</v>
      </c>
    </row>
    <row r="76" spans="1:102" s="33" customFormat="1" ht="24.75" customHeight="1" thickBot="1">
      <c r="A76" s="1052"/>
      <c r="B76" s="1050"/>
      <c r="C76" s="1050"/>
      <c r="D76" s="34"/>
      <c r="E76" s="125" t="s">
        <v>107</v>
      </c>
      <c r="F76" s="30"/>
      <c r="G76" s="31"/>
      <c r="H76" s="31"/>
      <c r="I76" s="848"/>
      <c r="J76" s="847"/>
      <c r="K76" s="522" t="str">
        <f t="shared" si="23"/>
        <v xml:space="preserve"> </v>
      </c>
      <c r="L76" s="31"/>
      <c r="M76" s="31"/>
      <c r="N76" s="401"/>
      <c r="O76" s="698"/>
      <c r="P76" s="674" t="s">
        <v>1990</v>
      </c>
      <c r="Q76" s="857"/>
      <c r="R76" s="182"/>
      <c r="S76" s="326"/>
      <c r="T76" s="399"/>
      <c r="U76" s="328">
        <f t="shared" si="24"/>
        <v>0</v>
      </c>
      <c r="V76" s="858"/>
      <c r="W76" s="856"/>
      <c r="X76" s="856"/>
      <c r="Y76" s="856"/>
      <c r="Z76" s="856"/>
      <c r="AA76" s="856"/>
      <c r="AB76" s="854"/>
      <c r="AC76" s="854"/>
      <c r="AD76" s="854"/>
      <c r="AE76" s="854"/>
      <c r="AF76" s="854"/>
      <c r="AG76" s="855"/>
      <c r="AH76" s="326"/>
      <c r="AI76" s="327">
        <f t="shared" si="25"/>
        <v>0</v>
      </c>
      <c r="AJ76" s="328">
        <f t="shared" si="36"/>
        <v>0</v>
      </c>
      <c r="AK76" s="860"/>
      <c r="AL76" s="861"/>
      <c r="AM76" s="861"/>
      <c r="AN76" s="861"/>
      <c r="AO76" s="861"/>
      <c r="AP76" s="861"/>
      <c r="AQ76" s="861"/>
      <c r="AR76" s="861"/>
      <c r="AS76" s="861"/>
      <c r="AT76" s="861"/>
      <c r="AU76" s="861"/>
      <c r="AV76" s="862"/>
      <c r="AW76" s="326"/>
      <c r="AX76" s="332">
        <f t="shared" si="26"/>
        <v>0</v>
      </c>
      <c r="AY76" s="333">
        <f t="shared" si="37"/>
        <v>0</v>
      </c>
      <c r="AZ76" s="873"/>
      <c r="BA76" s="874"/>
      <c r="BB76" s="874"/>
      <c r="BC76" s="874"/>
      <c r="BD76" s="874"/>
      <c r="BE76" s="874"/>
      <c r="BF76" s="874"/>
      <c r="BG76" s="874"/>
      <c r="BH76" s="874"/>
      <c r="BI76" s="874"/>
      <c r="BJ76" s="874"/>
      <c r="BK76" s="875"/>
      <c r="BL76" s="326"/>
      <c r="BM76" s="332">
        <f t="shared" si="27"/>
        <v>0</v>
      </c>
      <c r="BN76" s="333">
        <f t="shared" si="28"/>
        <v>0</v>
      </c>
      <c r="BO76" s="329"/>
      <c r="BP76" s="330"/>
      <c r="BQ76" s="330"/>
      <c r="BR76" s="330"/>
      <c r="BS76" s="330"/>
      <c r="BT76" s="330"/>
      <c r="BU76" s="330"/>
      <c r="BV76" s="330"/>
      <c r="BW76" s="330"/>
      <c r="BX76" s="330"/>
      <c r="BY76" s="330"/>
      <c r="BZ76" s="331"/>
      <c r="CA76" s="326"/>
      <c r="CB76" s="332">
        <f t="shared" si="29"/>
        <v>0</v>
      </c>
      <c r="CC76" s="333">
        <f t="shared" si="30"/>
        <v>0</v>
      </c>
      <c r="CD76" s="329"/>
      <c r="CE76" s="330"/>
      <c r="CF76" s="330"/>
      <c r="CG76" s="330"/>
      <c r="CH76" s="330"/>
      <c r="CI76" s="330"/>
      <c r="CJ76" s="330"/>
      <c r="CK76" s="330"/>
      <c r="CL76" s="330"/>
      <c r="CM76" s="330"/>
      <c r="CN76" s="330"/>
      <c r="CO76" s="331"/>
      <c r="CP76" s="326"/>
      <c r="CQ76" s="332">
        <f t="shared" si="31"/>
        <v>0</v>
      </c>
      <c r="CR76" s="333">
        <f t="shared" si="32"/>
        <v>0</v>
      </c>
      <c r="CS76" s="334">
        <f t="shared" si="33"/>
        <v>0</v>
      </c>
      <c r="CT76" s="335">
        <f t="shared" si="34"/>
        <v>0</v>
      </c>
      <c r="CU76" s="417">
        <f t="shared" si="38"/>
        <v>0</v>
      </c>
      <c r="CV76" s="529" t="str">
        <f t="shared" si="41"/>
        <v xml:space="preserve"> </v>
      </c>
      <c r="CW76" s="529" t="str">
        <f t="shared" si="42"/>
        <v xml:space="preserve"> </v>
      </c>
      <c r="CX76" s="528">
        <f t="shared" si="39"/>
        <v>0</v>
      </c>
    </row>
    <row r="77" spans="1:102" s="33" customFormat="1" ht="24.75" customHeight="1" thickBot="1">
      <c r="A77" s="1051" t="s">
        <v>142</v>
      </c>
      <c r="B77" s="1048" t="s">
        <v>95</v>
      </c>
      <c r="C77" s="1048" t="s">
        <v>1536</v>
      </c>
      <c r="D77" s="34"/>
      <c r="E77" s="125" t="s">
        <v>107</v>
      </c>
      <c r="F77" s="30"/>
      <c r="G77" s="31"/>
      <c r="H77" s="31"/>
      <c r="I77" s="848"/>
      <c r="J77" s="847"/>
      <c r="K77" s="522" t="str">
        <f t="shared" si="23"/>
        <v xml:space="preserve"> </v>
      </c>
      <c r="L77" s="31"/>
      <c r="M77" s="31"/>
      <c r="N77" s="401"/>
      <c r="O77" s="698"/>
      <c r="P77" s="674" t="s">
        <v>1990</v>
      </c>
      <c r="Q77" s="857"/>
      <c r="R77" s="182"/>
      <c r="S77" s="326"/>
      <c r="T77" s="399"/>
      <c r="U77" s="328">
        <f t="shared" si="24"/>
        <v>0</v>
      </c>
      <c r="V77" s="858"/>
      <c r="W77" s="856"/>
      <c r="X77" s="856"/>
      <c r="Y77" s="856"/>
      <c r="Z77" s="856"/>
      <c r="AA77" s="856"/>
      <c r="AB77" s="854"/>
      <c r="AC77" s="854"/>
      <c r="AD77" s="854"/>
      <c r="AE77" s="854"/>
      <c r="AF77" s="854"/>
      <c r="AG77" s="855"/>
      <c r="AH77" s="326"/>
      <c r="AI77" s="327">
        <f t="shared" si="25"/>
        <v>0</v>
      </c>
      <c r="AJ77" s="328">
        <f t="shared" si="36"/>
        <v>0</v>
      </c>
      <c r="AK77" s="860"/>
      <c r="AL77" s="861"/>
      <c r="AM77" s="861"/>
      <c r="AN77" s="861"/>
      <c r="AO77" s="861"/>
      <c r="AP77" s="861"/>
      <c r="AQ77" s="861"/>
      <c r="AR77" s="861"/>
      <c r="AS77" s="861"/>
      <c r="AT77" s="861"/>
      <c r="AU77" s="861"/>
      <c r="AV77" s="862"/>
      <c r="AW77" s="326"/>
      <c r="AX77" s="332">
        <f t="shared" si="26"/>
        <v>0</v>
      </c>
      <c r="AY77" s="333">
        <f t="shared" si="37"/>
        <v>0</v>
      </c>
      <c r="AZ77" s="873"/>
      <c r="BA77" s="874"/>
      <c r="BB77" s="874"/>
      <c r="BC77" s="874"/>
      <c r="BD77" s="874"/>
      <c r="BE77" s="874"/>
      <c r="BF77" s="874"/>
      <c r="BG77" s="874"/>
      <c r="BH77" s="874"/>
      <c r="BI77" s="874"/>
      <c r="BJ77" s="874"/>
      <c r="BK77" s="875"/>
      <c r="BL77" s="326"/>
      <c r="BM77" s="332">
        <f t="shared" si="27"/>
        <v>0</v>
      </c>
      <c r="BN77" s="333">
        <f t="shared" si="28"/>
        <v>0</v>
      </c>
      <c r="BO77" s="329"/>
      <c r="BP77" s="330"/>
      <c r="BQ77" s="330"/>
      <c r="BR77" s="330"/>
      <c r="BS77" s="330"/>
      <c r="BT77" s="330"/>
      <c r="BU77" s="330"/>
      <c r="BV77" s="330"/>
      <c r="BW77" s="330"/>
      <c r="BX77" s="330"/>
      <c r="BY77" s="330"/>
      <c r="BZ77" s="331"/>
      <c r="CA77" s="326"/>
      <c r="CB77" s="332">
        <f t="shared" si="29"/>
        <v>0</v>
      </c>
      <c r="CC77" s="333">
        <f t="shared" si="30"/>
        <v>0</v>
      </c>
      <c r="CD77" s="329"/>
      <c r="CE77" s="330"/>
      <c r="CF77" s="330"/>
      <c r="CG77" s="330"/>
      <c r="CH77" s="330"/>
      <c r="CI77" s="330"/>
      <c r="CJ77" s="330"/>
      <c r="CK77" s="330"/>
      <c r="CL77" s="330"/>
      <c r="CM77" s="330"/>
      <c r="CN77" s="330"/>
      <c r="CO77" s="331"/>
      <c r="CP77" s="326"/>
      <c r="CQ77" s="332">
        <f t="shared" si="31"/>
        <v>0</v>
      </c>
      <c r="CR77" s="333">
        <f t="shared" si="32"/>
        <v>0</v>
      </c>
      <c r="CS77" s="334">
        <f t="shared" si="33"/>
        <v>0</v>
      </c>
      <c r="CT77" s="335">
        <f t="shared" si="34"/>
        <v>0</v>
      </c>
      <c r="CU77" s="417">
        <f t="shared" si="38"/>
        <v>0</v>
      </c>
      <c r="CV77" s="529" t="str">
        <f t="shared" si="41"/>
        <v xml:space="preserve"> </v>
      </c>
      <c r="CW77" s="529" t="str">
        <f t="shared" si="42"/>
        <v xml:space="preserve"> </v>
      </c>
      <c r="CX77" s="528">
        <f t="shared" si="39"/>
        <v>0</v>
      </c>
    </row>
    <row r="78" spans="1:102" s="33" customFormat="1" ht="24.75" customHeight="1" thickBot="1">
      <c r="A78" s="1052"/>
      <c r="B78" s="1050"/>
      <c r="C78" s="1050"/>
      <c r="D78" s="34"/>
      <c r="E78" s="125" t="s">
        <v>107</v>
      </c>
      <c r="F78" s="30"/>
      <c r="G78" s="31"/>
      <c r="H78" s="31"/>
      <c r="I78" s="848"/>
      <c r="J78" s="847"/>
      <c r="K78" s="522" t="str">
        <f t="shared" si="23"/>
        <v xml:space="preserve"> </v>
      </c>
      <c r="L78" s="31"/>
      <c r="M78" s="31"/>
      <c r="N78" s="401"/>
      <c r="O78" s="698"/>
      <c r="P78" s="674" t="s">
        <v>1990</v>
      </c>
      <c r="Q78" s="857"/>
      <c r="R78" s="182"/>
      <c r="S78" s="326"/>
      <c r="T78" s="399"/>
      <c r="U78" s="328">
        <f t="shared" si="24"/>
        <v>0</v>
      </c>
      <c r="V78" s="858"/>
      <c r="W78" s="856"/>
      <c r="X78" s="856"/>
      <c r="Y78" s="856"/>
      <c r="Z78" s="856"/>
      <c r="AA78" s="856"/>
      <c r="AB78" s="854"/>
      <c r="AC78" s="854"/>
      <c r="AD78" s="854"/>
      <c r="AE78" s="854"/>
      <c r="AF78" s="854"/>
      <c r="AG78" s="855"/>
      <c r="AH78" s="326"/>
      <c r="AI78" s="327">
        <f t="shared" si="25"/>
        <v>0</v>
      </c>
      <c r="AJ78" s="328">
        <f t="shared" si="36"/>
        <v>0</v>
      </c>
      <c r="AK78" s="860"/>
      <c r="AL78" s="861"/>
      <c r="AM78" s="861"/>
      <c r="AN78" s="861"/>
      <c r="AO78" s="861"/>
      <c r="AP78" s="861"/>
      <c r="AQ78" s="861"/>
      <c r="AR78" s="861"/>
      <c r="AS78" s="861"/>
      <c r="AT78" s="861"/>
      <c r="AU78" s="861"/>
      <c r="AV78" s="862"/>
      <c r="AW78" s="326"/>
      <c r="AX78" s="332">
        <f t="shared" si="26"/>
        <v>0</v>
      </c>
      <c r="AY78" s="333">
        <f t="shared" si="37"/>
        <v>0</v>
      </c>
      <c r="AZ78" s="873"/>
      <c r="BA78" s="874"/>
      <c r="BB78" s="874"/>
      <c r="BC78" s="874"/>
      <c r="BD78" s="874"/>
      <c r="BE78" s="874"/>
      <c r="BF78" s="874"/>
      <c r="BG78" s="874"/>
      <c r="BH78" s="874"/>
      <c r="BI78" s="874"/>
      <c r="BJ78" s="874"/>
      <c r="BK78" s="875"/>
      <c r="BL78" s="326"/>
      <c r="BM78" s="332">
        <f t="shared" si="27"/>
        <v>0</v>
      </c>
      <c r="BN78" s="333">
        <f t="shared" si="28"/>
        <v>0</v>
      </c>
      <c r="BO78" s="329"/>
      <c r="BP78" s="330"/>
      <c r="BQ78" s="330"/>
      <c r="BR78" s="330"/>
      <c r="BS78" s="330"/>
      <c r="BT78" s="330"/>
      <c r="BU78" s="330"/>
      <c r="BV78" s="330"/>
      <c r="BW78" s="330"/>
      <c r="BX78" s="330"/>
      <c r="BY78" s="330"/>
      <c r="BZ78" s="331"/>
      <c r="CA78" s="326"/>
      <c r="CB78" s="332">
        <f t="shared" si="29"/>
        <v>0</v>
      </c>
      <c r="CC78" s="333">
        <f t="shared" si="30"/>
        <v>0</v>
      </c>
      <c r="CD78" s="329"/>
      <c r="CE78" s="330"/>
      <c r="CF78" s="330"/>
      <c r="CG78" s="330"/>
      <c r="CH78" s="330"/>
      <c r="CI78" s="330"/>
      <c r="CJ78" s="330"/>
      <c r="CK78" s="330"/>
      <c r="CL78" s="330"/>
      <c r="CM78" s="330"/>
      <c r="CN78" s="330"/>
      <c r="CO78" s="331"/>
      <c r="CP78" s="326"/>
      <c r="CQ78" s="332">
        <f t="shared" si="31"/>
        <v>0</v>
      </c>
      <c r="CR78" s="333">
        <f t="shared" si="32"/>
        <v>0</v>
      </c>
      <c r="CS78" s="334">
        <f t="shared" si="33"/>
        <v>0</v>
      </c>
      <c r="CT78" s="335">
        <f t="shared" si="34"/>
        <v>0</v>
      </c>
      <c r="CU78" s="417">
        <f t="shared" si="38"/>
        <v>0</v>
      </c>
      <c r="CV78" s="529" t="str">
        <f t="shared" si="41"/>
        <v xml:space="preserve"> </v>
      </c>
      <c r="CW78" s="529" t="str">
        <f t="shared" si="42"/>
        <v xml:space="preserve"> </v>
      </c>
      <c r="CX78" s="528">
        <f t="shared" si="39"/>
        <v>0</v>
      </c>
    </row>
    <row r="79" spans="1:102" s="33" customFormat="1" ht="24.75" customHeight="1" thickBot="1">
      <c r="A79" s="1051" t="s">
        <v>143</v>
      </c>
      <c r="B79" s="1048" t="s">
        <v>1538</v>
      </c>
      <c r="C79" s="1048" t="s">
        <v>1539</v>
      </c>
      <c r="D79" s="34"/>
      <c r="E79" s="125" t="s">
        <v>107</v>
      </c>
      <c r="F79" s="30"/>
      <c r="G79" s="31"/>
      <c r="H79" s="31"/>
      <c r="I79" s="848"/>
      <c r="J79" s="847"/>
      <c r="K79" s="522" t="str">
        <f t="shared" si="23"/>
        <v xml:space="preserve"> </v>
      </c>
      <c r="L79" s="31"/>
      <c r="M79" s="31"/>
      <c r="N79" s="401"/>
      <c r="O79" s="698"/>
      <c r="P79" s="674" t="s">
        <v>1990</v>
      </c>
      <c r="Q79" s="857"/>
      <c r="R79" s="182"/>
      <c r="S79" s="326"/>
      <c r="T79" s="399"/>
      <c r="U79" s="328">
        <f t="shared" si="24"/>
        <v>0</v>
      </c>
      <c r="V79" s="858"/>
      <c r="W79" s="856"/>
      <c r="X79" s="856"/>
      <c r="Y79" s="856"/>
      <c r="Z79" s="856"/>
      <c r="AA79" s="856"/>
      <c r="AB79" s="854"/>
      <c r="AC79" s="854"/>
      <c r="AD79" s="854"/>
      <c r="AE79" s="854"/>
      <c r="AF79" s="854"/>
      <c r="AG79" s="855"/>
      <c r="AH79" s="326"/>
      <c r="AI79" s="327">
        <f t="shared" si="25"/>
        <v>0</v>
      </c>
      <c r="AJ79" s="328">
        <f t="shared" si="36"/>
        <v>0</v>
      </c>
      <c r="AK79" s="860"/>
      <c r="AL79" s="861"/>
      <c r="AM79" s="861"/>
      <c r="AN79" s="861"/>
      <c r="AO79" s="861"/>
      <c r="AP79" s="861"/>
      <c r="AQ79" s="861"/>
      <c r="AR79" s="861"/>
      <c r="AS79" s="861"/>
      <c r="AT79" s="861"/>
      <c r="AU79" s="861"/>
      <c r="AV79" s="862"/>
      <c r="AW79" s="326"/>
      <c r="AX79" s="332">
        <f t="shared" si="26"/>
        <v>0</v>
      </c>
      <c r="AY79" s="333">
        <f t="shared" si="37"/>
        <v>0</v>
      </c>
      <c r="AZ79" s="873"/>
      <c r="BA79" s="874"/>
      <c r="BB79" s="874"/>
      <c r="BC79" s="874"/>
      <c r="BD79" s="874"/>
      <c r="BE79" s="874"/>
      <c r="BF79" s="874"/>
      <c r="BG79" s="874"/>
      <c r="BH79" s="874"/>
      <c r="BI79" s="874"/>
      <c r="BJ79" s="874"/>
      <c r="BK79" s="875"/>
      <c r="BL79" s="326"/>
      <c r="BM79" s="332">
        <f t="shared" si="27"/>
        <v>0</v>
      </c>
      <c r="BN79" s="333">
        <f t="shared" si="28"/>
        <v>0</v>
      </c>
      <c r="BO79" s="329"/>
      <c r="BP79" s="330"/>
      <c r="BQ79" s="330"/>
      <c r="BR79" s="330"/>
      <c r="BS79" s="330"/>
      <c r="BT79" s="330"/>
      <c r="BU79" s="330"/>
      <c r="BV79" s="330"/>
      <c r="BW79" s="330"/>
      <c r="BX79" s="330"/>
      <c r="BY79" s="330"/>
      <c r="BZ79" s="331"/>
      <c r="CA79" s="326"/>
      <c r="CB79" s="332">
        <f t="shared" si="29"/>
        <v>0</v>
      </c>
      <c r="CC79" s="333">
        <f t="shared" si="30"/>
        <v>0</v>
      </c>
      <c r="CD79" s="329"/>
      <c r="CE79" s="330"/>
      <c r="CF79" s="330"/>
      <c r="CG79" s="330"/>
      <c r="CH79" s="330"/>
      <c r="CI79" s="330"/>
      <c r="CJ79" s="330"/>
      <c r="CK79" s="330"/>
      <c r="CL79" s="330"/>
      <c r="CM79" s="330"/>
      <c r="CN79" s="330"/>
      <c r="CO79" s="331"/>
      <c r="CP79" s="326"/>
      <c r="CQ79" s="332">
        <f t="shared" si="31"/>
        <v>0</v>
      </c>
      <c r="CR79" s="333">
        <f t="shared" si="32"/>
        <v>0</v>
      </c>
      <c r="CS79" s="334">
        <f t="shared" si="33"/>
        <v>0</v>
      </c>
      <c r="CT79" s="335">
        <f t="shared" si="34"/>
        <v>0</v>
      </c>
      <c r="CU79" s="417">
        <f t="shared" si="38"/>
        <v>0</v>
      </c>
      <c r="CV79" s="529" t="str">
        <f t="shared" si="41"/>
        <v xml:space="preserve"> </v>
      </c>
      <c r="CW79" s="529" t="str">
        <f t="shared" si="42"/>
        <v xml:space="preserve"> </v>
      </c>
      <c r="CX79" s="528">
        <f t="shared" si="39"/>
        <v>0</v>
      </c>
    </row>
    <row r="80" spans="1:102" s="33" customFormat="1" ht="24.75" customHeight="1" thickBot="1">
      <c r="A80" s="1052"/>
      <c r="B80" s="1050"/>
      <c r="C80" s="1050"/>
      <c r="D80" s="34"/>
      <c r="E80" s="125" t="s">
        <v>107</v>
      </c>
      <c r="F80" s="30"/>
      <c r="G80" s="31"/>
      <c r="H80" s="31"/>
      <c r="I80" s="848"/>
      <c r="J80" s="847"/>
      <c r="K80" s="522" t="str">
        <f t="shared" si="23"/>
        <v xml:space="preserve"> </v>
      </c>
      <c r="L80" s="31"/>
      <c r="M80" s="31"/>
      <c r="N80" s="401"/>
      <c r="O80" s="698"/>
      <c r="P80" s="674" t="s">
        <v>1990</v>
      </c>
      <c r="Q80" s="857"/>
      <c r="R80" s="182"/>
      <c r="S80" s="326"/>
      <c r="T80" s="399"/>
      <c r="U80" s="328">
        <f t="shared" si="24"/>
        <v>0</v>
      </c>
      <c r="V80" s="858"/>
      <c r="W80" s="856"/>
      <c r="X80" s="856"/>
      <c r="Y80" s="856"/>
      <c r="Z80" s="856"/>
      <c r="AA80" s="856"/>
      <c r="AB80" s="854"/>
      <c r="AC80" s="854"/>
      <c r="AD80" s="854"/>
      <c r="AE80" s="854"/>
      <c r="AF80" s="854"/>
      <c r="AG80" s="855"/>
      <c r="AH80" s="326"/>
      <c r="AI80" s="327">
        <f t="shared" si="25"/>
        <v>0</v>
      </c>
      <c r="AJ80" s="328">
        <f t="shared" si="36"/>
        <v>0</v>
      </c>
      <c r="AK80" s="860"/>
      <c r="AL80" s="861"/>
      <c r="AM80" s="861"/>
      <c r="AN80" s="861"/>
      <c r="AO80" s="861"/>
      <c r="AP80" s="861"/>
      <c r="AQ80" s="861"/>
      <c r="AR80" s="861"/>
      <c r="AS80" s="861"/>
      <c r="AT80" s="861"/>
      <c r="AU80" s="861"/>
      <c r="AV80" s="862"/>
      <c r="AW80" s="326"/>
      <c r="AX80" s="332">
        <f t="shared" si="26"/>
        <v>0</v>
      </c>
      <c r="AY80" s="333">
        <f t="shared" si="37"/>
        <v>0</v>
      </c>
      <c r="AZ80" s="873"/>
      <c r="BA80" s="874"/>
      <c r="BB80" s="874"/>
      <c r="BC80" s="874"/>
      <c r="BD80" s="874"/>
      <c r="BE80" s="874"/>
      <c r="BF80" s="874"/>
      <c r="BG80" s="874"/>
      <c r="BH80" s="874"/>
      <c r="BI80" s="874"/>
      <c r="BJ80" s="874"/>
      <c r="BK80" s="875"/>
      <c r="BL80" s="326"/>
      <c r="BM80" s="332">
        <f t="shared" si="27"/>
        <v>0</v>
      </c>
      <c r="BN80" s="333">
        <f t="shared" si="28"/>
        <v>0</v>
      </c>
      <c r="BO80" s="329"/>
      <c r="BP80" s="330"/>
      <c r="BQ80" s="330"/>
      <c r="BR80" s="330"/>
      <c r="BS80" s="330"/>
      <c r="BT80" s="330"/>
      <c r="BU80" s="330"/>
      <c r="BV80" s="330"/>
      <c r="BW80" s="330"/>
      <c r="BX80" s="330"/>
      <c r="BY80" s="330"/>
      <c r="BZ80" s="331"/>
      <c r="CA80" s="326"/>
      <c r="CB80" s="332">
        <f t="shared" si="29"/>
        <v>0</v>
      </c>
      <c r="CC80" s="333">
        <f t="shared" si="30"/>
        <v>0</v>
      </c>
      <c r="CD80" s="329"/>
      <c r="CE80" s="330"/>
      <c r="CF80" s="330"/>
      <c r="CG80" s="330"/>
      <c r="CH80" s="330"/>
      <c r="CI80" s="330"/>
      <c r="CJ80" s="330"/>
      <c r="CK80" s="330"/>
      <c r="CL80" s="330"/>
      <c r="CM80" s="330"/>
      <c r="CN80" s="330"/>
      <c r="CO80" s="331"/>
      <c r="CP80" s="326"/>
      <c r="CQ80" s="332">
        <f t="shared" si="31"/>
        <v>0</v>
      </c>
      <c r="CR80" s="333">
        <f t="shared" si="32"/>
        <v>0</v>
      </c>
      <c r="CS80" s="334">
        <f t="shared" si="33"/>
        <v>0</v>
      </c>
      <c r="CT80" s="335">
        <f t="shared" si="34"/>
        <v>0</v>
      </c>
      <c r="CU80" s="417">
        <f t="shared" si="38"/>
        <v>0</v>
      </c>
      <c r="CV80" s="529" t="str">
        <f t="shared" si="41"/>
        <v xml:space="preserve"> </v>
      </c>
      <c r="CW80" s="529" t="str">
        <f t="shared" si="42"/>
        <v xml:space="preserve"> </v>
      </c>
      <c r="CX80" s="528">
        <f t="shared" si="39"/>
        <v>0</v>
      </c>
    </row>
    <row r="81" spans="1:102" s="33" customFormat="1" ht="24.75" customHeight="1" thickBot="1">
      <c r="A81" s="1051" t="s">
        <v>144</v>
      </c>
      <c r="B81" s="1048" t="s">
        <v>1588</v>
      </c>
      <c r="C81" s="1048" t="s">
        <v>1537</v>
      </c>
      <c r="D81" s="34"/>
      <c r="E81" s="125" t="s">
        <v>107</v>
      </c>
      <c r="F81" s="30"/>
      <c r="G81" s="31"/>
      <c r="H81" s="31"/>
      <c r="I81" s="848"/>
      <c r="J81" s="847"/>
      <c r="K81" s="522" t="str">
        <f t="shared" si="23"/>
        <v xml:space="preserve"> </v>
      </c>
      <c r="L81" s="31"/>
      <c r="M81" s="31"/>
      <c r="N81" s="401"/>
      <c r="O81" s="698"/>
      <c r="P81" s="674" t="s">
        <v>1990</v>
      </c>
      <c r="Q81" s="857"/>
      <c r="R81" s="182"/>
      <c r="S81" s="326"/>
      <c r="T81" s="399"/>
      <c r="U81" s="328">
        <f t="shared" si="24"/>
        <v>0</v>
      </c>
      <c r="V81" s="858"/>
      <c r="W81" s="856"/>
      <c r="X81" s="856"/>
      <c r="Y81" s="856"/>
      <c r="Z81" s="856"/>
      <c r="AA81" s="856"/>
      <c r="AB81" s="854"/>
      <c r="AC81" s="854"/>
      <c r="AD81" s="854"/>
      <c r="AE81" s="854"/>
      <c r="AF81" s="854"/>
      <c r="AG81" s="855"/>
      <c r="AH81" s="326"/>
      <c r="AI81" s="327">
        <f t="shared" si="25"/>
        <v>0</v>
      </c>
      <c r="AJ81" s="328">
        <f t="shared" si="36"/>
        <v>0</v>
      </c>
      <c r="AK81" s="860"/>
      <c r="AL81" s="861"/>
      <c r="AM81" s="861"/>
      <c r="AN81" s="861"/>
      <c r="AO81" s="861"/>
      <c r="AP81" s="861"/>
      <c r="AQ81" s="861"/>
      <c r="AR81" s="861"/>
      <c r="AS81" s="861"/>
      <c r="AT81" s="861"/>
      <c r="AU81" s="861"/>
      <c r="AV81" s="862"/>
      <c r="AW81" s="326"/>
      <c r="AX81" s="332">
        <f t="shared" si="26"/>
        <v>0</v>
      </c>
      <c r="AY81" s="333">
        <f t="shared" si="37"/>
        <v>0</v>
      </c>
      <c r="AZ81" s="873"/>
      <c r="BA81" s="874"/>
      <c r="BB81" s="874"/>
      <c r="BC81" s="874"/>
      <c r="BD81" s="874"/>
      <c r="BE81" s="874"/>
      <c r="BF81" s="874"/>
      <c r="BG81" s="874"/>
      <c r="BH81" s="874"/>
      <c r="BI81" s="874"/>
      <c r="BJ81" s="874"/>
      <c r="BK81" s="875"/>
      <c r="BL81" s="326"/>
      <c r="BM81" s="332">
        <f t="shared" si="27"/>
        <v>0</v>
      </c>
      <c r="BN81" s="333">
        <f t="shared" si="28"/>
        <v>0</v>
      </c>
      <c r="BO81" s="329"/>
      <c r="BP81" s="330"/>
      <c r="BQ81" s="330"/>
      <c r="BR81" s="330"/>
      <c r="BS81" s="330"/>
      <c r="BT81" s="330"/>
      <c r="BU81" s="330"/>
      <c r="BV81" s="330"/>
      <c r="BW81" s="330"/>
      <c r="BX81" s="330"/>
      <c r="BY81" s="330"/>
      <c r="BZ81" s="331"/>
      <c r="CA81" s="326"/>
      <c r="CB81" s="332">
        <f t="shared" si="29"/>
        <v>0</v>
      </c>
      <c r="CC81" s="333">
        <f t="shared" si="30"/>
        <v>0</v>
      </c>
      <c r="CD81" s="329"/>
      <c r="CE81" s="330"/>
      <c r="CF81" s="330"/>
      <c r="CG81" s="330"/>
      <c r="CH81" s="330"/>
      <c r="CI81" s="330"/>
      <c r="CJ81" s="330"/>
      <c r="CK81" s="330"/>
      <c r="CL81" s="330"/>
      <c r="CM81" s="330"/>
      <c r="CN81" s="330"/>
      <c r="CO81" s="331"/>
      <c r="CP81" s="326"/>
      <c r="CQ81" s="332">
        <f t="shared" si="31"/>
        <v>0</v>
      </c>
      <c r="CR81" s="333">
        <f t="shared" si="32"/>
        <v>0</v>
      </c>
      <c r="CS81" s="334">
        <f t="shared" si="33"/>
        <v>0</v>
      </c>
      <c r="CT81" s="335">
        <f t="shared" si="34"/>
        <v>0</v>
      </c>
      <c r="CU81" s="417">
        <f t="shared" si="38"/>
        <v>0</v>
      </c>
      <c r="CV81" s="529" t="str">
        <f t="shared" si="41"/>
        <v xml:space="preserve"> </v>
      </c>
      <c r="CW81" s="529" t="str">
        <f t="shared" si="42"/>
        <v xml:space="preserve"> </v>
      </c>
      <c r="CX81" s="528">
        <f t="shared" si="39"/>
        <v>0</v>
      </c>
    </row>
    <row r="82" spans="1:102" s="33" customFormat="1" ht="24.75" customHeight="1" thickBot="1">
      <c r="A82" s="1052"/>
      <c r="B82" s="1050"/>
      <c r="C82" s="1050"/>
      <c r="D82" s="34"/>
      <c r="E82" s="125" t="s">
        <v>107</v>
      </c>
      <c r="F82" s="30"/>
      <c r="G82" s="31"/>
      <c r="H82" s="31"/>
      <c r="I82" s="848"/>
      <c r="J82" s="847"/>
      <c r="K82" s="522" t="str">
        <f t="shared" si="23"/>
        <v xml:space="preserve"> </v>
      </c>
      <c r="L82" s="31"/>
      <c r="M82" s="31"/>
      <c r="N82" s="401"/>
      <c r="O82" s="698"/>
      <c r="P82" s="674" t="s">
        <v>1990</v>
      </c>
      <c r="Q82" s="857"/>
      <c r="R82" s="182"/>
      <c r="S82" s="326"/>
      <c r="T82" s="399"/>
      <c r="U82" s="328">
        <f t="shared" si="24"/>
        <v>0</v>
      </c>
      <c r="V82" s="858"/>
      <c r="W82" s="856"/>
      <c r="X82" s="856"/>
      <c r="Y82" s="856"/>
      <c r="Z82" s="856"/>
      <c r="AA82" s="856"/>
      <c r="AB82" s="854"/>
      <c r="AC82" s="854"/>
      <c r="AD82" s="854"/>
      <c r="AE82" s="854"/>
      <c r="AF82" s="854"/>
      <c r="AG82" s="855"/>
      <c r="AH82" s="326"/>
      <c r="AI82" s="327">
        <f t="shared" si="25"/>
        <v>0</v>
      </c>
      <c r="AJ82" s="328">
        <f t="shared" si="36"/>
        <v>0</v>
      </c>
      <c r="AK82" s="860"/>
      <c r="AL82" s="861"/>
      <c r="AM82" s="861"/>
      <c r="AN82" s="861"/>
      <c r="AO82" s="861"/>
      <c r="AP82" s="861"/>
      <c r="AQ82" s="861"/>
      <c r="AR82" s="861"/>
      <c r="AS82" s="861"/>
      <c r="AT82" s="861"/>
      <c r="AU82" s="861"/>
      <c r="AV82" s="862"/>
      <c r="AW82" s="326"/>
      <c r="AX82" s="332">
        <f t="shared" si="26"/>
        <v>0</v>
      </c>
      <c r="AY82" s="333">
        <f t="shared" si="37"/>
        <v>0</v>
      </c>
      <c r="AZ82" s="873"/>
      <c r="BA82" s="874"/>
      <c r="BB82" s="874"/>
      <c r="BC82" s="874"/>
      <c r="BD82" s="874"/>
      <c r="BE82" s="874"/>
      <c r="BF82" s="874"/>
      <c r="BG82" s="874"/>
      <c r="BH82" s="874"/>
      <c r="BI82" s="874"/>
      <c r="BJ82" s="874"/>
      <c r="BK82" s="875"/>
      <c r="BL82" s="326"/>
      <c r="BM82" s="332">
        <f t="shared" si="27"/>
        <v>0</v>
      </c>
      <c r="BN82" s="333">
        <f t="shared" si="28"/>
        <v>0</v>
      </c>
      <c r="BO82" s="329"/>
      <c r="BP82" s="330"/>
      <c r="BQ82" s="330"/>
      <c r="BR82" s="330"/>
      <c r="BS82" s="330"/>
      <c r="BT82" s="330"/>
      <c r="BU82" s="330"/>
      <c r="BV82" s="330"/>
      <c r="BW82" s="330"/>
      <c r="BX82" s="330"/>
      <c r="BY82" s="330"/>
      <c r="BZ82" s="331"/>
      <c r="CA82" s="326"/>
      <c r="CB82" s="332">
        <f t="shared" si="29"/>
        <v>0</v>
      </c>
      <c r="CC82" s="333">
        <f t="shared" si="30"/>
        <v>0</v>
      </c>
      <c r="CD82" s="329"/>
      <c r="CE82" s="330"/>
      <c r="CF82" s="330"/>
      <c r="CG82" s="330"/>
      <c r="CH82" s="330"/>
      <c r="CI82" s="330"/>
      <c r="CJ82" s="330"/>
      <c r="CK82" s="330"/>
      <c r="CL82" s="330"/>
      <c r="CM82" s="330"/>
      <c r="CN82" s="330"/>
      <c r="CO82" s="331"/>
      <c r="CP82" s="326"/>
      <c r="CQ82" s="332">
        <f t="shared" si="31"/>
        <v>0</v>
      </c>
      <c r="CR82" s="333">
        <f t="shared" si="32"/>
        <v>0</v>
      </c>
      <c r="CS82" s="334">
        <f t="shared" si="33"/>
        <v>0</v>
      </c>
      <c r="CT82" s="335">
        <f t="shared" si="34"/>
        <v>0</v>
      </c>
      <c r="CU82" s="417">
        <f t="shared" si="38"/>
        <v>0</v>
      </c>
      <c r="CV82" s="529" t="str">
        <f t="shared" si="41"/>
        <v xml:space="preserve"> </v>
      </c>
      <c r="CW82" s="529" t="str">
        <f t="shared" si="42"/>
        <v xml:space="preserve"> </v>
      </c>
      <c r="CX82" s="528">
        <f t="shared" si="39"/>
        <v>0</v>
      </c>
    </row>
    <row r="83" spans="1:102" s="33" customFormat="1" ht="24.75" customHeight="1" thickBot="1">
      <c r="A83" s="1051" t="s">
        <v>145</v>
      </c>
      <c r="B83" s="1048" t="s">
        <v>1589</v>
      </c>
      <c r="C83" s="1048" t="s">
        <v>1680</v>
      </c>
      <c r="D83" s="34"/>
      <c r="E83" s="125" t="s">
        <v>107</v>
      </c>
      <c r="F83" s="30"/>
      <c r="G83" s="31"/>
      <c r="H83" s="31"/>
      <c r="I83" s="849">
        <v>43539</v>
      </c>
      <c r="J83" s="847">
        <v>30</v>
      </c>
      <c r="K83" s="522">
        <f t="shared" si="23"/>
        <v>43569</v>
      </c>
      <c r="L83" s="31"/>
      <c r="M83" s="31"/>
      <c r="N83" s="401"/>
      <c r="O83" s="698"/>
      <c r="P83" s="674" t="s">
        <v>1990</v>
      </c>
      <c r="Q83" s="857">
        <v>87230.769230769205</v>
      </c>
      <c r="R83" s="182"/>
      <c r="S83" s="326"/>
      <c r="T83" s="399"/>
      <c r="U83" s="328">
        <f t="shared" si="24"/>
        <v>0</v>
      </c>
      <c r="V83" s="858"/>
      <c r="W83" s="856"/>
      <c r="X83" s="856"/>
      <c r="Y83" s="856"/>
      <c r="Z83" s="856"/>
      <c r="AA83" s="856"/>
      <c r="AB83" s="854"/>
      <c r="AC83" s="854"/>
      <c r="AD83" s="854"/>
      <c r="AE83" s="854"/>
      <c r="AF83" s="854"/>
      <c r="AG83" s="855"/>
      <c r="AH83" s="326"/>
      <c r="AI83" s="327">
        <f t="shared" si="25"/>
        <v>0</v>
      </c>
      <c r="AJ83" s="328">
        <f t="shared" si="36"/>
        <v>0</v>
      </c>
      <c r="AK83" s="860"/>
      <c r="AL83" s="861"/>
      <c r="AM83" s="861"/>
      <c r="AN83" s="861"/>
      <c r="AO83" s="861"/>
      <c r="AP83" s="861"/>
      <c r="AQ83" s="861"/>
      <c r="AR83" s="861"/>
      <c r="AS83" s="861"/>
      <c r="AT83" s="861"/>
      <c r="AU83" s="861"/>
      <c r="AV83" s="862"/>
      <c r="AW83" s="326"/>
      <c r="AX83" s="332">
        <f t="shared" si="26"/>
        <v>0</v>
      </c>
      <c r="AY83" s="333">
        <f t="shared" si="37"/>
        <v>0</v>
      </c>
      <c r="AZ83" s="887">
        <v>1</v>
      </c>
      <c r="BA83" s="888">
        <v>1</v>
      </c>
      <c r="BB83" s="874"/>
      <c r="BC83" s="874"/>
      <c r="BD83" s="874"/>
      <c r="BE83" s="874"/>
      <c r="BF83" s="874"/>
      <c r="BG83" s="874"/>
      <c r="BH83" s="874"/>
      <c r="BI83" s="874"/>
      <c r="BJ83" s="874"/>
      <c r="BK83" s="875"/>
      <c r="BL83" s="326"/>
      <c r="BM83" s="332">
        <f t="shared" si="27"/>
        <v>2</v>
      </c>
      <c r="BN83" s="333">
        <f t="shared" si="28"/>
        <v>174461.54</v>
      </c>
      <c r="BO83" s="329"/>
      <c r="BP83" s="330"/>
      <c r="BQ83" s="330"/>
      <c r="BR83" s="330"/>
      <c r="BS83" s="330"/>
      <c r="BT83" s="330"/>
      <c r="BU83" s="330"/>
      <c r="BV83" s="330"/>
      <c r="BW83" s="330"/>
      <c r="BX83" s="330"/>
      <c r="BY83" s="330"/>
      <c r="BZ83" s="331"/>
      <c r="CA83" s="326"/>
      <c r="CB83" s="332">
        <f t="shared" si="29"/>
        <v>0</v>
      </c>
      <c r="CC83" s="333">
        <f t="shared" si="30"/>
        <v>0</v>
      </c>
      <c r="CD83" s="329"/>
      <c r="CE83" s="330"/>
      <c r="CF83" s="330"/>
      <c r="CG83" s="330"/>
      <c r="CH83" s="330"/>
      <c r="CI83" s="330"/>
      <c r="CJ83" s="330"/>
      <c r="CK83" s="330"/>
      <c r="CL83" s="330"/>
      <c r="CM83" s="330"/>
      <c r="CN83" s="330"/>
      <c r="CO83" s="331"/>
      <c r="CP83" s="326"/>
      <c r="CQ83" s="332">
        <f t="shared" si="31"/>
        <v>0</v>
      </c>
      <c r="CR83" s="333">
        <f t="shared" si="32"/>
        <v>0</v>
      </c>
      <c r="CS83" s="334">
        <f t="shared" si="33"/>
        <v>0</v>
      </c>
      <c r="CT83" s="335">
        <f t="shared" si="34"/>
        <v>2</v>
      </c>
      <c r="CU83" s="417">
        <f t="shared" si="38"/>
        <v>174461.54</v>
      </c>
      <c r="CV83" s="529" t="str">
        <f t="shared" si="41"/>
        <v xml:space="preserve"> </v>
      </c>
      <c r="CW83" s="529">
        <f t="shared" si="42"/>
        <v>2019</v>
      </c>
      <c r="CX83" s="528">
        <f t="shared" si="39"/>
        <v>174461.54</v>
      </c>
    </row>
    <row r="84" spans="1:102" s="33" customFormat="1" ht="24.75" customHeight="1" thickBot="1">
      <c r="A84" s="1052"/>
      <c r="B84" s="1050"/>
      <c r="C84" s="1050"/>
      <c r="D84" s="34"/>
      <c r="E84" s="125" t="s">
        <v>107</v>
      </c>
      <c r="F84" s="30"/>
      <c r="G84" s="31"/>
      <c r="H84" s="31"/>
      <c r="I84" s="848"/>
      <c r="J84" s="847"/>
      <c r="K84" s="522" t="str">
        <f t="shared" si="23"/>
        <v xml:space="preserve"> </v>
      </c>
      <c r="L84" s="31"/>
      <c r="M84" s="31"/>
      <c r="N84" s="401"/>
      <c r="O84" s="698"/>
      <c r="P84" s="674" t="s">
        <v>1990</v>
      </c>
      <c r="Q84" s="857"/>
      <c r="R84" s="182"/>
      <c r="S84" s="326"/>
      <c r="T84" s="399"/>
      <c r="U84" s="328">
        <f t="shared" si="24"/>
        <v>0</v>
      </c>
      <c r="V84" s="858"/>
      <c r="W84" s="856"/>
      <c r="X84" s="856"/>
      <c r="Y84" s="856"/>
      <c r="Z84" s="856"/>
      <c r="AA84" s="856"/>
      <c r="AB84" s="854"/>
      <c r="AC84" s="854"/>
      <c r="AD84" s="854"/>
      <c r="AE84" s="854"/>
      <c r="AF84" s="854"/>
      <c r="AG84" s="855"/>
      <c r="AH84" s="326"/>
      <c r="AI84" s="327">
        <f t="shared" si="25"/>
        <v>0</v>
      </c>
      <c r="AJ84" s="328">
        <f t="shared" si="36"/>
        <v>0</v>
      </c>
      <c r="AK84" s="860"/>
      <c r="AL84" s="861"/>
      <c r="AM84" s="861"/>
      <c r="AN84" s="861"/>
      <c r="AO84" s="861"/>
      <c r="AP84" s="861"/>
      <c r="AQ84" s="861"/>
      <c r="AR84" s="861"/>
      <c r="AS84" s="861"/>
      <c r="AT84" s="861"/>
      <c r="AU84" s="861"/>
      <c r="AV84" s="862"/>
      <c r="AW84" s="326"/>
      <c r="AX84" s="332">
        <f t="shared" si="26"/>
        <v>0</v>
      </c>
      <c r="AY84" s="333">
        <f t="shared" si="37"/>
        <v>0</v>
      </c>
      <c r="AZ84" s="873"/>
      <c r="BA84" s="874"/>
      <c r="BB84" s="874"/>
      <c r="BC84" s="874"/>
      <c r="BD84" s="874"/>
      <c r="BE84" s="874"/>
      <c r="BF84" s="874"/>
      <c r="BG84" s="874"/>
      <c r="BH84" s="874"/>
      <c r="BI84" s="874"/>
      <c r="BJ84" s="874"/>
      <c r="BK84" s="875"/>
      <c r="BL84" s="326"/>
      <c r="BM84" s="332">
        <f t="shared" si="27"/>
        <v>0</v>
      </c>
      <c r="BN84" s="333">
        <f t="shared" si="28"/>
        <v>0</v>
      </c>
      <c r="BO84" s="329"/>
      <c r="BP84" s="330"/>
      <c r="BQ84" s="330"/>
      <c r="BR84" s="330"/>
      <c r="BS84" s="330"/>
      <c r="BT84" s="330"/>
      <c r="BU84" s="330"/>
      <c r="BV84" s="330"/>
      <c r="BW84" s="330"/>
      <c r="BX84" s="330"/>
      <c r="BY84" s="330"/>
      <c r="BZ84" s="331"/>
      <c r="CA84" s="326"/>
      <c r="CB84" s="332">
        <f t="shared" si="29"/>
        <v>0</v>
      </c>
      <c r="CC84" s="333">
        <f t="shared" si="30"/>
        <v>0</v>
      </c>
      <c r="CD84" s="329"/>
      <c r="CE84" s="330"/>
      <c r="CF84" s="330"/>
      <c r="CG84" s="330"/>
      <c r="CH84" s="330"/>
      <c r="CI84" s="330"/>
      <c r="CJ84" s="330"/>
      <c r="CK84" s="330"/>
      <c r="CL84" s="330"/>
      <c r="CM84" s="330"/>
      <c r="CN84" s="330"/>
      <c r="CO84" s="331"/>
      <c r="CP84" s="326"/>
      <c r="CQ84" s="332">
        <f t="shared" si="31"/>
        <v>0</v>
      </c>
      <c r="CR84" s="333">
        <f t="shared" si="32"/>
        <v>0</v>
      </c>
      <c r="CS84" s="334">
        <f t="shared" si="33"/>
        <v>0</v>
      </c>
      <c r="CT84" s="335">
        <f t="shared" si="34"/>
        <v>0</v>
      </c>
      <c r="CU84" s="417">
        <f t="shared" si="38"/>
        <v>0</v>
      </c>
      <c r="CV84" s="529" t="str">
        <f t="shared" si="41"/>
        <v xml:space="preserve"> </v>
      </c>
      <c r="CW84" s="529" t="str">
        <f t="shared" si="42"/>
        <v xml:space="preserve"> </v>
      </c>
      <c r="CX84" s="528">
        <f t="shared" si="39"/>
        <v>0</v>
      </c>
    </row>
    <row r="85" spans="1:102" s="33" customFormat="1" ht="24.75" customHeight="1" thickBot="1">
      <c r="A85" s="1051" t="s">
        <v>146</v>
      </c>
      <c r="B85" s="1048" t="s">
        <v>1590</v>
      </c>
      <c r="C85" s="1048" t="s">
        <v>1540</v>
      </c>
      <c r="D85" s="34"/>
      <c r="E85" s="125" t="s">
        <v>107</v>
      </c>
      <c r="F85" s="30"/>
      <c r="G85" s="31"/>
      <c r="H85" s="31"/>
      <c r="I85" s="849">
        <v>43539</v>
      </c>
      <c r="J85" s="847">
        <v>30</v>
      </c>
      <c r="K85" s="522">
        <f t="shared" si="23"/>
        <v>43569</v>
      </c>
      <c r="L85" s="31"/>
      <c r="M85" s="31"/>
      <c r="N85" s="401"/>
      <c r="O85" s="698"/>
      <c r="P85" s="674" t="s">
        <v>1990</v>
      </c>
      <c r="Q85" s="857">
        <v>87230.769230769205</v>
      </c>
      <c r="R85" s="182"/>
      <c r="S85" s="326"/>
      <c r="T85" s="399"/>
      <c r="U85" s="328">
        <f>IFERROR(ROUND((Q85*T85+Q85*S85),2),0)</f>
        <v>0</v>
      </c>
      <c r="V85" s="858"/>
      <c r="W85" s="856"/>
      <c r="X85" s="856"/>
      <c r="Y85" s="856"/>
      <c r="Z85" s="856"/>
      <c r="AA85" s="856"/>
      <c r="AB85" s="854"/>
      <c r="AC85" s="854"/>
      <c r="AD85" s="854"/>
      <c r="AE85" s="854"/>
      <c r="AF85" s="854"/>
      <c r="AG85" s="855"/>
      <c r="AH85" s="326"/>
      <c r="AI85" s="327">
        <f t="shared" si="25"/>
        <v>0</v>
      </c>
      <c r="AJ85" s="328">
        <f t="shared" si="36"/>
        <v>0</v>
      </c>
      <c r="AK85" s="860"/>
      <c r="AL85" s="861"/>
      <c r="AM85" s="861"/>
      <c r="AN85" s="861"/>
      <c r="AO85" s="861"/>
      <c r="AP85" s="861"/>
      <c r="AQ85" s="861"/>
      <c r="AR85" s="861"/>
      <c r="AS85" s="861"/>
      <c r="AT85" s="861"/>
      <c r="AU85" s="861"/>
      <c r="AV85" s="862"/>
      <c r="AW85" s="326"/>
      <c r="AX85" s="332">
        <f t="shared" si="26"/>
        <v>0</v>
      </c>
      <c r="AY85" s="333">
        <f t="shared" si="37"/>
        <v>0</v>
      </c>
      <c r="AZ85" s="887">
        <v>1</v>
      </c>
      <c r="BA85" s="888">
        <v>1</v>
      </c>
      <c r="BB85" s="874"/>
      <c r="BC85" s="874"/>
      <c r="BD85" s="874"/>
      <c r="BE85" s="874"/>
      <c r="BF85" s="874"/>
      <c r="BG85" s="874"/>
      <c r="BH85" s="874"/>
      <c r="BI85" s="874"/>
      <c r="BJ85" s="874"/>
      <c r="BK85" s="875"/>
      <c r="BL85" s="326"/>
      <c r="BM85" s="332">
        <f t="shared" si="27"/>
        <v>2</v>
      </c>
      <c r="BN85" s="333">
        <f t="shared" si="28"/>
        <v>174461.54</v>
      </c>
      <c r="BO85" s="329"/>
      <c r="BP85" s="330"/>
      <c r="BQ85" s="330"/>
      <c r="BR85" s="330"/>
      <c r="BS85" s="330"/>
      <c r="BT85" s="330"/>
      <c r="BU85" s="330"/>
      <c r="BV85" s="330"/>
      <c r="BW85" s="330"/>
      <c r="BX85" s="330"/>
      <c r="BY85" s="330"/>
      <c r="BZ85" s="331"/>
      <c r="CA85" s="326"/>
      <c r="CB85" s="332">
        <f t="shared" si="29"/>
        <v>0</v>
      </c>
      <c r="CC85" s="333">
        <f t="shared" si="30"/>
        <v>0</v>
      </c>
      <c r="CD85" s="329"/>
      <c r="CE85" s="330"/>
      <c r="CF85" s="330"/>
      <c r="CG85" s="330"/>
      <c r="CH85" s="330"/>
      <c r="CI85" s="330"/>
      <c r="CJ85" s="330"/>
      <c r="CK85" s="330"/>
      <c r="CL85" s="330"/>
      <c r="CM85" s="330"/>
      <c r="CN85" s="330"/>
      <c r="CO85" s="331"/>
      <c r="CP85" s="326"/>
      <c r="CQ85" s="332">
        <f t="shared" si="31"/>
        <v>0</v>
      </c>
      <c r="CR85" s="333">
        <f t="shared" si="32"/>
        <v>0</v>
      </c>
      <c r="CS85" s="334">
        <f t="shared" si="33"/>
        <v>0</v>
      </c>
      <c r="CT85" s="335">
        <f t="shared" si="34"/>
        <v>2</v>
      </c>
      <c r="CU85" s="417">
        <f t="shared" si="38"/>
        <v>174461.54</v>
      </c>
      <c r="CV85" s="529" t="str">
        <f t="shared" si="41"/>
        <v xml:space="preserve"> </v>
      </c>
      <c r="CW85" s="529">
        <f t="shared" si="42"/>
        <v>2019</v>
      </c>
      <c r="CX85" s="528">
        <f t="shared" si="39"/>
        <v>174461.54</v>
      </c>
    </row>
    <row r="86" spans="1:102" s="33" customFormat="1" ht="24.75" customHeight="1" thickBot="1">
      <c r="A86" s="1052"/>
      <c r="B86" s="1050"/>
      <c r="C86" s="1050"/>
      <c r="D86" s="34"/>
      <c r="E86" s="125" t="s">
        <v>107</v>
      </c>
      <c r="F86" s="30"/>
      <c r="G86" s="31"/>
      <c r="H86" s="31"/>
      <c r="I86" s="848"/>
      <c r="J86" s="847"/>
      <c r="K86" s="522" t="str">
        <f t="shared" si="23"/>
        <v xml:space="preserve"> </v>
      </c>
      <c r="L86" s="31"/>
      <c r="M86" s="31"/>
      <c r="N86" s="401"/>
      <c r="O86" s="698"/>
      <c r="P86" s="674" t="s">
        <v>1990</v>
      </c>
      <c r="Q86" s="857"/>
      <c r="R86" s="182"/>
      <c r="S86" s="326"/>
      <c r="T86" s="399"/>
      <c r="U86" s="328">
        <f t="shared" si="24"/>
        <v>0</v>
      </c>
      <c r="V86" s="858"/>
      <c r="W86" s="856"/>
      <c r="X86" s="856"/>
      <c r="Y86" s="856"/>
      <c r="Z86" s="856"/>
      <c r="AA86" s="856"/>
      <c r="AB86" s="854"/>
      <c r="AC86" s="854"/>
      <c r="AD86" s="854"/>
      <c r="AE86" s="854"/>
      <c r="AF86" s="854"/>
      <c r="AG86" s="855"/>
      <c r="AH86" s="326"/>
      <c r="AI86" s="327">
        <f t="shared" si="25"/>
        <v>0</v>
      </c>
      <c r="AJ86" s="328">
        <f t="shared" si="36"/>
        <v>0</v>
      </c>
      <c r="AK86" s="860"/>
      <c r="AL86" s="861"/>
      <c r="AM86" s="861"/>
      <c r="AN86" s="861"/>
      <c r="AO86" s="861"/>
      <c r="AP86" s="861"/>
      <c r="AQ86" s="861"/>
      <c r="AR86" s="861"/>
      <c r="AS86" s="861"/>
      <c r="AT86" s="861"/>
      <c r="AU86" s="861"/>
      <c r="AV86" s="862"/>
      <c r="AW86" s="326"/>
      <c r="AX86" s="332">
        <f t="shared" si="26"/>
        <v>0</v>
      </c>
      <c r="AY86" s="333">
        <f t="shared" si="37"/>
        <v>0</v>
      </c>
      <c r="AZ86" s="873"/>
      <c r="BA86" s="874"/>
      <c r="BB86" s="874"/>
      <c r="BC86" s="874"/>
      <c r="BD86" s="874"/>
      <c r="BE86" s="874"/>
      <c r="BF86" s="874"/>
      <c r="BG86" s="874"/>
      <c r="BH86" s="874"/>
      <c r="BI86" s="874"/>
      <c r="BJ86" s="874"/>
      <c r="BK86" s="875"/>
      <c r="BL86" s="326"/>
      <c r="BM86" s="332">
        <f t="shared" si="27"/>
        <v>0</v>
      </c>
      <c r="BN86" s="333">
        <f t="shared" si="28"/>
        <v>0</v>
      </c>
      <c r="BO86" s="329"/>
      <c r="BP86" s="330"/>
      <c r="BQ86" s="330"/>
      <c r="BR86" s="330"/>
      <c r="BS86" s="330"/>
      <c r="BT86" s="330"/>
      <c r="BU86" s="330"/>
      <c r="BV86" s="330"/>
      <c r="BW86" s="330"/>
      <c r="BX86" s="330"/>
      <c r="BY86" s="330"/>
      <c r="BZ86" s="331"/>
      <c r="CA86" s="326"/>
      <c r="CB86" s="332">
        <f t="shared" si="29"/>
        <v>0</v>
      </c>
      <c r="CC86" s="333">
        <f t="shared" si="30"/>
        <v>0</v>
      </c>
      <c r="CD86" s="329"/>
      <c r="CE86" s="330"/>
      <c r="CF86" s="330"/>
      <c r="CG86" s="330"/>
      <c r="CH86" s="330"/>
      <c r="CI86" s="330"/>
      <c r="CJ86" s="330"/>
      <c r="CK86" s="330"/>
      <c r="CL86" s="330"/>
      <c r="CM86" s="330"/>
      <c r="CN86" s="330"/>
      <c r="CO86" s="331"/>
      <c r="CP86" s="326"/>
      <c r="CQ86" s="332">
        <f t="shared" si="31"/>
        <v>0</v>
      </c>
      <c r="CR86" s="333">
        <f t="shared" si="32"/>
        <v>0</v>
      </c>
      <c r="CS86" s="334">
        <f t="shared" si="33"/>
        <v>0</v>
      </c>
      <c r="CT86" s="335">
        <f t="shared" si="34"/>
        <v>0</v>
      </c>
      <c r="CU86" s="417">
        <f t="shared" si="38"/>
        <v>0</v>
      </c>
      <c r="CV86" s="529" t="str">
        <f t="shared" si="41"/>
        <v xml:space="preserve"> </v>
      </c>
      <c r="CW86" s="529" t="str">
        <f t="shared" si="42"/>
        <v xml:space="preserve"> </v>
      </c>
      <c r="CX86" s="528">
        <f t="shared" si="39"/>
        <v>0</v>
      </c>
    </row>
    <row r="87" spans="1:102" s="33" customFormat="1" ht="24.75" customHeight="1" thickBot="1">
      <c r="A87" s="1051" t="s">
        <v>160</v>
      </c>
      <c r="B87" s="1048" t="s">
        <v>1512</v>
      </c>
      <c r="C87" s="1048" t="s">
        <v>1591</v>
      </c>
      <c r="D87" s="34"/>
      <c r="E87" s="125" t="s">
        <v>107</v>
      </c>
      <c r="F87" s="30"/>
      <c r="G87" s="31"/>
      <c r="H87" s="31"/>
      <c r="I87" s="849">
        <v>43539</v>
      </c>
      <c r="J87" s="847">
        <v>30</v>
      </c>
      <c r="K87" s="522">
        <f t="shared" si="23"/>
        <v>43569</v>
      </c>
      <c r="L87" s="31"/>
      <c r="M87" s="31"/>
      <c r="N87" s="401"/>
      <c r="O87" s="698"/>
      <c r="P87" s="674" t="s">
        <v>1990</v>
      </c>
      <c r="Q87" s="857">
        <v>87230.769230769205</v>
      </c>
      <c r="R87" s="182"/>
      <c r="S87" s="326"/>
      <c r="T87" s="399"/>
      <c r="U87" s="328">
        <f t="shared" si="24"/>
        <v>0</v>
      </c>
      <c r="V87" s="858"/>
      <c r="W87" s="856"/>
      <c r="X87" s="856"/>
      <c r="Y87" s="856"/>
      <c r="Z87" s="856"/>
      <c r="AA87" s="856"/>
      <c r="AB87" s="854"/>
      <c r="AC87" s="854"/>
      <c r="AD87" s="854"/>
      <c r="AE87" s="854"/>
      <c r="AF87" s="854"/>
      <c r="AG87" s="855"/>
      <c r="AH87" s="326"/>
      <c r="AI87" s="327">
        <f t="shared" si="25"/>
        <v>0</v>
      </c>
      <c r="AJ87" s="328">
        <f t="shared" si="36"/>
        <v>0</v>
      </c>
      <c r="AK87" s="860"/>
      <c r="AL87" s="861"/>
      <c r="AM87" s="861"/>
      <c r="AN87" s="861"/>
      <c r="AO87" s="861"/>
      <c r="AP87" s="861"/>
      <c r="AQ87" s="861"/>
      <c r="AR87" s="861"/>
      <c r="AS87" s="861"/>
      <c r="AT87" s="861"/>
      <c r="AU87" s="861"/>
      <c r="AV87" s="862"/>
      <c r="AW87" s="326"/>
      <c r="AX87" s="332">
        <f t="shared" si="26"/>
        <v>0</v>
      </c>
      <c r="AY87" s="333">
        <f t="shared" si="37"/>
        <v>0</v>
      </c>
      <c r="AZ87" s="887">
        <v>1</v>
      </c>
      <c r="BA87" s="888">
        <v>1</v>
      </c>
      <c r="BB87" s="874"/>
      <c r="BC87" s="874"/>
      <c r="BD87" s="874"/>
      <c r="BE87" s="874"/>
      <c r="BF87" s="874"/>
      <c r="BG87" s="874"/>
      <c r="BH87" s="874"/>
      <c r="BI87" s="874"/>
      <c r="BJ87" s="874"/>
      <c r="BK87" s="875"/>
      <c r="BL87" s="326"/>
      <c r="BM87" s="332">
        <f t="shared" si="27"/>
        <v>2</v>
      </c>
      <c r="BN87" s="333">
        <f t="shared" si="28"/>
        <v>174461.54</v>
      </c>
      <c r="BO87" s="329"/>
      <c r="BP87" s="330"/>
      <c r="BQ87" s="330"/>
      <c r="BR87" s="330"/>
      <c r="BS87" s="330"/>
      <c r="BT87" s="330"/>
      <c r="BU87" s="330"/>
      <c r="BV87" s="330"/>
      <c r="BW87" s="330"/>
      <c r="BX87" s="330"/>
      <c r="BY87" s="330"/>
      <c r="BZ87" s="331"/>
      <c r="CA87" s="326"/>
      <c r="CB87" s="332">
        <f t="shared" si="29"/>
        <v>0</v>
      </c>
      <c r="CC87" s="333">
        <f t="shared" si="30"/>
        <v>0</v>
      </c>
      <c r="CD87" s="329"/>
      <c r="CE87" s="330"/>
      <c r="CF87" s="330"/>
      <c r="CG87" s="330"/>
      <c r="CH87" s="330"/>
      <c r="CI87" s="330"/>
      <c r="CJ87" s="330"/>
      <c r="CK87" s="330"/>
      <c r="CL87" s="330"/>
      <c r="CM87" s="330"/>
      <c r="CN87" s="330"/>
      <c r="CO87" s="331"/>
      <c r="CP87" s="326"/>
      <c r="CQ87" s="332">
        <f t="shared" si="31"/>
        <v>0</v>
      </c>
      <c r="CR87" s="333">
        <f t="shared" si="32"/>
        <v>0</v>
      </c>
      <c r="CS87" s="334">
        <f t="shared" si="33"/>
        <v>0</v>
      </c>
      <c r="CT87" s="335">
        <f t="shared" si="34"/>
        <v>2</v>
      </c>
      <c r="CU87" s="417">
        <f t="shared" si="38"/>
        <v>174461.54</v>
      </c>
      <c r="CV87" s="529" t="str">
        <f t="shared" si="41"/>
        <v xml:space="preserve"> </v>
      </c>
      <c r="CW87" s="529">
        <f t="shared" si="42"/>
        <v>2019</v>
      </c>
      <c r="CX87" s="528">
        <f t="shared" si="39"/>
        <v>174461.54</v>
      </c>
    </row>
    <row r="88" spans="1:102" s="33" customFormat="1" ht="24.75" customHeight="1" thickBot="1">
      <c r="A88" s="1052"/>
      <c r="B88" s="1050"/>
      <c r="C88" s="1050"/>
      <c r="D88" s="34"/>
      <c r="E88" s="125" t="s">
        <v>107</v>
      </c>
      <c r="F88" s="30"/>
      <c r="G88" s="31"/>
      <c r="H88" s="31"/>
      <c r="I88" s="848"/>
      <c r="J88" s="847"/>
      <c r="K88" s="522" t="str">
        <f t="shared" si="23"/>
        <v xml:space="preserve"> </v>
      </c>
      <c r="L88" s="31"/>
      <c r="M88" s="31"/>
      <c r="N88" s="401"/>
      <c r="O88" s="698"/>
      <c r="P88" s="674" t="s">
        <v>1990</v>
      </c>
      <c r="Q88" s="857"/>
      <c r="R88" s="182"/>
      <c r="S88" s="326"/>
      <c r="T88" s="399"/>
      <c r="U88" s="328">
        <f t="shared" si="24"/>
        <v>0</v>
      </c>
      <c r="V88" s="858"/>
      <c r="W88" s="856"/>
      <c r="X88" s="856"/>
      <c r="Y88" s="856"/>
      <c r="Z88" s="856"/>
      <c r="AA88" s="856"/>
      <c r="AB88" s="854"/>
      <c r="AC88" s="854"/>
      <c r="AD88" s="854"/>
      <c r="AE88" s="854"/>
      <c r="AF88" s="854"/>
      <c r="AG88" s="855"/>
      <c r="AH88" s="326"/>
      <c r="AI88" s="327">
        <f t="shared" si="25"/>
        <v>0</v>
      </c>
      <c r="AJ88" s="328">
        <f t="shared" si="36"/>
        <v>0</v>
      </c>
      <c r="AK88" s="860"/>
      <c r="AL88" s="861"/>
      <c r="AM88" s="861"/>
      <c r="AN88" s="861"/>
      <c r="AO88" s="861"/>
      <c r="AP88" s="861"/>
      <c r="AQ88" s="861"/>
      <c r="AR88" s="861"/>
      <c r="AS88" s="861"/>
      <c r="AT88" s="861"/>
      <c r="AU88" s="861"/>
      <c r="AV88" s="862"/>
      <c r="AW88" s="326"/>
      <c r="AX88" s="332">
        <f t="shared" si="26"/>
        <v>0</v>
      </c>
      <c r="AY88" s="333">
        <f t="shared" si="37"/>
        <v>0</v>
      </c>
      <c r="AZ88" s="873"/>
      <c r="BA88" s="874"/>
      <c r="BB88" s="874"/>
      <c r="BC88" s="874"/>
      <c r="BD88" s="874"/>
      <c r="BE88" s="874"/>
      <c r="BF88" s="874"/>
      <c r="BG88" s="874"/>
      <c r="BH88" s="874"/>
      <c r="BI88" s="874"/>
      <c r="BJ88" s="874"/>
      <c r="BK88" s="875"/>
      <c r="BL88" s="326"/>
      <c r="BM88" s="332">
        <f t="shared" si="27"/>
        <v>0</v>
      </c>
      <c r="BN88" s="333">
        <f t="shared" si="28"/>
        <v>0</v>
      </c>
      <c r="BO88" s="329"/>
      <c r="BP88" s="330"/>
      <c r="BQ88" s="330"/>
      <c r="BR88" s="330"/>
      <c r="BS88" s="330"/>
      <c r="BT88" s="330"/>
      <c r="BU88" s="330"/>
      <c r="BV88" s="330"/>
      <c r="BW88" s="330"/>
      <c r="BX88" s="330"/>
      <c r="BY88" s="330"/>
      <c r="BZ88" s="331"/>
      <c r="CA88" s="326"/>
      <c r="CB88" s="332">
        <f t="shared" si="29"/>
        <v>0</v>
      </c>
      <c r="CC88" s="333">
        <f t="shared" si="30"/>
        <v>0</v>
      </c>
      <c r="CD88" s="329"/>
      <c r="CE88" s="330"/>
      <c r="CF88" s="330"/>
      <c r="CG88" s="330"/>
      <c r="CH88" s="330"/>
      <c r="CI88" s="330"/>
      <c r="CJ88" s="330"/>
      <c r="CK88" s="330"/>
      <c r="CL88" s="330"/>
      <c r="CM88" s="330"/>
      <c r="CN88" s="330"/>
      <c r="CO88" s="331"/>
      <c r="CP88" s="326"/>
      <c r="CQ88" s="332">
        <f t="shared" si="31"/>
        <v>0</v>
      </c>
      <c r="CR88" s="333">
        <f t="shared" si="32"/>
        <v>0</v>
      </c>
      <c r="CS88" s="334">
        <f t="shared" si="33"/>
        <v>0</v>
      </c>
      <c r="CT88" s="335">
        <f t="shared" si="34"/>
        <v>0</v>
      </c>
      <c r="CU88" s="417">
        <f t="shared" si="38"/>
        <v>0</v>
      </c>
      <c r="CV88" s="529" t="str">
        <f t="shared" si="41"/>
        <v xml:space="preserve"> </v>
      </c>
      <c r="CW88" s="529" t="str">
        <f t="shared" si="42"/>
        <v xml:space="preserve"> </v>
      </c>
      <c r="CX88" s="528">
        <f t="shared" si="39"/>
        <v>0</v>
      </c>
    </row>
    <row r="89" spans="1:102" s="33" customFormat="1" ht="24.75" customHeight="1" thickBot="1">
      <c r="A89" s="1051" t="s">
        <v>147</v>
      </c>
      <c r="B89" s="1048" t="s">
        <v>1514</v>
      </c>
      <c r="C89" s="1048" t="s">
        <v>96</v>
      </c>
      <c r="D89" s="34"/>
      <c r="E89" s="125" t="s">
        <v>106</v>
      </c>
      <c r="F89" s="30"/>
      <c r="G89" s="31"/>
      <c r="H89" s="31"/>
      <c r="I89" s="848"/>
      <c r="J89" s="847"/>
      <c r="K89" s="522" t="str">
        <f t="shared" ref="K89:K92" si="43">IF(YEAR(I89+J89)=1900," ",I89+J89)</f>
        <v xml:space="preserve"> </v>
      </c>
      <c r="L89" s="31"/>
      <c r="M89" s="31"/>
      <c r="N89" s="401"/>
      <c r="O89" s="698"/>
      <c r="P89" s="674" t="s">
        <v>1990</v>
      </c>
      <c r="Q89" s="857"/>
      <c r="R89" s="182"/>
      <c r="S89" s="326"/>
      <c r="T89" s="399"/>
      <c r="U89" s="328">
        <f t="shared" ref="U89:U114" si="44">IFERROR(ROUND((Q89*T89+Q89*S89),2),0)</f>
        <v>0</v>
      </c>
      <c r="V89" s="858"/>
      <c r="W89" s="856"/>
      <c r="X89" s="856"/>
      <c r="Y89" s="856"/>
      <c r="Z89" s="856"/>
      <c r="AA89" s="856"/>
      <c r="AB89" s="854"/>
      <c r="AC89" s="854"/>
      <c r="AD89" s="854"/>
      <c r="AE89" s="854"/>
      <c r="AF89" s="854"/>
      <c r="AG89" s="855"/>
      <c r="AH89" s="326"/>
      <c r="AI89" s="327">
        <f t="shared" ref="AI89:AI114" si="45">SUM(V89:AG89)</f>
        <v>0</v>
      </c>
      <c r="AJ89" s="328">
        <f t="shared" si="36"/>
        <v>0</v>
      </c>
      <c r="AK89" s="860"/>
      <c r="AL89" s="861"/>
      <c r="AM89" s="861"/>
      <c r="AN89" s="861"/>
      <c r="AO89" s="861"/>
      <c r="AP89" s="861"/>
      <c r="AQ89" s="861"/>
      <c r="AR89" s="861"/>
      <c r="AS89" s="861"/>
      <c r="AT89" s="861"/>
      <c r="AU89" s="861"/>
      <c r="AV89" s="862"/>
      <c r="AW89" s="326"/>
      <c r="AX89" s="332">
        <f t="shared" ref="AX89:AX114" si="46">SUM(AK89:AV89)</f>
        <v>0</v>
      </c>
      <c r="AY89" s="333">
        <f t="shared" si="37"/>
        <v>0</v>
      </c>
      <c r="AZ89" s="873"/>
      <c r="BA89" s="874"/>
      <c r="BB89" s="874"/>
      <c r="BC89" s="874"/>
      <c r="BD89" s="874"/>
      <c r="BE89" s="874"/>
      <c r="BF89" s="874"/>
      <c r="BG89" s="874"/>
      <c r="BH89" s="874"/>
      <c r="BI89" s="874"/>
      <c r="BJ89" s="874"/>
      <c r="BK89" s="875"/>
      <c r="BL89" s="326"/>
      <c r="BM89" s="332">
        <f t="shared" ref="BM89:BM114" si="47">SUM(AZ89:BK89)</f>
        <v>0</v>
      </c>
      <c r="BN89" s="333">
        <f t="shared" ref="BN89:BN113" si="48">IFERROR(ROUND((Q89*BM89+Q89*BL89),2),0)</f>
        <v>0</v>
      </c>
      <c r="BO89" s="329"/>
      <c r="BP89" s="330"/>
      <c r="BQ89" s="330"/>
      <c r="BR89" s="330"/>
      <c r="BS89" s="330"/>
      <c r="BT89" s="330"/>
      <c r="BU89" s="330"/>
      <c r="BV89" s="330"/>
      <c r="BW89" s="330"/>
      <c r="BX89" s="330"/>
      <c r="BY89" s="330"/>
      <c r="BZ89" s="331"/>
      <c r="CA89" s="326"/>
      <c r="CB89" s="332">
        <f t="shared" ref="CB89:CB114" si="49">SUM(BO89:BZ89)</f>
        <v>0</v>
      </c>
      <c r="CC89" s="333">
        <f t="shared" ref="CC89:CC114" si="50">IFERROR(ROUND((Q89*CB89+AF89*CA89),2),0)</f>
        <v>0</v>
      </c>
      <c r="CD89" s="329"/>
      <c r="CE89" s="330"/>
      <c r="CF89" s="330"/>
      <c r="CG89" s="330"/>
      <c r="CH89" s="330"/>
      <c r="CI89" s="330"/>
      <c r="CJ89" s="330"/>
      <c r="CK89" s="330"/>
      <c r="CL89" s="330"/>
      <c r="CM89" s="330"/>
      <c r="CN89" s="330"/>
      <c r="CO89" s="331"/>
      <c r="CP89" s="326"/>
      <c r="CQ89" s="332">
        <f t="shared" ref="CQ89:CQ114" si="51">SUM(CD89:CO89)</f>
        <v>0</v>
      </c>
      <c r="CR89" s="333">
        <f t="shared" ref="CR89:CR114" si="52">IFERROR(ROUND((Q89*CQ89+AU89*CP89),2),0)</f>
        <v>0</v>
      </c>
      <c r="CS89" s="334">
        <f t="shared" si="33"/>
        <v>0</v>
      </c>
      <c r="CT89" s="335">
        <f t="shared" si="34"/>
        <v>0</v>
      </c>
      <c r="CU89" s="417">
        <f t="shared" si="38"/>
        <v>0</v>
      </c>
      <c r="CV89" s="529" t="str">
        <f t="shared" ref="CV89:CV114" si="53">IF(H89=0," ",H89)</f>
        <v xml:space="preserve"> </v>
      </c>
      <c r="CW89" s="529" t="str">
        <f t="shared" si="42"/>
        <v xml:space="preserve"> </v>
      </c>
      <c r="CX89" s="528">
        <f t="shared" si="39"/>
        <v>0</v>
      </c>
    </row>
    <row r="90" spans="1:102" s="33" customFormat="1" ht="24.75" customHeight="1" thickBot="1">
      <c r="A90" s="1052"/>
      <c r="B90" s="1050"/>
      <c r="C90" s="1050"/>
      <c r="D90" s="34"/>
      <c r="E90" s="125" t="s">
        <v>106</v>
      </c>
      <c r="F90" s="30"/>
      <c r="G90" s="31"/>
      <c r="H90" s="31"/>
      <c r="I90" s="848"/>
      <c r="J90" s="847"/>
      <c r="K90" s="522" t="str">
        <f t="shared" si="43"/>
        <v xml:space="preserve"> </v>
      </c>
      <c r="L90" s="31"/>
      <c r="M90" s="31"/>
      <c r="N90" s="401"/>
      <c r="O90" s="698"/>
      <c r="P90" s="674" t="s">
        <v>1990</v>
      </c>
      <c r="Q90" s="857"/>
      <c r="R90" s="182"/>
      <c r="S90" s="326"/>
      <c r="T90" s="399"/>
      <c r="U90" s="328">
        <f t="shared" si="44"/>
        <v>0</v>
      </c>
      <c r="V90" s="858"/>
      <c r="W90" s="856"/>
      <c r="X90" s="856"/>
      <c r="Y90" s="856"/>
      <c r="Z90" s="856"/>
      <c r="AA90" s="856"/>
      <c r="AB90" s="854"/>
      <c r="AC90" s="854"/>
      <c r="AD90" s="854"/>
      <c r="AE90" s="854"/>
      <c r="AF90" s="854"/>
      <c r="AG90" s="855"/>
      <c r="AH90" s="326"/>
      <c r="AI90" s="327">
        <f t="shared" si="45"/>
        <v>0</v>
      </c>
      <c r="AJ90" s="328">
        <f t="shared" si="36"/>
        <v>0</v>
      </c>
      <c r="AK90" s="860"/>
      <c r="AL90" s="861"/>
      <c r="AM90" s="861"/>
      <c r="AN90" s="861"/>
      <c r="AO90" s="861"/>
      <c r="AP90" s="861"/>
      <c r="AQ90" s="861"/>
      <c r="AR90" s="861"/>
      <c r="AS90" s="861"/>
      <c r="AT90" s="861"/>
      <c r="AU90" s="861"/>
      <c r="AV90" s="862"/>
      <c r="AW90" s="326"/>
      <c r="AX90" s="332">
        <f t="shared" si="46"/>
        <v>0</v>
      </c>
      <c r="AY90" s="333">
        <f t="shared" si="37"/>
        <v>0</v>
      </c>
      <c r="AZ90" s="873"/>
      <c r="BA90" s="874"/>
      <c r="BB90" s="874"/>
      <c r="BC90" s="874"/>
      <c r="BD90" s="874"/>
      <c r="BE90" s="874"/>
      <c r="BF90" s="874"/>
      <c r="BG90" s="874"/>
      <c r="BH90" s="874"/>
      <c r="BI90" s="874"/>
      <c r="BJ90" s="874"/>
      <c r="BK90" s="875"/>
      <c r="BL90" s="326"/>
      <c r="BM90" s="332">
        <f t="shared" si="47"/>
        <v>0</v>
      </c>
      <c r="BN90" s="333">
        <f t="shared" si="48"/>
        <v>0</v>
      </c>
      <c r="BO90" s="329"/>
      <c r="BP90" s="330"/>
      <c r="BQ90" s="330"/>
      <c r="BR90" s="330"/>
      <c r="BS90" s="330"/>
      <c r="BT90" s="330"/>
      <c r="BU90" s="330"/>
      <c r="BV90" s="330"/>
      <c r="BW90" s="330"/>
      <c r="BX90" s="330"/>
      <c r="BY90" s="330"/>
      <c r="BZ90" s="331"/>
      <c r="CA90" s="326"/>
      <c r="CB90" s="332">
        <f t="shared" si="49"/>
        <v>0</v>
      </c>
      <c r="CC90" s="333">
        <f t="shared" si="50"/>
        <v>0</v>
      </c>
      <c r="CD90" s="329"/>
      <c r="CE90" s="330"/>
      <c r="CF90" s="330"/>
      <c r="CG90" s="330"/>
      <c r="CH90" s="330"/>
      <c r="CI90" s="330"/>
      <c r="CJ90" s="330"/>
      <c r="CK90" s="330"/>
      <c r="CL90" s="330"/>
      <c r="CM90" s="330"/>
      <c r="CN90" s="330"/>
      <c r="CO90" s="331"/>
      <c r="CP90" s="326"/>
      <c r="CQ90" s="332">
        <f t="shared" si="51"/>
        <v>0</v>
      </c>
      <c r="CR90" s="333">
        <f t="shared" si="52"/>
        <v>0</v>
      </c>
      <c r="CS90" s="334">
        <f t="shared" ref="CS90:CS114" si="54">AH90+AW90+BL90+T90+BL90+CA90+CP90</f>
        <v>0</v>
      </c>
      <c r="CT90" s="335">
        <f t="shared" ref="CT90:CT113" si="55">CQ90+CB90+BM90+AX90+AI90+S90</f>
        <v>0</v>
      </c>
      <c r="CU90" s="417">
        <f t="shared" ref="CU90:CU114" si="56">AJ90+AY90+BN90+U90+CC90+CR90</f>
        <v>0</v>
      </c>
      <c r="CV90" s="529" t="str">
        <f t="shared" si="53"/>
        <v xml:space="preserve"> </v>
      </c>
      <c r="CW90" s="529" t="str">
        <f t="shared" si="42"/>
        <v xml:space="preserve"> </v>
      </c>
      <c r="CX90" s="528">
        <f t="shared" ref="CX90:CX114" si="57">AJ90+AY90+BN90+U90+CC90+CR90</f>
        <v>0</v>
      </c>
    </row>
    <row r="91" spans="1:102" s="33" customFormat="1" ht="24.75" customHeight="1" thickBot="1">
      <c r="A91" s="1051" t="s">
        <v>148</v>
      </c>
      <c r="B91" s="1048" t="s">
        <v>1515</v>
      </c>
      <c r="C91" s="1048" t="s">
        <v>97</v>
      </c>
      <c r="D91" s="34"/>
      <c r="E91" s="125" t="s">
        <v>106</v>
      </c>
      <c r="F91" s="30"/>
      <c r="G91" s="31"/>
      <c r="H91" s="31"/>
      <c r="I91" s="848"/>
      <c r="J91" s="847"/>
      <c r="K91" s="522" t="str">
        <f t="shared" si="43"/>
        <v xml:space="preserve"> </v>
      </c>
      <c r="L91" s="31"/>
      <c r="M91" s="31"/>
      <c r="N91" s="401"/>
      <c r="O91" s="698"/>
      <c r="P91" s="674" t="s">
        <v>1990</v>
      </c>
      <c r="Q91" s="857"/>
      <c r="R91" s="182"/>
      <c r="S91" s="326"/>
      <c r="T91" s="399"/>
      <c r="U91" s="328">
        <f t="shared" si="44"/>
        <v>0</v>
      </c>
      <c r="V91" s="858"/>
      <c r="W91" s="856"/>
      <c r="X91" s="856"/>
      <c r="Y91" s="856"/>
      <c r="Z91" s="856"/>
      <c r="AA91" s="856"/>
      <c r="AB91" s="854"/>
      <c r="AC91" s="854"/>
      <c r="AD91" s="854"/>
      <c r="AE91" s="854"/>
      <c r="AF91" s="854"/>
      <c r="AG91" s="855"/>
      <c r="AH91" s="326"/>
      <c r="AI91" s="327">
        <f t="shared" si="45"/>
        <v>0</v>
      </c>
      <c r="AJ91" s="328">
        <f t="shared" si="36"/>
        <v>0</v>
      </c>
      <c r="AK91" s="860"/>
      <c r="AL91" s="861"/>
      <c r="AM91" s="861"/>
      <c r="AN91" s="861"/>
      <c r="AO91" s="861"/>
      <c r="AP91" s="861"/>
      <c r="AQ91" s="861"/>
      <c r="AR91" s="861"/>
      <c r="AS91" s="861"/>
      <c r="AT91" s="861"/>
      <c r="AU91" s="861"/>
      <c r="AV91" s="862"/>
      <c r="AW91" s="326"/>
      <c r="AX91" s="332">
        <f t="shared" si="46"/>
        <v>0</v>
      </c>
      <c r="AY91" s="333">
        <f t="shared" si="37"/>
        <v>0</v>
      </c>
      <c r="AZ91" s="873"/>
      <c r="BA91" s="874"/>
      <c r="BB91" s="874"/>
      <c r="BC91" s="874"/>
      <c r="BD91" s="874"/>
      <c r="BE91" s="874"/>
      <c r="BF91" s="874"/>
      <c r="BG91" s="874"/>
      <c r="BH91" s="874"/>
      <c r="BI91" s="874"/>
      <c r="BJ91" s="874"/>
      <c r="BK91" s="875"/>
      <c r="BL91" s="326"/>
      <c r="BM91" s="332">
        <f t="shared" si="47"/>
        <v>0</v>
      </c>
      <c r="BN91" s="333">
        <f t="shared" si="48"/>
        <v>0</v>
      </c>
      <c r="BO91" s="329"/>
      <c r="BP91" s="330"/>
      <c r="BQ91" s="330"/>
      <c r="BR91" s="330"/>
      <c r="BS91" s="330"/>
      <c r="BT91" s="330"/>
      <c r="BU91" s="330"/>
      <c r="BV91" s="330"/>
      <c r="BW91" s="330"/>
      <c r="BX91" s="330"/>
      <c r="BY91" s="330"/>
      <c r="BZ91" s="331"/>
      <c r="CA91" s="326"/>
      <c r="CB91" s="332">
        <f t="shared" si="49"/>
        <v>0</v>
      </c>
      <c r="CC91" s="333">
        <f t="shared" si="50"/>
        <v>0</v>
      </c>
      <c r="CD91" s="329"/>
      <c r="CE91" s="330"/>
      <c r="CF91" s="330"/>
      <c r="CG91" s="330"/>
      <c r="CH91" s="330"/>
      <c r="CI91" s="330"/>
      <c r="CJ91" s="330"/>
      <c r="CK91" s="330"/>
      <c r="CL91" s="330"/>
      <c r="CM91" s="330"/>
      <c r="CN91" s="330"/>
      <c r="CO91" s="331"/>
      <c r="CP91" s="326"/>
      <c r="CQ91" s="332">
        <f t="shared" si="51"/>
        <v>0</v>
      </c>
      <c r="CR91" s="333">
        <f t="shared" si="52"/>
        <v>0</v>
      </c>
      <c r="CS91" s="334">
        <f t="shared" si="54"/>
        <v>0</v>
      </c>
      <c r="CT91" s="335">
        <f t="shared" si="55"/>
        <v>0</v>
      </c>
      <c r="CU91" s="417">
        <f t="shared" si="56"/>
        <v>0</v>
      </c>
      <c r="CV91" s="529" t="str">
        <f t="shared" si="53"/>
        <v xml:space="preserve"> </v>
      </c>
      <c r="CW91" s="529" t="str">
        <f t="shared" si="42"/>
        <v xml:space="preserve"> </v>
      </c>
      <c r="CX91" s="528">
        <f t="shared" si="57"/>
        <v>0</v>
      </c>
    </row>
    <row r="92" spans="1:102" s="33" customFormat="1" ht="24.75" customHeight="1" thickBot="1">
      <c r="A92" s="1052"/>
      <c r="B92" s="1050"/>
      <c r="C92" s="1050"/>
      <c r="D92" s="34"/>
      <c r="E92" s="125" t="s">
        <v>106</v>
      </c>
      <c r="F92" s="30"/>
      <c r="G92" s="31"/>
      <c r="H92" s="31"/>
      <c r="I92" s="848"/>
      <c r="J92" s="847"/>
      <c r="K92" s="522" t="str">
        <f t="shared" si="43"/>
        <v xml:space="preserve"> </v>
      </c>
      <c r="L92" s="31"/>
      <c r="M92" s="31"/>
      <c r="N92" s="401"/>
      <c r="O92" s="698"/>
      <c r="P92" s="674" t="s">
        <v>1990</v>
      </c>
      <c r="Q92" s="857"/>
      <c r="R92" s="182"/>
      <c r="S92" s="326"/>
      <c r="T92" s="399"/>
      <c r="U92" s="328">
        <f t="shared" si="44"/>
        <v>0</v>
      </c>
      <c r="V92" s="858"/>
      <c r="W92" s="856"/>
      <c r="X92" s="856"/>
      <c r="Y92" s="856"/>
      <c r="Z92" s="856"/>
      <c r="AA92" s="856"/>
      <c r="AB92" s="854"/>
      <c r="AC92" s="854"/>
      <c r="AD92" s="854"/>
      <c r="AE92" s="854"/>
      <c r="AF92" s="854"/>
      <c r="AG92" s="855"/>
      <c r="AH92" s="326"/>
      <c r="AI92" s="327">
        <f t="shared" si="45"/>
        <v>0</v>
      </c>
      <c r="AJ92" s="328">
        <f t="shared" ref="AJ92:AJ114" si="58">IFERROR(ROUND((Q92*AI92+Q92*AH92),2),0)</f>
        <v>0</v>
      </c>
      <c r="AK92" s="860"/>
      <c r="AL92" s="861"/>
      <c r="AM92" s="861"/>
      <c r="AN92" s="861"/>
      <c r="AO92" s="861"/>
      <c r="AP92" s="861"/>
      <c r="AQ92" s="861"/>
      <c r="AR92" s="861"/>
      <c r="AS92" s="861"/>
      <c r="AT92" s="861"/>
      <c r="AU92" s="861"/>
      <c r="AV92" s="862"/>
      <c r="AW92" s="326"/>
      <c r="AX92" s="332">
        <f t="shared" si="46"/>
        <v>0</v>
      </c>
      <c r="AY92" s="333">
        <f t="shared" ref="AY92:AY114" si="59">IFERROR(ROUND((Q92*AX92+Q92*AW92),2),0)</f>
        <v>0</v>
      </c>
      <c r="AZ92" s="873"/>
      <c r="BA92" s="874"/>
      <c r="BB92" s="874"/>
      <c r="BC92" s="874"/>
      <c r="BD92" s="874"/>
      <c r="BE92" s="874"/>
      <c r="BF92" s="874"/>
      <c r="BG92" s="874"/>
      <c r="BH92" s="874"/>
      <c r="BI92" s="874"/>
      <c r="BJ92" s="874"/>
      <c r="BK92" s="875"/>
      <c r="BL92" s="326"/>
      <c r="BM92" s="332">
        <f t="shared" si="47"/>
        <v>0</v>
      </c>
      <c r="BN92" s="333">
        <f t="shared" si="48"/>
        <v>0</v>
      </c>
      <c r="BO92" s="329"/>
      <c r="BP92" s="330"/>
      <c r="BQ92" s="330"/>
      <c r="BR92" s="330"/>
      <c r="BS92" s="330"/>
      <c r="BT92" s="330"/>
      <c r="BU92" s="330"/>
      <c r="BV92" s="330"/>
      <c r="BW92" s="330"/>
      <c r="BX92" s="330"/>
      <c r="BY92" s="330"/>
      <c r="BZ92" s="331"/>
      <c r="CA92" s="326"/>
      <c r="CB92" s="332">
        <f t="shared" si="49"/>
        <v>0</v>
      </c>
      <c r="CC92" s="333">
        <f t="shared" si="50"/>
        <v>0</v>
      </c>
      <c r="CD92" s="329"/>
      <c r="CE92" s="330"/>
      <c r="CF92" s="330"/>
      <c r="CG92" s="330"/>
      <c r="CH92" s="330"/>
      <c r="CI92" s="330"/>
      <c r="CJ92" s="330"/>
      <c r="CK92" s="330"/>
      <c r="CL92" s="330"/>
      <c r="CM92" s="330"/>
      <c r="CN92" s="330"/>
      <c r="CO92" s="331"/>
      <c r="CP92" s="326"/>
      <c r="CQ92" s="332">
        <f t="shared" si="51"/>
        <v>0</v>
      </c>
      <c r="CR92" s="333">
        <f t="shared" si="52"/>
        <v>0</v>
      </c>
      <c r="CS92" s="334">
        <f t="shared" si="54"/>
        <v>0</v>
      </c>
      <c r="CT92" s="335">
        <f t="shared" si="55"/>
        <v>0</v>
      </c>
      <c r="CU92" s="417">
        <f t="shared" si="56"/>
        <v>0</v>
      </c>
      <c r="CV92" s="529" t="str">
        <f t="shared" si="53"/>
        <v xml:space="preserve"> </v>
      </c>
      <c r="CW92" s="529" t="str">
        <f t="shared" si="42"/>
        <v xml:space="preserve"> </v>
      </c>
      <c r="CX92" s="528">
        <f t="shared" si="57"/>
        <v>0</v>
      </c>
    </row>
    <row r="93" spans="1:102" s="33" customFormat="1" ht="24.75" customHeight="1" thickBot="1">
      <c r="A93" s="1051" t="s">
        <v>149</v>
      </c>
      <c r="B93" s="1048" t="s">
        <v>1516</v>
      </c>
      <c r="C93" s="1048" t="s">
        <v>98</v>
      </c>
      <c r="D93" s="34"/>
      <c r="E93" s="125" t="s">
        <v>106</v>
      </c>
      <c r="F93" s="30"/>
      <c r="G93" s="31"/>
      <c r="H93" s="31"/>
      <c r="I93" s="848"/>
      <c r="J93" s="847"/>
      <c r="K93" s="522" t="str">
        <f t="shared" ref="K93:K114" si="60">IF(YEAR(I93+J93)=1900," ",I93+J93)</f>
        <v xml:space="preserve"> </v>
      </c>
      <c r="L93" s="31"/>
      <c r="M93" s="31"/>
      <c r="N93" s="401"/>
      <c r="O93" s="698"/>
      <c r="P93" s="674" t="s">
        <v>1990</v>
      </c>
      <c r="Q93" s="857"/>
      <c r="R93" s="182"/>
      <c r="S93" s="326"/>
      <c r="T93" s="399"/>
      <c r="U93" s="328">
        <f t="shared" si="44"/>
        <v>0</v>
      </c>
      <c r="V93" s="858"/>
      <c r="W93" s="856"/>
      <c r="X93" s="856"/>
      <c r="Y93" s="856"/>
      <c r="Z93" s="856"/>
      <c r="AA93" s="856"/>
      <c r="AB93" s="854"/>
      <c r="AC93" s="854"/>
      <c r="AD93" s="854"/>
      <c r="AE93" s="854"/>
      <c r="AF93" s="854"/>
      <c r="AG93" s="855"/>
      <c r="AH93" s="326"/>
      <c r="AI93" s="327">
        <f t="shared" si="45"/>
        <v>0</v>
      </c>
      <c r="AJ93" s="328">
        <f t="shared" si="58"/>
        <v>0</v>
      </c>
      <c r="AK93" s="860"/>
      <c r="AL93" s="861"/>
      <c r="AM93" s="861"/>
      <c r="AN93" s="861"/>
      <c r="AO93" s="861"/>
      <c r="AP93" s="861"/>
      <c r="AQ93" s="861"/>
      <c r="AR93" s="861"/>
      <c r="AS93" s="861"/>
      <c r="AT93" s="861"/>
      <c r="AU93" s="861"/>
      <c r="AV93" s="862"/>
      <c r="AW93" s="326"/>
      <c r="AX93" s="332">
        <f t="shared" si="46"/>
        <v>0</v>
      </c>
      <c r="AY93" s="333">
        <f t="shared" si="59"/>
        <v>0</v>
      </c>
      <c r="AZ93" s="873"/>
      <c r="BA93" s="874"/>
      <c r="BB93" s="874"/>
      <c r="BC93" s="874"/>
      <c r="BD93" s="874"/>
      <c r="BE93" s="874"/>
      <c r="BF93" s="874"/>
      <c r="BG93" s="874"/>
      <c r="BH93" s="874"/>
      <c r="BI93" s="874"/>
      <c r="BJ93" s="874"/>
      <c r="BK93" s="875"/>
      <c r="BL93" s="326"/>
      <c r="BM93" s="332">
        <f t="shared" si="47"/>
        <v>0</v>
      </c>
      <c r="BN93" s="333">
        <f t="shared" si="48"/>
        <v>0</v>
      </c>
      <c r="BO93" s="329"/>
      <c r="BP93" s="330"/>
      <c r="BQ93" s="330"/>
      <c r="BR93" s="330"/>
      <c r="BS93" s="330"/>
      <c r="BT93" s="330"/>
      <c r="BU93" s="330"/>
      <c r="BV93" s="330"/>
      <c r="BW93" s="330"/>
      <c r="BX93" s="330"/>
      <c r="BY93" s="330"/>
      <c r="BZ93" s="331"/>
      <c r="CA93" s="326"/>
      <c r="CB93" s="332">
        <f t="shared" si="49"/>
        <v>0</v>
      </c>
      <c r="CC93" s="333">
        <f t="shared" si="50"/>
        <v>0</v>
      </c>
      <c r="CD93" s="329"/>
      <c r="CE93" s="330"/>
      <c r="CF93" s="330"/>
      <c r="CG93" s="330"/>
      <c r="CH93" s="330"/>
      <c r="CI93" s="330"/>
      <c r="CJ93" s="330"/>
      <c r="CK93" s="330"/>
      <c r="CL93" s="330"/>
      <c r="CM93" s="330"/>
      <c r="CN93" s="330"/>
      <c r="CO93" s="331"/>
      <c r="CP93" s="326"/>
      <c r="CQ93" s="332">
        <f t="shared" si="51"/>
        <v>0</v>
      </c>
      <c r="CR93" s="333">
        <f t="shared" si="52"/>
        <v>0</v>
      </c>
      <c r="CS93" s="334">
        <f t="shared" si="54"/>
        <v>0</v>
      </c>
      <c r="CT93" s="335">
        <f t="shared" si="55"/>
        <v>0</v>
      </c>
      <c r="CU93" s="417">
        <f t="shared" si="56"/>
        <v>0</v>
      </c>
      <c r="CV93" s="529" t="str">
        <f t="shared" si="53"/>
        <v xml:space="preserve"> </v>
      </c>
      <c r="CW93" s="529" t="str">
        <f t="shared" si="42"/>
        <v xml:space="preserve"> </v>
      </c>
      <c r="CX93" s="528">
        <f t="shared" si="57"/>
        <v>0</v>
      </c>
    </row>
    <row r="94" spans="1:102" s="33" customFormat="1" ht="24.75" customHeight="1" thickBot="1">
      <c r="A94" s="1052"/>
      <c r="B94" s="1050"/>
      <c r="C94" s="1050"/>
      <c r="D94" s="34"/>
      <c r="E94" s="125" t="s">
        <v>106</v>
      </c>
      <c r="F94" s="30"/>
      <c r="G94" s="31"/>
      <c r="H94" s="31"/>
      <c r="I94" s="848"/>
      <c r="J94" s="847"/>
      <c r="K94" s="522" t="str">
        <f t="shared" si="60"/>
        <v xml:space="preserve"> </v>
      </c>
      <c r="L94" s="31"/>
      <c r="M94" s="31"/>
      <c r="N94" s="401"/>
      <c r="O94" s="698"/>
      <c r="P94" s="674" t="s">
        <v>1990</v>
      </c>
      <c r="Q94" s="857"/>
      <c r="R94" s="182"/>
      <c r="S94" s="326"/>
      <c r="T94" s="399"/>
      <c r="U94" s="328">
        <f t="shared" si="44"/>
        <v>0</v>
      </c>
      <c r="V94" s="858"/>
      <c r="W94" s="856"/>
      <c r="X94" s="856"/>
      <c r="Y94" s="856"/>
      <c r="Z94" s="856"/>
      <c r="AA94" s="856"/>
      <c r="AB94" s="854"/>
      <c r="AC94" s="854"/>
      <c r="AD94" s="854"/>
      <c r="AE94" s="854"/>
      <c r="AF94" s="854"/>
      <c r="AG94" s="855"/>
      <c r="AH94" s="326"/>
      <c r="AI94" s="327">
        <f t="shared" si="45"/>
        <v>0</v>
      </c>
      <c r="AJ94" s="328">
        <f t="shared" si="58"/>
        <v>0</v>
      </c>
      <c r="AK94" s="860"/>
      <c r="AL94" s="861"/>
      <c r="AM94" s="861"/>
      <c r="AN94" s="861"/>
      <c r="AO94" s="861"/>
      <c r="AP94" s="861"/>
      <c r="AQ94" s="861"/>
      <c r="AR94" s="861"/>
      <c r="AS94" s="861"/>
      <c r="AT94" s="861"/>
      <c r="AU94" s="861"/>
      <c r="AV94" s="862"/>
      <c r="AW94" s="326"/>
      <c r="AX94" s="332">
        <f t="shared" si="46"/>
        <v>0</v>
      </c>
      <c r="AY94" s="333">
        <f t="shared" si="59"/>
        <v>0</v>
      </c>
      <c r="AZ94" s="873"/>
      <c r="BA94" s="874"/>
      <c r="BB94" s="874"/>
      <c r="BC94" s="874"/>
      <c r="BD94" s="874"/>
      <c r="BE94" s="874"/>
      <c r="BF94" s="874"/>
      <c r="BG94" s="874"/>
      <c r="BH94" s="874"/>
      <c r="BI94" s="874"/>
      <c r="BJ94" s="874"/>
      <c r="BK94" s="875"/>
      <c r="BL94" s="326"/>
      <c r="BM94" s="332">
        <f t="shared" si="47"/>
        <v>0</v>
      </c>
      <c r="BN94" s="333">
        <f t="shared" si="48"/>
        <v>0</v>
      </c>
      <c r="BO94" s="329"/>
      <c r="BP94" s="330"/>
      <c r="BQ94" s="330"/>
      <c r="BR94" s="330"/>
      <c r="BS94" s="330"/>
      <c r="BT94" s="330"/>
      <c r="BU94" s="330"/>
      <c r="BV94" s="330"/>
      <c r="BW94" s="330"/>
      <c r="BX94" s="330"/>
      <c r="BY94" s="330"/>
      <c r="BZ94" s="331"/>
      <c r="CA94" s="326"/>
      <c r="CB94" s="332">
        <f t="shared" si="49"/>
        <v>0</v>
      </c>
      <c r="CC94" s="333">
        <f t="shared" si="50"/>
        <v>0</v>
      </c>
      <c r="CD94" s="329"/>
      <c r="CE94" s="330"/>
      <c r="CF94" s="330"/>
      <c r="CG94" s="330"/>
      <c r="CH94" s="330"/>
      <c r="CI94" s="330"/>
      <c r="CJ94" s="330"/>
      <c r="CK94" s="330"/>
      <c r="CL94" s="330"/>
      <c r="CM94" s="330"/>
      <c r="CN94" s="330"/>
      <c r="CO94" s="331"/>
      <c r="CP94" s="326"/>
      <c r="CQ94" s="332">
        <f t="shared" si="51"/>
        <v>0</v>
      </c>
      <c r="CR94" s="333">
        <f t="shared" si="52"/>
        <v>0</v>
      </c>
      <c r="CS94" s="334">
        <f t="shared" si="54"/>
        <v>0</v>
      </c>
      <c r="CT94" s="335">
        <f t="shared" si="55"/>
        <v>0</v>
      </c>
      <c r="CU94" s="417">
        <f t="shared" si="56"/>
        <v>0</v>
      </c>
      <c r="CV94" s="529" t="str">
        <f t="shared" si="53"/>
        <v xml:space="preserve"> </v>
      </c>
      <c r="CW94" s="529" t="str">
        <f t="shared" si="42"/>
        <v xml:space="preserve"> </v>
      </c>
      <c r="CX94" s="528">
        <f t="shared" si="57"/>
        <v>0</v>
      </c>
    </row>
    <row r="95" spans="1:102" s="33" customFormat="1" ht="24.75" customHeight="1" thickBot="1">
      <c r="A95" s="1051" t="s">
        <v>138</v>
      </c>
      <c r="B95" s="1048" t="s">
        <v>1517</v>
      </c>
      <c r="C95" s="1048" t="s">
        <v>94</v>
      </c>
      <c r="D95" s="34"/>
      <c r="E95" s="125" t="s">
        <v>106</v>
      </c>
      <c r="F95" s="30"/>
      <c r="G95" s="31"/>
      <c r="H95" s="31"/>
      <c r="I95" s="849">
        <v>43539</v>
      </c>
      <c r="J95" s="847">
        <v>30</v>
      </c>
      <c r="K95" s="522">
        <f t="shared" si="60"/>
        <v>43569</v>
      </c>
      <c r="L95" s="31"/>
      <c r="M95" s="31"/>
      <c r="N95" s="401"/>
      <c r="O95" s="698"/>
      <c r="P95" s="674" t="s">
        <v>1990</v>
      </c>
      <c r="Q95" s="857">
        <v>87230.769230769205</v>
      </c>
      <c r="R95" s="182"/>
      <c r="S95" s="326"/>
      <c r="T95" s="399"/>
      <c r="U95" s="328">
        <f t="shared" si="44"/>
        <v>0</v>
      </c>
      <c r="V95" s="858"/>
      <c r="W95" s="856"/>
      <c r="X95" s="856"/>
      <c r="Y95" s="856"/>
      <c r="Z95" s="856"/>
      <c r="AA95" s="856"/>
      <c r="AB95" s="854"/>
      <c r="AC95" s="854"/>
      <c r="AD95" s="854"/>
      <c r="AE95" s="854"/>
      <c r="AF95" s="854"/>
      <c r="AG95" s="855"/>
      <c r="AH95" s="326"/>
      <c r="AI95" s="327">
        <f t="shared" si="45"/>
        <v>0</v>
      </c>
      <c r="AJ95" s="328">
        <f t="shared" si="58"/>
        <v>0</v>
      </c>
      <c r="AK95" s="860"/>
      <c r="AL95" s="861"/>
      <c r="AM95" s="861"/>
      <c r="AN95" s="861"/>
      <c r="AO95" s="861"/>
      <c r="AP95" s="861"/>
      <c r="AQ95" s="861"/>
      <c r="AR95" s="861"/>
      <c r="AS95" s="861"/>
      <c r="AT95" s="861"/>
      <c r="AU95" s="861"/>
      <c r="AV95" s="862"/>
      <c r="AW95" s="326"/>
      <c r="AX95" s="332">
        <f t="shared" si="46"/>
        <v>0</v>
      </c>
      <c r="AY95" s="333">
        <f t="shared" si="59"/>
        <v>0</v>
      </c>
      <c r="AZ95" s="887">
        <v>1</v>
      </c>
      <c r="BA95" s="888">
        <v>1</v>
      </c>
      <c r="BB95" s="874"/>
      <c r="BC95" s="874"/>
      <c r="BD95" s="874"/>
      <c r="BE95" s="874"/>
      <c r="BF95" s="874"/>
      <c r="BG95" s="874"/>
      <c r="BH95" s="874"/>
      <c r="BI95" s="874"/>
      <c r="BJ95" s="874"/>
      <c r="BK95" s="875"/>
      <c r="BL95" s="326"/>
      <c r="BM95" s="332">
        <f t="shared" si="47"/>
        <v>2</v>
      </c>
      <c r="BN95" s="333">
        <f t="shared" si="48"/>
        <v>174461.54</v>
      </c>
      <c r="BO95" s="329"/>
      <c r="BP95" s="330"/>
      <c r="BQ95" s="330"/>
      <c r="BR95" s="330"/>
      <c r="BS95" s="330"/>
      <c r="BT95" s="330"/>
      <c r="BU95" s="330"/>
      <c r="BV95" s="330"/>
      <c r="BW95" s="330"/>
      <c r="BX95" s="330"/>
      <c r="BY95" s="330"/>
      <c r="BZ95" s="331"/>
      <c r="CA95" s="326"/>
      <c r="CB95" s="332">
        <f t="shared" si="49"/>
        <v>0</v>
      </c>
      <c r="CC95" s="333">
        <f t="shared" si="50"/>
        <v>0</v>
      </c>
      <c r="CD95" s="329"/>
      <c r="CE95" s="330"/>
      <c r="CF95" s="330"/>
      <c r="CG95" s="330"/>
      <c r="CH95" s="330"/>
      <c r="CI95" s="330"/>
      <c r="CJ95" s="330"/>
      <c r="CK95" s="330"/>
      <c r="CL95" s="330"/>
      <c r="CM95" s="330"/>
      <c r="CN95" s="330"/>
      <c r="CO95" s="331"/>
      <c r="CP95" s="326"/>
      <c r="CQ95" s="332">
        <f t="shared" si="51"/>
        <v>0</v>
      </c>
      <c r="CR95" s="333">
        <f t="shared" si="52"/>
        <v>0</v>
      </c>
      <c r="CS95" s="334">
        <f t="shared" si="54"/>
        <v>0</v>
      </c>
      <c r="CT95" s="335">
        <f t="shared" si="55"/>
        <v>2</v>
      </c>
      <c r="CU95" s="417">
        <f t="shared" si="56"/>
        <v>174461.54</v>
      </c>
      <c r="CV95" s="529" t="str">
        <f t="shared" si="53"/>
        <v xml:space="preserve"> </v>
      </c>
      <c r="CW95" s="529">
        <f t="shared" ref="CW95:CW114" si="61">IF(YEAR(I95+J95)=1900," ",YEAR(I95+J95))</f>
        <v>2019</v>
      </c>
      <c r="CX95" s="528">
        <f t="shared" si="57"/>
        <v>174461.54</v>
      </c>
    </row>
    <row r="96" spans="1:102" s="33" customFormat="1" ht="24.75" customHeight="1" thickBot="1">
      <c r="A96" s="1052"/>
      <c r="B96" s="1050"/>
      <c r="C96" s="1050"/>
      <c r="D96" s="34"/>
      <c r="E96" s="125" t="s">
        <v>106</v>
      </c>
      <c r="F96" s="30"/>
      <c r="G96" s="31"/>
      <c r="H96" s="31"/>
      <c r="I96" s="848"/>
      <c r="J96" s="847"/>
      <c r="K96" s="522" t="str">
        <f t="shared" si="60"/>
        <v xml:space="preserve"> </v>
      </c>
      <c r="L96" s="31"/>
      <c r="M96" s="31"/>
      <c r="N96" s="401"/>
      <c r="O96" s="698"/>
      <c r="P96" s="674" t="s">
        <v>1990</v>
      </c>
      <c r="Q96" s="857"/>
      <c r="R96" s="182"/>
      <c r="S96" s="326"/>
      <c r="T96" s="399"/>
      <c r="U96" s="328">
        <f t="shared" si="44"/>
        <v>0</v>
      </c>
      <c r="V96" s="858"/>
      <c r="W96" s="856"/>
      <c r="X96" s="856"/>
      <c r="Y96" s="856"/>
      <c r="Z96" s="856"/>
      <c r="AA96" s="856"/>
      <c r="AB96" s="854"/>
      <c r="AC96" s="854"/>
      <c r="AD96" s="854"/>
      <c r="AE96" s="854"/>
      <c r="AF96" s="854"/>
      <c r="AG96" s="855"/>
      <c r="AH96" s="326"/>
      <c r="AI96" s="327">
        <f t="shared" si="45"/>
        <v>0</v>
      </c>
      <c r="AJ96" s="328">
        <f t="shared" si="58"/>
        <v>0</v>
      </c>
      <c r="AK96" s="860"/>
      <c r="AL96" s="861"/>
      <c r="AM96" s="861"/>
      <c r="AN96" s="861"/>
      <c r="AO96" s="861"/>
      <c r="AP96" s="861"/>
      <c r="AQ96" s="861"/>
      <c r="AR96" s="861"/>
      <c r="AS96" s="861"/>
      <c r="AT96" s="861"/>
      <c r="AU96" s="861"/>
      <c r="AV96" s="862"/>
      <c r="AW96" s="326"/>
      <c r="AX96" s="332">
        <f t="shared" si="46"/>
        <v>0</v>
      </c>
      <c r="AY96" s="333">
        <f t="shared" si="59"/>
        <v>0</v>
      </c>
      <c r="AZ96" s="873"/>
      <c r="BA96" s="874"/>
      <c r="BB96" s="874"/>
      <c r="BC96" s="874"/>
      <c r="BD96" s="874"/>
      <c r="BE96" s="874"/>
      <c r="BF96" s="874"/>
      <c r="BG96" s="874"/>
      <c r="BH96" s="874"/>
      <c r="BI96" s="874"/>
      <c r="BJ96" s="874"/>
      <c r="BK96" s="875"/>
      <c r="BL96" s="326"/>
      <c r="BM96" s="332">
        <f t="shared" si="47"/>
        <v>0</v>
      </c>
      <c r="BN96" s="333">
        <f t="shared" si="48"/>
        <v>0</v>
      </c>
      <c r="BO96" s="329"/>
      <c r="BP96" s="330"/>
      <c r="BQ96" s="330"/>
      <c r="BR96" s="330"/>
      <c r="BS96" s="330"/>
      <c r="BT96" s="330"/>
      <c r="BU96" s="330"/>
      <c r="BV96" s="330"/>
      <c r="BW96" s="330"/>
      <c r="BX96" s="330"/>
      <c r="BY96" s="330"/>
      <c r="BZ96" s="331"/>
      <c r="CA96" s="326"/>
      <c r="CB96" s="332">
        <f t="shared" si="49"/>
        <v>0</v>
      </c>
      <c r="CC96" s="333">
        <f t="shared" si="50"/>
        <v>0</v>
      </c>
      <c r="CD96" s="329"/>
      <c r="CE96" s="330"/>
      <c r="CF96" s="330"/>
      <c r="CG96" s="330"/>
      <c r="CH96" s="330"/>
      <c r="CI96" s="330"/>
      <c r="CJ96" s="330"/>
      <c r="CK96" s="330"/>
      <c r="CL96" s="330"/>
      <c r="CM96" s="330"/>
      <c r="CN96" s="330"/>
      <c r="CO96" s="331"/>
      <c r="CP96" s="326"/>
      <c r="CQ96" s="332">
        <f t="shared" si="51"/>
        <v>0</v>
      </c>
      <c r="CR96" s="333">
        <f t="shared" si="52"/>
        <v>0</v>
      </c>
      <c r="CS96" s="334">
        <f t="shared" si="54"/>
        <v>0</v>
      </c>
      <c r="CT96" s="335">
        <f t="shared" si="55"/>
        <v>0</v>
      </c>
      <c r="CU96" s="417">
        <f t="shared" si="56"/>
        <v>0</v>
      </c>
      <c r="CV96" s="529" t="str">
        <f t="shared" si="53"/>
        <v xml:space="preserve"> </v>
      </c>
      <c r="CW96" s="529" t="str">
        <f t="shared" si="61"/>
        <v xml:space="preserve"> </v>
      </c>
      <c r="CX96" s="528">
        <f t="shared" si="57"/>
        <v>0</v>
      </c>
    </row>
    <row r="97" spans="1:102" s="33" customFormat="1" ht="24.75" customHeight="1" thickBot="1">
      <c r="A97" s="1051" t="s">
        <v>150</v>
      </c>
      <c r="B97" s="1048" t="s">
        <v>1518</v>
      </c>
      <c r="C97" s="1048" t="s">
        <v>1523</v>
      </c>
      <c r="D97" s="34"/>
      <c r="E97" s="125" t="s">
        <v>106</v>
      </c>
      <c r="F97" s="30"/>
      <c r="G97" s="31"/>
      <c r="H97" s="31"/>
      <c r="I97" s="849">
        <v>43539</v>
      </c>
      <c r="J97" s="847">
        <v>30</v>
      </c>
      <c r="K97" s="522">
        <f t="shared" si="60"/>
        <v>43569</v>
      </c>
      <c r="L97" s="31"/>
      <c r="M97" s="31"/>
      <c r="N97" s="401"/>
      <c r="O97" s="698"/>
      <c r="P97" s="674" t="s">
        <v>1990</v>
      </c>
      <c r="Q97" s="857">
        <v>87230.769230769205</v>
      </c>
      <c r="R97" s="182"/>
      <c r="S97" s="326"/>
      <c r="T97" s="399"/>
      <c r="U97" s="328">
        <f t="shared" si="44"/>
        <v>0</v>
      </c>
      <c r="V97" s="858"/>
      <c r="W97" s="856"/>
      <c r="X97" s="856"/>
      <c r="Y97" s="856"/>
      <c r="Z97" s="856"/>
      <c r="AA97" s="856"/>
      <c r="AB97" s="854"/>
      <c r="AC97" s="854"/>
      <c r="AD97" s="854"/>
      <c r="AE97" s="854"/>
      <c r="AF97" s="854"/>
      <c r="AG97" s="855"/>
      <c r="AH97" s="326"/>
      <c r="AI97" s="327">
        <f t="shared" si="45"/>
        <v>0</v>
      </c>
      <c r="AJ97" s="328">
        <f t="shared" si="58"/>
        <v>0</v>
      </c>
      <c r="AK97" s="860"/>
      <c r="AL97" s="861"/>
      <c r="AM97" s="861"/>
      <c r="AN97" s="861"/>
      <c r="AO97" s="861"/>
      <c r="AP97" s="861"/>
      <c r="AQ97" s="861"/>
      <c r="AR97" s="861"/>
      <c r="AS97" s="861"/>
      <c r="AT97" s="861"/>
      <c r="AU97" s="861"/>
      <c r="AV97" s="862"/>
      <c r="AW97" s="326"/>
      <c r="AX97" s="332">
        <f t="shared" si="46"/>
        <v>0</v>
      </c>
      <c r="AY97" s="333">
        <f t="shared" si="59"/>
        <v>0</v>
      </c>
      <c r="AZ97" s="887">
        <v>1</v>
      </c>
      <c r="BA97" s="888">
        <v>1</v>
      </c>
      <c r="BB97" s="874"/>
      <c r="BC97" s="874"/>
      <c r="BD97" s="874"/>
      <c r="BE97" s="874"/>
      <c r="BF97" s="874"/>
      <c r="BG97" s="874"/>
      <c r="BH97" s="874"/>
      <c r="BI97" s="874"/>
      <c r="BJ97" s="874"/>
      <c r="BK97" s="875"/>
      <c r="BL97" s="326"/>
      <c r="BM97" s="332">
        <f t="shared" si="47"/>
        <v>2</v>
      </c>
      <c r="BN97" s="333">
        <f t="shared" si="48"/>
        <v>174461.54</v>
      </c>
      <c r="BO97" s="329"/>
      <c r="BP97" s="330"/>
      <c r="BQ97" s="330"/>
      <c r="BR97" s="330"/>
      <c r="BS97" s="330"/>
      <c r="BT97" s="330"/>
      <c r="BU97" s="330"/>
      <c r="BV97" s="330"/>
      <c r="BW97" s="330"/>
      <c r="BX97" s="330"/>
      <c r="BY97" s="330"/>
      <c r="BZ97" s="331"/>
      <c r="CA97" s="326"/>
      <c r="CB97" s="332">
        <f t="shared" si="49"/>
        <v>0</v>
      </c>
      <c r="CC97" s="333">
        <f t="shared" si="50"/>
        <v>0</v>
      </c>
      <c r="CD97" s="329"/>
      <c r="CE97" s="330"/>
      <c r="CF97" s="330"/>
      <c r="CG97" s="330"/>
      <c r="CH97" s="330"/>
      <c r="CI97" s="330"/>
      <c r="CJ97" s="330"/>
      <c r="CK97" s="330"/>
      <c r="CL97" s="330"/>
      <c r="CM97" s="330"/>
      <c r="CN97" s="330"/>
      <c r="CO97" s="331"/>
      <c r="CP97" s="326"/>
      <c r="CQ97" s="332">
        <f t="shared" si="51"/>
        <v>0</v>
      </c>
      <c r="CR97" s="333">
        <f t="shared" si="52"/>
        <v>0</v>
      </c>
      <c r="CS97" s="334">
        <f t="shared" si="54"/>
        <v>0</v>
      </c>
      <c r="CT97" s="335">
        <f t="shared" si="55"/>
        <v>2</v>
      </c>
      <c r="CU97" s="417">
        <f t="shared" si="56"/>
        <v>174461.54</v>
      </c>
      <c r="CV97" s="529" t="str">
        <f t="shared" si="53"/>
        <v xml:space="preserve"> </v>
      </c>
      <c r="CW97" s="529">
        <f t="shared" si="61"/>
        <v>2019</v>
      </c>
      <c r="CX97" s="528">
        <f t="shared" si="57"/>
        <v>174461.54</v>
      </c>
    </row>
    <row r="98" spans="1:102" s="33" customFormat="1" ht="24.75" customHeight="1" thickBot="1">
      <c r="A98" s="1052"/>
      <c r="B98" s="1050"/>
      <c r="C98" s="1050"/>
      <c r="D98" s="34"/>
      <c r="E98" s="125" t="s">
        <v>106</v>
      </c>
      <c r="F98" s="30"/>
      <c r="G98" s="31"/>
      <c r="H98" s="31"/>
      <c r="I98" s="848"/>
      <c r="J98" s="847"/>
      <c r="K98" s="522" t="str">
        <f t="shared" si="60"/>
        <v xml:space="preserve"> </v>
      </c>
      <c r="L98" s="31"/>
      <c r="M98" s="31"/>
      <c r="N98" s="401"/>
      <c r="O98" s="698"/>
      <c r="P98" s="674" t="s">
        <v>1990</v>
      </c>
      <c r="Q98" s="857"/>
      <c r="R98" s="182"/>
      <c r="S98" s="326"/>
      <c r="T98" s="399"/>
      <c r="U98" s="328">
        <f t="shared" si="44"/>
        <v>0</v>
      </c>
      <c r="V98" s="858"/>
      <c r="W98" s="856"/>
      <c r="X98" s="856"/>
      <c r="Y98" s="856"/>
      <c r="Z98" s="856"/>
      <c r="AA98" s="856"/>
      <c r="AB98" s="854"/>
      <c r="AC98" s="854"/>
      <c r="AD98" s="854"/>
      <c r="AE98" s="854"/>
      <c r="AF98" s="854"/>
      <c r="AG98" s="855"/>
      <c r="AH98" s="326"/>
      <c r="AI98" s="327">
        <f t="shared" si="45"/>
        <v>0</v>
      </c>
      <c r="AJ98" s="328">
        <f t="shared" si="58"/>
        <v>0</v>
      </c>
      <c r="AK98" s="860"/>
      <c r="AL98" s="861"/>
      <c r="AM98" s="861"/>
      <c r="AN98" s="861"/>
      <c r="AO98" s="861"/>
      <c r="AP98" s="861"/>
      <c r="AQ98" s="861"/>
      <c r="AR98" s="861"/>
      <c r="AS98" s="861"/>
      <c r="AT98" s="861"/>
      <c r="AU98" s="861"/>
      <c r="AV98" s="862"/>
      <c r="AW98" s="326"/>
      <c r="AX98" s="332">
        <f t="shared" si="46"/>
        <v>0</v>
      </c>
      <c r="AY98" s="333">
        <f t="shared" si="59"/>
        <v>0</v>
      </c>
      <c r="AZ98" s="873"/>
      <c r="BA98" s="874"/>
      <c r="BB98" s="874"/>
      <c r="BC98" s="874"/>
      <c r="BD98" s="874"/>
      <c r="BE98" s="874"/>
      <c r="BF98" s="874"/>
      <c r="BG98" s="874"/>
      <c r="BH98" s="874"/>
      <c r="BI98" s="874"/>
      <c r="BJ98" s="874"/>
      <c r="BK98" s="875"/>
      <c r="BL98" s="326"/>
      <c r="BM98" s="332">
        <f t="shared" si="47"/>
        <v>0</v>
      </c>
      <c r="BN98" s="333">
        <f t="shared" si="48"/>
        <v>0</v>
      </c>
      <c r="BO98" s="329"/>
      <c r="BP98" s="330"/>
      <c r="BQ98" s="330"/>
      <c r="BR98" s="330"/>
      <c r="BS98" s="330"/>
      <c r="BT98" s="330"/>
      <c r="BU98" s="330"/>
      <c r="BV98" s="330"/>
      <c r="BW98" s="330"/>
      <c r="BX98" s="330"/>
      <c r="BY98" s="330"/>
      <c r="BZ98" s="331"/>
      <c r="CA98" s="326"/>
      <c r="CB98" s="332">
        <f t="shared" si="49"/>
        <v>0</v>
      </c>
      <c r="CC98" s="333">
        <f t="shared" si="50"/>
        <v>0</v>
      </c>
      <c r="CD98" s="329"/>
      <c r="CE98" s="330"/>
      <c r="CF98" s="330"/>
      <c r="CG98" s="330"/>
      <c r="CH98" s="330"/>
      <c r="CI98" s="330"/>
      <c r="CJ98" s="330"/>
      <c r="CK98" s="330"/>
      <c r="CL98" s="330"/>
      <c r="CM98" s="330"/>
      <c r="CN98" s="330"/>
      <c r="CO98" s="331"/>
      <c r="CP98" s="326"/>
      <c r="CQ98" s="332">
        <f t="shared" si="51"/>
        <v>0</v>
      </c>
      <c r="CR98" s="333">
        <f t="shared" si="52"/>
        <v>0</v>
      </c>
      <c r="CS98" s="334">
        <f t="shared" si="54"/>
        <v>0</v>
      </c>
      <c r="CT98" s="335">
        <f t="shared" si="55"/>
        <v>0</v>
      </c>
      <c r="CU98" s="417">
        <f t="shared" si="56"/>
        <v>0</v>
      </c>
      <c r="CV98" s="529" t="str">
        <f t="shared" si="53"/>
        <v xml:space="preserve"> </v>
      </c>
      <c r="CW98" s="529" t="str">
        <f t="shared" si="61"/>
        <v xml:space="preserve"> </v>
      </c>
      <c r="CX98" s="528">
        <f t="shared" si="57"/>
        <v>0</v>
      </c>
    </row>
    <row r="99" spans="1:102" s="33" customFormat="1" ht="24.75" customHeight="1" thickBot="1">
      <c r="A99" s="1051" t="s">
        <v>151</v>
      </c>
      <c r="B99" s="1048" t="s">
        <v>1519</v>
      </c>
      <c r="C99" s="1048" t="s">
        <v>116</v>
      </c>
      <c r="D99" s="34"/>
      <c r="E99" s="125" t="s">
        <v>106</v>
      </c>
      <c r="F99" s="30"/>
      <c r="G99" s="31"/>
      <c r="H99" s="31"/>
      <c r="I99" s="850">
        <v>43784</v>
      </c>
      <c r="J99" s="847">
        <v>30</v>
      </c>
      <c r="K99" s="522">
        <f t="shared" si="60"/>
        <v>43814</v>
      </c>
      <c r="L99" s="31"/>
      <c r="M99" s="31"/>
      <c r="N99" s="401"/>
      <c r="O99" s="698"/>
      <c r="P99" s="674" t="s">
        <v>1990</v>
      </c>
      <c r="Q99" s="857">
        <v>235500</v>
      </c>
      <c r="R99" s="182"/>
      <c r="S99" s="326"/>
      <c r="T99" s="399"/>
      <c r="U99" s="328">
        <f t="shared" si="44"/>
        <v>0</v>
      </c>
      <c r="V99" s="858"/>
      <c r="W99" s="856"/>
      <c r="X99" s="856"/>
      <c r="Y99" s="856"/>
      <c r="Z99" s="856"/>
      <c r="AA99" s="856"/>
      <c r="AB99" s="854"/>
      <c r="AC99" s="854"/>
      <c r="AD99" s="854"/>
      <c r="AE99" s="854"/>
      <c r="AF99" s="854"/>
      <c r="AG99" s="855"/>
      <c r="AH99" s="326"/>
      <c r="AI99" s="327">
        <f t="shared" si="45"/>
        <v>0</v>
      </c>
      <c r="AJ99" s="328">
        <f t="shared" si="58"/>
        <v>0</v>
      </c>
      <c r="AK99" s="860"/>
      <c r="AL99" s="861"/>
      <c r="AM99" s="861"/>
      <c r="AN99" s="861"/>
      <c r="AO99" s="861"/>
      <c r="AP99" s="861"/>
      <c r="AQ99" s="861"/>
      <c r="AR99" s="861"/>
      <c r="AS99" s="861"/>
      <c r="AT99" s="861"/>
      <c r="AU99" s="861"/>
      <c r="AV99" s="862"/>
      <c r="AW99" s="326"/>
      <c r="AX99" s="332">
        <f t="shared" si="46"/>
        <v>0</v>
      </c>
      <c r="AY99" s="333">
        <f t="shared" si="59"/>
        <v>0</v>
      </c>
      <c r="AZ99" s="873"/>
      <c r="BA99" s="874"/>
      <c r="BB99" s="890">
        <v>1</v>
      </c>
      <c r="BC99" s="890">
        <v>1</v>
      </c>
      <c r="BD99" s="890">
        <v>1</v>
      </c>
      <c r="BE99" s="890">
        <v>1</v>
      </c>
      <c r="BF99" s="891">
        <v>1</v>
      </c>
      <c r="BG99" s="891">
        <v>1</v>
      </c>
      <c r="BH99" s="891">
        <v>1</v>
      </c>
      <c r="BI99" s="891">
        <v>1</v>
      </c>
      <c r="BJ99" s="874"/>
      <c r="BK99" s="875"/>
      <c r="BL99" s="326"/>
      <c r="BM99" s="332">
        <f t="shared" si="47"/>
        <v>8</v>
      </c>
      <c r="BN99" s="333">
        <f t="shared" si="48"/>
        <v>1884000</v>
      </c>
      <c r="BO99" s="329"/>
      <c r="BP99" s="330"/>
      <c r="BQ99" s="330"/>
      <c r="BR99" s="330"/>
      <c r="BS99" s="330"/>
      <c r="BT99" s="330"/>
      <c r="BU99" s="330"/>
      <c r="BV99" s="330"/>
      <c r="BW99" s="330"/>
      <c r="BX99" s="330"/>
      <c r="BY99" s="330"/>
      <c r="BZ99" s="331"/>
      <c r="CA99" s="326"/>
      <c r="CB99" s="332">
        <f t="shared" si="49"/>
        <v>0</v>
      </c>
      <c r="CC99" s="333">
        <f t="shared" si="50"/>
        <v>0</v>
      </c>
      <c r="CD99" s="329"/>
      <c r="CE99" s="330"/>
      <c r="CF99" s="330"/>
      <c r="CG99" s="330"/>
      <c r="CH99" s="330"/>
      <c r="CI99" s="330"/>
      <c r="CJ99" s="330"/>
      <c r="CK99" s="330"/>
      <c r="CL99" s="330"/>
      <c r="CM99" s="330"/>
      <c r="CN99" s="330"/>
      <c r="CO99" s="331"/>
      <c r="CP99" s="326"/>
      <c r="CQ99" s="332">
        <f t="shared" si="51"/>
        <v>0</v>
      </c>
      <c r="CR99" s="333">
        <f t="shared" si="52"/>
        <v>0</v>
      </c>
      <c r="CS99" s="334">
        <f t="shared" si="54"/>
        <v>0</v>
      </c>
      <c r="CT99" s="335">
        <f t="shared" si="55"/>
        <v>8</v>
      </c>
      <c r="CU99" s="417">
        <f t="shared" si="56"/>
        <v>1884000</v>
      </c>
      <c r="CV99" s="529" t="str">
        <f t="shared" si="53"/>
        <v xml:space="preserve"> </v>
      </c>
      <c r="CW99" s="529">
        <f t="shared" si="61"/>
        <v>2019</v>
      </c>
      <c r="CX99" s="528">
        <f t="shared" si="57"/>
        <v>1884000</v>
      </c>
    </row>
    <row r="100" spans="1:102" s="33" customFormat="1" ht="24.75" customHeight="1" thickBot="1">
      <c r="A100" s="1052"/>
      <c r="B100" s="1050"/>
      <c r="C100" s="1050"/>
      <c r="D100" s="34"/>
      <c r="E100" s="125" t="s">
        <v>106</v>
      </c>
      <c r="F100" s="30"/>
      <c r="G100" s="31"/>
      <c r="H100" s="31"/>
      <c r="I100" s="848"/>
      <c r="J100" s="847"/>
      <c r="K100" s="522" t="str">
        <f t="shared" si="60"/>
        <v xml:space="preserve"> </v>
      </c>
      <c r="L100" s="31"/>
      <c r="M100" s="31"/>
      <c r="N100" s="401"/>
      <c r="O100" s="698"/>
      <c r="P100" s="674" t="s">
        <v>1990</v>
      </c>
      <c r="Q100" s="857"/>
      <c r="R100" s="182"/>
      <c r="S100" s="326"/>
      <c r="T100" s="399"/>
      <c r="U100" s="328">
        <f t="shared" si="44"/>
        <v>0</v>
      </c>
      <c r="V100" s="858"/>
      <c r="W100" s="856"/>
      <c r="X100" s="856"/>
      <c r="Y100" s="856"/>
      <c r="Z100" s="856"/>
      <c r="AA100" s="856"/>
      <c r="AB100" s="854"/>
      <c r="AC100" s="854"/>
      <c r="AD100" s="854"/>
      <c r="AE100" s="854"/>
      <c r="AF100" s="854"/>
      <c r="AG100" s="855"/>
      <c r="AH100" s="326"/>
      <c r="AI100" s="327">
        <f t="shared" si="45"/>
        <v>0</v>
      </c>
      <c r="AJ100" s="328">
        <f t="shared" si="58"/>
        <v>0</v>
      </c>
      <c r="AK100" s="860"/>
      <c r="AL100" s="861"/>
      <c r="AM100" s="861"/>
      <c r="AN100" s="861"/>
      <c r="AO100" s="861"/>
      <c r="AP100" s="861"/>
      <c r="AQ100" s="861"/>
      <c r="AR100" s="861"/>
      <c r="AS100" s="861"/>
      <c r="AT100" s="861"/>
      <c r="AU100" s="861"/>
      <c r="AV100" s="862"/>
      <c r="AW100" s="326"/>
      <c r="AX100" s="332">
        <f t="shared" si="46"/>
        <v>0</v>
      </c>
      <c r="AY100" s="333">
        <f t="shared" si="59"/>
        <v>0</v>
      </c>
      <c r="AZ100" s="873"/>
      <c r="BA100" s="874"/>
      <c r="BB100" s="874"/>
      <c r="BC100" s="874"/>
      <c r="BD100" s="874"/>
      <c r="BE100" s="874"/>
      <c r="BF100" s="874"/>
      <c r="BG100" s="874"/>
      <c r="BH100" s="874"/>
      <c r="BI100" s="874"/>
      <c r="BJ100" s="874"/>
      <c r="BK100" s="875"/>
      <c r="BL100" s="326"/>
      <c r="BM100" s="332">
        <f t="shared" si="47"/>
        <v>0</v>
      </c>
      <c r="BN100" s="333">
        <f t="shared" si="48"/>
        <v>0</v>
      </c>
      <c r="BO100" s="329"/>
      <c r="BP100" s="330"/>
      <c r="BQ100" s="330"/>
      <c r="BR100" s="330"/>
      <c r="BS100" s="330"/>
      <c r="BT100" s="330"/>
      <c r="BU100" s="330"/>
      <c r="BV100" s="330"/>
      <c r="BW100" s="330"/>
      <c r="BX100" s="330"/>
      <c r="BY100" s="330"/>
      <c r="BZ100" s="331"/>
      <c r="CA100" s="326"/>
      <c r="CB100" s="332">
        <f t="shared" si="49"/>
        <v>0</v>
      </c>
      <c r="CC100" s="333">
        <f t="shared" si="50"/>
        <v>0</v>
      </c>
      <c r="CD100" s="329"/>
      <c r="CE100" s="330"/>
      <c r="CF100" s="330"/>
      <c r="CG100" s="330"/>
      <c r="CH100" s="330"/>
      <c r="CI100" s="330"/>
      <c r="CJ100" s="330"/>
      <c r="CK100" s="330"/>
      <c r="CL100" s="330"/>
      <c r="CM100" s="330"/>
      <c r="CN100" s="330"/>
      <c r="CO100" s="331"/>
      <c r="CP100" s="326"/>
      <c r="CQ100" s="332">
        <f t="shared" si="51"/>
        <v>0</v>
      </c>
      <c r="CR100" s="333">
        <f t="shared" si="52"/>
        <v>0</v>
      </c>
      <c r="CS100" s="334">
        <f t="shared" si="54"/>
        <v>0</v>
      </c>
      <c r="CT100" s="335">
        <f t="shared" si="55"/>
        <v>0</v>
      </c>
      <c r="CU100" s="417">
        <f t="shared" si="56"/>
        <v>0</v>
      </c>
      <c r="CV100" s="529" t="str">
        <f t="shared" si="53"/>
        <v xml:space="preserve"> </v>
      </c>
      <c r="CW100" s="529" t="str">
        <f t="shared" si="61"/>
        <v xml:space="preserve"> </v>
      </c>
      <c r="CX100" s="528">
        <f t="shared" si="57"/>
        <v>0</v>
      </c>
    </row>
    <row r="101" spans="1:102" s="33" customFormat="1" ht="24.75" customHeight="1" thickBot="1">
      <c r="A101" s="1051" t="s">
        <v>152</v>
      </c>
      <c r="B101" s="1048" t="s">
        <v>1520</v>
      </c>
      <c r="C101" s="1048" t="s">
        <v>99</v>
      </c>
      <c r="D101" s="34"/>
      <c r="E101" s="125" t="s">
        <v>106</v>
      </c>
      <c r="F101" s="30"/>
      <c r="G101" s="31"/>
      <c r="H101" s="31"/>
      <c r="I101" s="849">
        <v>43539</v>
      </c>
      <c r="J101" s="847">
        <v>30</v>
      </c>
      <c r="K101" s="522">
        <f t="shared" si="60"/>
        <v>43569</v>
      </c>
      <c r="L101" s="31"/>
      <c r="M101" s="31"/>
      <c r="N101" s="401"/>
      <c r="O101" s="698"/>
      <c r="P101" s="674" t="s">
        <v>1990</v>
      </c>
      <c r="Q101" s="857">
        <v>87230.769230769205</v>
      </c>
      <c r="R101" s="182"/>
      <c r="S101" s="326"/>
      <c r="T101" s="399"/>
      <c r="U101" s="328">
        <f t="shared" si="44"/>
        <v>0</v>
      </c>
      <c r="V101" s="858"/>
      <c r="W101" s="856"/>
      <c r="X101" s="856"/>
      <c r="Y101" s="856"/>
      <c r="Z101" s="856"/>
      <c r="AA101" s="856"/>
      <c r="AB101" s="854"/>
      <c r="AC101" s="854"/>
      <c r="AD101" s="854"/>
      <c r="AE101" s="854"/>
      <c r="AF101" s="854"/>
      <c r="AG101" s="855"/>
      <c r="AH101" s="326"/>
      <c r="AI101" s="327">
        <f t="shared" si="45"/>
        <v>0</v>
      </c>
      <c r="AJ101" s="328">
        <f t="shared" si="58"/>
        <v>0</v>
      </c>
      <c r="AK101" s="860"/>
      <c r="AL101" s="861"/>
      <c r="AM101" s="861"/>
      <c r="AN101" s="861"/>
      <c r="AO101" s="861"/>
      <c r="AP101" s="861"/>
      <c r="AQ101" s="861"/>
      <c r="AR101" s="861"/>
      <c r="AS101" s="861"/>
      <c r="AT101" s="861"/>
      <c r="AU101" s="861"/>
      <c r="AV101" s="862"/>
      <c r="AW101" s="326"/>
      <c r="AX101" s="332">
        <f t="shared" si="46"/>
        <v>0</v>
      </c>
      <c r="AY101" s="333">
        <f t="shared" si="59"/>
        <v>0</v>
      </c>
      <c r="AZ101" s="887">
        <v>1</v>
      </c>
      <c r="BA101" s="888">
        <v>1</v>
      </c>
      <c r="BB101" s="874"/>
      <c r="BC101" s="874"/>
      <c r="BD101" s="874"/>
      <c r="BE101" s="874"/>
      <c r="BF101" s="874"/>
      <c r="BG101" s="874"/>
      <c r="BH101" s="874"/>
      <c r="BI101" s="874"/>
      <c r="BJ101" s="874"/>
      <c r="BK101" s="875"/>
      <c r="BL101" s="326"/>
      <c r="BM101" s="332">
        <f t="shared" si="47"/>
        <v>2</v>
      </c>
      <c r="BN101" s="333">
        <f t="shared" si="48"/>
        <v>174461.54</v>
      </c>
      <c r="BO101" s="329"/>
      <c r="BP101" s="330"/>
      <c r="BQ101" s="330"/>
      <c r="BR101" s="330"/>
      <c r="BS101" s="330"/>
      <c r="BT101" s="330"/>
      <c r="BU101" s="330"/>
      <c r="BV101" s="330"/>
      <c r="BW101" s="330"/>
      <c r="BX101" s="330"/>
      <c r="BY101" s="330"/>
      <c r="BZ101" s="331"/>
      <c r="CA101" s="326"/>
      <c r="CB101" s="332">
        <f t="shared" si="49"/>
        <v>0</v>
      </c>
      <c r="CC101" s="333">
        <f t="shared" si="50"/>
        <v>0</v>
      </c>
      <c r="CD101" s="329"/>
      <c r="CE101" s="330"/>
      <c r="CF101" s="330"/>
      <c r="CG101" s="330"/>
      <c r="CH101" s="330"/>
      <c r="CI101" s="330"/>
      <c r="CJ101" s="330"/>
      <c r="CK101" s="330"/>
      <c r="CL101" s="330"/>
      <c r="CM101" s="330"/>
      <c r="CN101" s="330"/>
      <c r="CO101" s="331"/>
      <c r="CP101" s="326"/>
      <c r="CQ101" s="332">
        <f t="shared" si="51"/>
        <v>0</v>
      </c>
      <c r="CR101" s="333">
        <f t="shared" si="52"/>
        <v>0</v>
      </c>
      <c r="CS101" s="334">
        <f t="shared" si="54"/>
        <v>0</v>
      </c>
      <c r="CT101" s="335">
        <f t="shared" si="55"/>
        <v>2</v>
      </c>
      <c r="CU101" s="417">
        <f t="shared" si="56"/>
        <v>174461.54</v>
      </c>
      <c r="CV101" s="529" t="str">
        <f t="shared" si="53"/>
        <v xml:space="preserve"> </v>
      </c>
      <c r="CW101" s="529">
        <f t="shared" si="61"/>
        <v>2019</v>
      </c>
      <c r="CX101" s="528">
        <f t="shared" si="57"/>
        <v>174461.54</v>
      </c>
    </row>
    <row r="102" spans="1:102" s="33" customFormat="1" ht="24.75" customHeight="1" thickBot="1">
      <c r="A102" s="1052"/>
      <c r="B102" s="1050"/>
      <c r="C102" s="1050"/>
      <c r="D102" s="34"/>
      <c r="E102" s="125" t="s">
        <v>106</v>
      </c>
      <c r="F102" s="30"/>
      <c r="G102" s="31"/>
      <c r="H102" s="31"/>
      <c r="I102" s="848"/>
      <c r="J102" s="847"/>
      <c r="K102" s="522" t="str">
        <f t="shared" si="60"/>
        <v xml:space="preserve"> </v>
      </c>
      <c r="L102" s="31"/>
      <c r="M102" s="31"/>
      <c r="N102" s="401"/>
      <c r="O102" s="698"/>
      <c r="P102" s="674" t="s">
        <v>1990</v>
      </c>
      <c r="Q102" s="857"/>
      <c r="R102" s="182"/>
      <c r="S102" s="326"/>
      <c r="T102" s="399"/>
      <c r="U102" s="328">
        <f t="shared" si="44"/>
        <v>0</v>
      </c>
      <c r="V102" s="858"/>
      <c r="W102" s="856"/>
      <c r="X102" s="856"/>
      <c r="Y102" s="856"/>
      <c r="Z102" s="856"/>
      <c r="AA102" s="856"/>
      <c r="AB102" s="854"/>
      <c r="AC102" s="854"/>
      <c r="AD102" s="854"/>
      <c r="AE102" s="854"/>
      <c r="AF102" s="854"/>
      <c r="AG102" s="855"/>
      <c r="AH102" s="326"/>
      <c r="AI102" s="327">
        <f t="shared" si="45"/>
        <v>0</v>
      </c>
      <c r="AJ102" s="328">
        <f t="shared" si="58"/>
        <v>0</v>
      </c>
      <c r="AK102" s="860"/>
      <c r="AL102" s="861"/>
      <c r="AM102" s="861"/>
      <c r="AN102" s="861"/>
      <c r="AO102" s="861"/>
      <c r="AP102" s="861"/>
      <c r="AQ102" s="861"/>
      <c r="AR102" s="861"/>
      <c r="AS102" s="861"/>
      <c r="AT102" s="861"/>
      <c r="AU102" s="861"/>
      <c r="AV102" s="862"/>
      <c r="AW102" s="326"/>
      <c r="AX102" s="332">
        <f t="shared" si="46"/>
        <v>0</v>
      </c>
      <c r="AY102" s="333">
        <f t="shared" si="59"/>
        <v>0</v>
      </c>
      <c r="AZ102" s="873"/>
      <c r="BA102" s="874"/>
      <c r="BB102" s="874"/>
      <c r="BC102" s="874"/>
      <c r="BD102" s="874"/>
      <c r="BE102" s="874"/>
      <c r="BF102" s="874"/>
      <c r="BG102" s="874"/>
      <c r="BH102" s="874"/>
      <c r="BI102" s="874"/>
      <c r="BJ102" s="874"/>
      <c r="BK102" s="875"/>
      <c r="BL102" s="326"/>
      <c r="BM102" s="332">
        <f t="shared" si="47"/>
        <v>0</v>
      </c>
      <c r="BN102" s="333">
        <f t="shared" si="48"/>
        <v>0</v>
      </c>
      <c r="BO102" s="329"/>
      <c r="BP102" s="330"/>
      <c r="BQ102" s="330"/>
      <c r="BR102" s="330"/>
      <c r="BS102" s="330"/>
      <c r="BT102" s="330"/>
      <c r="BU102" s="330"/>
      <c r="BV102" s="330"/>
      <c r="BW102" s="330"/>
      <c r="BX102" s="330"/>
      <c r="BY102" s="330"/>
      <c r="BZ102" s="331"/>
      <c r="CA102" s="326"/>
      <c r="CB102" s="332">
        <f t="shared" si="49"/>
        <v>0</v>
      </c>
      <c r="CC102" s="333">
        <f t="shared" si="50"/>
        <v>0</v>
      </c>
      <c r="CD102" s="329"/>
      <c r="CE102" s="330"/>
      <c r="CF102" s="330"/>
      <c r="CG102" s="330"/>
      <c r="CH102" s="330"/>
      <c r="CI102" s="330"/>
      <c r="CJ102" s="330"/>
      <c r="CK102" s="330"/>
      <c r="CL102" s="330"/>
      <c r="CM102" s="330"/>
      <c r="CN102" s="330"/>
      <c r="CO102" s="331"/>
      <c r="CP102" s="326"/>
      <c r="CQ102" s="332">
        <f t="shared" si="51"/>
        <v>0</v>
      </c>
      <c r="CR102" s="333">
        <f t="shared" si="52"/>
        <v>0</v>
      </c>
      <c r="CS102" s="334">
        <f t="shared" si="54"/>
        <v>0</v>
      </c>
      <c r="CT102" s="335">
        <f t="shared" si="55"/>
        <v>0</v>
      </c>
      <c r="CU102" s="417">
        <f t="shared" si="56"/>
        <v>0</v>
      </c>
      <c r="CV102" s="529" t="str">
        <f t="shared" si="53"/>
        <v xml:space="preserve"> </v>
      </c>
      <c r="CW102" s="529" t="str">
        <f t="shared" si="61"/>
        <v xml:space="preserve"> </v>
      </c>
      <c r="CX102" s="528">
        <f t="shared" si="57"/>
        <v>0</v>
      </c>
    </row>
    <row r="103" spans="1:102" s="33" customFormat="1" ht="24.75" customHeight="1" thickBot="1">
      <c r="A103" s="1051" t="s">
        <v>153</v>
      </c>
      <c r="B103" s="1048" t="s">
        <v>100</v>
      </c>
      <c r="C103" s="1048" t="s">
        <v>100</v>
      </c>
      <c r="D103" s="34"/>
      <c r="E103" s="125" t="s">
        <v>107</v>
      </c>
      <c r="F103" s="30"/>
      <c r="G103" s="31"/>
      <c r="H103" s="31"/>
      <c r="I103" s="848"/>
      <c r="J103" s="847"/>
      <c r="K103" s="522" t="str">
        <f t="shared" si="60"/>
        <v xml:space="preserve"> </v>
      </c>
      <c r="L103" s="31"/>
      <c r="M103" s="31"/>
      <c r="N103" s="401"/>
      <c r="O103" s="698"/>
      <c r="P103" s="674" t="s">
        <v>1990</v>
      </c>
      <c r="Q103" s="857"/>
      <c r="R103" s="182"/>
      <c r="S103" s="326"/>
      <c r="T103" s="399"/>
      <c r="U103" s="328">
        <f t="shared" si="44"/>
        <v>0</v>
      </c>
      <c r="V103" s="858"/>
      <c r="W103" s="856"/>
      <c r="X103" s="856"/>
      <c r="Y103" s="856"/>
      <c r="Z103" s="856"/>
      <c r="AA103" s="856"/>
      <c r="AB103" s="854"/>
      <c r="AC103" s="854"/>
      <c r="AD103" s="854"/>
      <c r="AE103" s="854"/>
      <c r="AF103" s="854"/>
      <c r="AG103" s="855"/>
      <c r="AH103" s="326"/>
      <c r="AI103" s="327">
        <f t="shared" si="45"/>
        <v>0</v>
      </c>
      <c r="AJ103" s="328">
        <f t="shared" si="58"/>
        <v>0</v>
      </c>
      <c r="AK103" s="860"/>
      <c r="AL103" s="861"/>
      <c r="AM103" s="861"/>
      <c r="AN103" s="861"/>
      <c r="AO103" s="861"/>
      <c r="AP103" s="861"/>
      <c r="AQ103" s="861"/>
      <c r="AR103" s="861"/>
      <c r="AS103" s="861"/>
      <c r="AT103" s="861"/>
      <c r="AU103" s="861"/>
      <c r="AV103" s="862"/>
      <c r="AW103" s="326"/>
      <c r="AX103" s="332">
        <f t="shared" si="46"/>
        <v>0</v>
      </c>
      <c r="AY103" s="333">
        <f t="shared" si="59"/>
        <v>0</v>
      </c>
      <c r="AZ103" s="873"/>
      <c r="BA103" s="874"/>
      <c r="BB103" s="874"/>
      <c r="BC103" s="874"/>
      <c r="BD103" s="874"/>
      <c r="BE103" s="874"/>
      <c r="BF103" s="874"/>
      <c r="BG103" s="874"/>
      <c r="BH103" s="874"/>
      <c r="BI103" s="874"/>
      <c r="BJ103" s="874"/>
      <c r="BK103" s="875"/>
      <c r="BL103" s="326"/>
      <c r="BM103" s="332">
        <f t="shared" si="47"/>
        <v>0</v>
      </c>
      <c r="BN103" s="333">
        <f t="shared" si="48"/>
        <v>0</v>
      </c>
      <c r="BO103" s="329"/>
      <c r="BP103" s="330"/>
      <c r="BQ103" s="330"/>
      <c r="BR103" s="330"/>
      <c r="BS103" s="330"/>
      <c r="BT103" s="330"/>
      <c r="BU103" s="330"/>
      <c r="BV103" s="330"/>
      <c r="BW103" s="330"/>
      <c r="BX103" s="330"/>
      <c r="BY103" s="330"/>
      <c r="BZ103" s="331"/>
      <c r="CA103" s="326"/>
      <c r="CB103" s="332">
        <f t="shared" si="49"/>
        <v>0</v>
      </c>
      <c r="CC103" s="333">
        <f t="shared" si="50"/>
        <v>0</v>
      </c>
      <c r="CD103" s="329"/>
      <c r="CE103" s="330"/>
      <c r="CF103" s="330"/>
      <c r="CG103" s="330"/>
      <c r="CH103" s="330"/>
      <c r="CI103" s="330"/>
      <c r="CJ103" s="330"/>
      <c r="CK103" s="330"/>
      <c r="CL103" s="330"/>
      <c r="CM103" s="330"/>
      <c r="CN103" s="330"/>
      <c r="CO103" s="331"/>
      <c r="CP103" s="326"/>
      <c r="CQ103" s="332">
        <f t="shared" si="51"/>
        <v>0</v>
      </c>
      <c r="CR103" s="333">
        <f t="shared" si="52"/>
        <v>0</v>
      </c>
      <c r="CS103" s="334">
        <f t="shared" si="54"/>
        <v>0</v>
      </c>
      <c r="CT103" s="335">
        <f t="shared" si="55"/>
        <v>0</v>
      </c>
      <c r="CU103" s="417">
        <f t="shared" si="56"/>
        <v>0</v>
      </c>
      <c r="CV103" s="529" t="str">
        <f t="shared" si="53"/>
        <v xml:space="preserve"> </v>
      </c>
      <c r="CW103" s="529" t="str">
        <f t="shared" si="61"/>
        <v xml:space="preserve"> </v>
      </c>
      <c r="CX103" s="528">
        <f t="shared" si="57"/>
        <v>0</v>
      </c>
    </row>
    <row r="104" spans="1:102" s="33" customFormat="1" ht="24.75" customHeight="1" thickBot="1">
      <c r="A104" s="1052"/>
      <c r="B104" s="1050"/>
      <c r="C104" s="1050"/>
      <c r="D104" s="34"/>
      <c r="E104" s="125" t="s">
        <v>107</v>
      </c>
      <c r="F104" s="30"/>
      <c r="G104" s="31"/>
      <c r="H104" s="31"/>
      <c r="I104" s="848"/>
      <c r="J104" s="847"/>
      <c r="K104" s="522" t="str">
        <f t="shared" si="60"/>
        <v xml:space="preserve"> </v>
      </c>
      <c r="L104" s="31"/>
      <c r="M104" s="31"/>
      <c r="N104" s="401"/>
      <c r="O104" s="698"/>
      <c r="P104" s="674" t="s">
        <v>1990</v>
      </c>
      <c r="Q104" s="857"/>
      <c r="R104" s="182"/>
      <c r="S104" s="326"/>
      <c r="T104" s="399"/>
      <c r="U104" s="328">
        <f t="shared" si="44"/>
        <v>0</v>
      </c>
      <c r="V104" s="858"/>
      <c r="W104" s="856"/>
      <c r="X104" s="856"/>
      <c r="Y104" s="856"/>
      <c r="Z104" s="856"/>
      <c r="AA104" s="856"/>
      <c r="AB104" s="854"/>
      <c r="AC104" s="854"/>
      <c r="AD104" s="854"/>
      <c r="AE104" s="854"/>
      <c r="AF104" s="854"/>
      <c r="AG104" s="855"/>
      <c r="AH104" s="326"/>
      <c r="AI104" s="327">
        <f t="shared" si="45"/>
        <v>0</v>
      </c>
      <c r="AJ104" s="328">
        <f t="shared" si="58"/>
        <v>0</v>
      </c>
      <c r="AK104" s="860"/>
      <c r="AL104" s="861"/>
      <c r="AM104" s="861"/>
      <c r="AN104" s="861"/>
      <c r="AO104" s="861"/>
      <c r="AP104" s="861"/>
      <c r="AQ104" s="861"/>
      <c r="AR104" s="861"/>
      <c r="AS104" s="861"/>
      <c r="AT104" s="861"/>
      <c r="AU104" s="861"/>
      <c r="AV104" s="862"/>
      <c r="AW104" s="326"/>
      <c r="AX104" s="332">
        <f t="shared" si="46"/>
        <v>0</v>
      </c>
      <c r="AY104" s="333">
        <f t="shared" si="59"/>
        <v>0</v>
      </c>
      <c r="AZ104" s="873"/>
      <c r="BA104" s="874"/>
      <c r="BB104" s="874"/>
      <c r="BC104" s="874"/>
      <c r="BD104" s="874"/>
      <c r="BE104" s="874"/>
      <c r="BF104" s="874"/>
      <c r="BG104" s="874"/>
      <c r="BH104" s="874"/>
      <c r="BI104" s="874"/>
      <c r="BJ104" s="874"/>
      <c r="BK104" s="875"/>
      <c r="BL104" s="326"/>
      <c r="BM104" s="332">
        <f t="shared" si="47"/>
        <v>0</v>
      </c>
      <c r="BN104" s="333">
        <f t="shared" si="48"/>
        <v>0</v>
      </c>
      <c r="BO104" s="329"/>
      <c r="BP104" s="330"/>
      <c r="BQ104" s="330"/>
      <c r="BR104" s="330"/>
      <c r="BS104" s="330"/>
      <c r="BT104" s="330"/>
      <c r="BU104" s="330"/>
      <c r="BV104" s="330"/>
      <c r="BW104" s="330"/>
      <c r="BX104" s="330"/>
      <c r="BY104" s="330"/>
      <c r="BZ104" s="331"/>
      <c r="CA104" s="326"/>
      <c r="CB104" s="332">
        <f t="shared" si="49"/>
        <v>0</v>
      </c>
      <c r="CC104" s="333">
        <f t="shared" si="50"/>
        <v>0</v>
      </c>
      <c r="CD104" s="329"/>
      <c r="CE104" s="330"/>
      <c r="CF104" s="330"/>
      <c r="CG104" s="330"/>
      <c r="CH104" s="330"/>
      <c r="CI104" s="330"/>
      <c r="CJ104" s="330"/>
      <c r="CK104" s="330"/>
      <c r="CL104" s="330"/>
      <c r="CM104" s="330"/>
      <c r="CN104" s="330"/>
      <c r="CO104" s="331"/>
      <c r="CP104" s="326"/>
      <c r="CQ104" s="332">
        <f t="shared" si="51"/>
        <v>0</v>
      </c>
      <c r="CR104" s="333">
        <f t="shared" si="52"/>
        <v>0</v>
      </c>
      <c r="CS104" s="334">
        <f t="shared" si="54"/>
        <v>0</v>
      </c>
      <c r="CT104" s="335">
        <f t="shared" si="55"/>
        <v>0</v>
      </c>
      <c r="CU104" s="417">
        <f t="shared" si="56"/>
        <v>0</v>
      </c>
      <c r="CV104" s="529" t="str">
        <f t="shared" si="53"/>
        <v xml:space="preserve"> </v>
      </c>
      <c r="CW104" s="529" t="str">
        <f t="shared" si="61"/>
        <v xml:space="preserve"> </v>
      </c>
      <c r="CX104" s="528">
        <f t="shared" si="57"/>
        <v>0</v>
      </c>
    </row>
    <row r="105" spans="1:102" s="33" customFormat="1" ht="24.75" customHeight="1" thickBot="1">
      <c r="A105" s="1051" t="s">
        <v>154</v>
      </c>
      <c r="B105" s="1048" t="s">
        <v>1593</v>
      </c>
      <c r="C105" s="1048" t="s">
        <v>1593</v>
      </c>
      <c r="D105" s="34"/>
      <c r="E105" s="125" t="s">
        <v>107</v>
      </c>
      <c r="F105" s="30"/>
      <c r="G105" s="31"/>
      <c r="H105" s="31"/>
      <c r="I105" s="848"/>
      <c r="J105" s="847"/>
      <c r="K105" s="522" t="str">
        <f t="shared" si="60"/>
        <v xml:space="preserve"> </v>
      </c>
      <c r="L105" s="31"/>
      <c r="M105" s="31"/>
      <c r="N105" s="401"/>
      <c r="O105" s="698"/>
      <c r="P105" s="674" t="s">
        <v>1990</v>
      </c>
      <c r="Q105" s="857"/>
      <c r="R105" s="182"/>
      <c r="S105" s="326"/>
      <c r="T105" s="399"/>
      <c r="U105" s="328">
        <f t="shared" si="44"/>
        <v>0</v>
      </c>
      <c r="V105" s="858"/>
      <c r="W105" s="856"/>
      <c r="X105" s="856"/>
      <c r="Y105" s="856"/>
      <c r="Z105" s="856"/>
      <c r="AA105" s="856"/>
      <c r="AB105" s="854"/>
      <c r="AC105" s="854"/>
      <c r="AD105" s="854"/>
      <c r="AE105" s="854"/>
      <c r="AF105" s="854"/>
      <c r="AG105" s="855"/>
      <c r="AH105" s="326"/>
      <c r="AI105" s="327">
        <f t="shared" si="45"/>
        <v>0</v>
      </c>
      <c r="AJ105" s="328">
        <f t="shared" si="58"/>
        <v>0</v>
      </c>
      <c r="AK105" s="860"/>
      <c r="AL105" s="861"/>
      <c r="AM105" s="861"/>
      <c r="AN105" s="861"/>
      <c r="AO105" s="861"/>
      <c r="AP105" s="861"/>
      <c r="AQ105" s="861"/>
      <c r="AR105" s="861"/>
      <c r="AS105" s="861"/>
      <c r="AT105" s="861"/>
      <c r="AU105" s="861"/>
      <c r="AV105" s="862"/>
      <c r="AW105" s="326"/>
      <c r="AX105" s="332">
        <f t="shared" si="46"/>
        <v>0</v>
      </c>
      <c r="AY105" s="333">
        <f t="shared" si="59"/>
        <v>0</v>
      </c>
      <c r="AZ105" s="873"/>
      <c r="BA105" s="874"/>
      <c r="BB105" s="874"/>
      <c r="BC105" s="874"/>
      <c r="BD105" s="874"/>
      <c r="BE105" s="874"/>
      <c r="BF105" s="874"/>
      <c r="BG105" s="874"/>
      <c r="BH105" s="874"/>
      <c r="BI105" s="874"/>
      <c r="BJ105" s="874"/>
      <c r="BK105" s="875"/>
      <c r="BL105" s="326"/>
      <c r="BM105" s="332">
        <f t="shared" si="47"/>
        <v>0</v>
      </c>
      <c r="BN105" s="333">
        <f t="shared" si="48"/>
        <v>0</v>
      </c>
      <c r="BO105" s="329"/>
      <c r="BP105" s="330"/>
      <c r="BQ105" s="330"/>
      <c r="BR105" s="330"/>
      <c r="BS105" s="330"/>
      <c r="BT105" s="330"/>
      <c r="BU105" s="330"/>
      <c r="BV105" s="330"/>
      <c r="BW105" s="330"/>
      <c r="BX105" s="330"/>
      <c r="BY105" s="330"/>
      <c r="BZ105" s="331"/>
      <c r="CA105" s="326"/>
      <c r="CB105" s="332">
        <f t="shared" si="49"/>
        <v>0</v>
      </c>
      <c r="CC105" s="333">
        <f t="shared" si="50"/>
        <v>0</v>
      </c>
      <c r="CD105" s="329"/>
      <c r="CE105" s="330"/>
      <c r="CF105" s="330"/>
      <c r="CG105" s="330"/>
      <c r="CH105" s="330"/>
      <c r="CI105" s="330"/>
      <c r="CJ105" s="330"/>
      <c r="CK105" s="330"/>
      <c r="CL105" s="330"/>
      <c r="CM105" s="330"/>
      <c r="CN105" s="330"/>
      <c r="CO105" s="331"/>
      <c r="CP105" s="326"/>
      <c r="CQ105" s="332">
        <f t="shared" si="51"/>
        <v>0</v>
      </c>
      <c r="CR105" s="333">
        <f t="shared" si="52"/>
        <v>0</v>
      </c>
      <c r="CS105" s="334">
        <f t="shared" si="54"/>
        <v>0</v>
      </c>
      <c r="CT105" s="335">
        <f t="shared" si="55"/>
        <v>0</v>
      </c>
      <c r="CU105" s="417">
        <f t="shared" si="56"/>
        <v>0</v>
      </c>
      <c r="CV105" s="529" t="str">
        <f t="shared" si="53"/>
        <v xml:space="preserve"> </v>
      </c>
      <c r="CW105" s="529" t="str">
        <f t="shared" si="61"/>
        <v xml:space="preserve"> </v>
      </c>
      <c r="CX105" s="528">
        <f t="shared" si="57"/>
        <v>0</v>
      </c>
    </row>
    <row r="106" spans="1:102" s="33" customFormat="1" ht="24.75" customHeight="1" thickBot="1">
      <c r="A106" s="1052"/>
      <c r="B106" s="1050"/>
      <c r="C106" s="1050"/>
      <c r="D106" s="34"/>
      <c r="E106" s="125" t="s">
        <v>107</v>
      </c>
      <c r="F106" s="30"/>
      <c r="G106" s="31"/>
      <c r="H106" s="31"/>
      <c r="I106" s="848"/>
      <c r="J106" s="847"/>
      <c r="K106" s="522" t="str">
        <f t="shared" si="60"/>
        <v xml:space="preserve"> </v>
      </c>
      <c r="L106" s="31"/>
      <c r="M106" s="31"/>
      <c r="N106" s="401"/>
      <c r="O106" s="698"/>
      <c r="P106" s="674" t="s">
        <v>1990</v>
      </c>
      <c r="Q106" s="857"/>
      <c r="R106" s="182"/>
      <c r="S106" s="326"/>
      <c r="T106" s="399"/>
      <c r="U106" s="328">
        <f t="shared" si="44"/>
        <v>0</v>
      </c>
      <c r="V106" s="858"/>
      <c r="W106" s="856"/>
      <c r="X106" s="856"/>
      <c r="Y106" s="856"/>
      <c r="Z106" s="856"/>
      <c r="AA106" s="856"/>
      <c r="AB106" s="854"/>
      <c r="AC106" s="854"/>
      <c r="AD106" s="854"/>
      <c r="AE106" s="854"/>
      <c r="AF106" s="854"/>
      <c r="AG106" s="855"/>
      <c r="AH106" s="326"/>
      <c r="AI106" s="327">
        <f t="shared" si="45"/>
        <v>0</v>
      </c>
      <c r="AJ106" s="328">
        <f t="shared" si="58"/>
        <v>0</v>
      </c>
      <c r="AK106" s="860"/>
      <c r="AL106" s="861"/>
      <c r="AM106" s="861"/>
      <c r="AN106" s="861"/>
      <c r="AO106" s="861"/>
      <c r="AP106" s="861"/>
      <c r="AQ106" s="861"/>
      <c r="AR106" s="861"/>
      <c r="AS106" s="861"/>
      <c r="AT106" s="861"/>
      <c r="AU106" s="861"/>
      <c r="AV106" s="862"/>
      <c r="AW106" s="326"/>
      <c r="AX106" s="332">
        <f t="shared" si="46"/>
        <v>0</v>
      </c>
      <c r="AY106" s="333">
        <f t="shared" si="59"/>
        <v>0</v>
      </c>
      <c r="AZ106" s="873"/>
      <c r="BA106" s="874"/>
      <c r="BB106" s="874"/>
      <c r="BC106" s="874"/>
      <c r="BD106" s="874"/>
      <c r="BE106" s="874"/>
      <c r="BF106" s="874"/>
      <c r="BG106" s="874"/>
      <c r="BH106" s="874"/>
      <c r="BI106" s="874"/>
      <c r="BJ106" s="874"/>
      <c r="BK106" s="875"/>
      <c r="BL106" s="326"/>
      <c r="BM106" s="332">
        <f t="shared" si="47"/>
        <v>0</v>
      </c>
      <c r="BN106" s="333">
        <f t="shared" si="48"/>
        <v>0</v>
      </c>
      <c r="BO106" s="329"/>
      <c r="BP106" s="330"/>
      <c r="BQ106" s="330"/>
      <c r="BR106" s="330"/>
      <c r="BS106" s="330"/>
      <c r="BT106" s="330"/>
      <c r="BU106" s="330"/>
      <c r="BV106" s="330"/>
      <c r="BW106" s="330"/>
      <c r="BX106" s="330"/>
      <c r="BY106" s="330"/>
      <c r="BZ106" s="331"/>
      <c r="CA106" s="326"/>
      <c r="CB106" s="332">
        <f t="shared" si="49"/>
        <v>0</v>
      </c>
      <c r="CC106" s="333">
        <f t="shared" si="50"/>
        <v>0</v>
      </c>
      <c r="CD106" s="329"/>
      <c r="CE106" s="330"/>
      <c r="CF106" s="330"/>
      <c r="CG106" s="330"/>
      <c r="CH106" s="330"/>
      <c r="CI106" s="330"/>
      <c r="CJ106" s="330"/>
      <c r="CK106" s="330"/>
      <c r="CL106" s="330"/>
      <c r="CM106" s="330"/>
      <c r="CN106" s="330"/>
      <c r="CO106" s="331"/>
      <c r="CP106" s="326"/>
      <c r="CQ106" s="332">
        <f t="shared" si="51"/>
        <v>0</v>
      </c>
      <c r="CR106" s="333">
        <f t="shared" si="52"/>
        <v>0</v>
      </c>
      <c r="CS106" s="334">
        <f t="shared" si="54"/>
        <v>0</v>
      </c>
      <c r="CT106" s="335">
        <f t="shared" si="55"/>
        <v>0</v>
      </c>
      <c r="CU106" s="417">
        <f t="shared" si="56"/>
        <v>0</v>
      </c>
      <c r="CV106" s="529" t="str">
        <f t="shared" si="53"/>
        <v xml:space="preserve"> </v>
      </c>
      <c r="CW106" s="529" t="str">
        <f t="shared" si="61"/>
        <v xml:space="preserve"> </v>
      </c>
      <c r="CX106" s="528">
        <f t="shared" si="57"/>
        <v>0</v>
      </c>
    </row>
    <row r="107" spans="1:102" s="33" customFormat="1" ht="24.75" customHeight="1" thickBot="1">
      <c r="A107" s="1051" t="s">
        <v>155</v>
      </c>
      <c r="B107" s="1048" t="s">
        <v>1541</v>
      </c>
      <c r="C107" s="1048" t="s">
        <v>1542</v>
      </c>
      <c r="D107" s="34"/>
      <c r="E107" s="125" t="s">
        <v>107</v>
      </c>
      <c r="F107" s="30"/>
      <c r="G107" s="31"/>
      <c r="H107" s="31"/>
      <c r="I107" s="850">
        <v>43784</v>
      </c>
      <c r="J107" s="847">
        <v>30</v>
      </c>
      <c r="K107" s="522">
        <f t="shared" si="60"/>
        <v>43814</v>
      </c>
      <c r="L107" s="31"/>
      <c r="M107" s="31"/>
      <c r="N107" s="401"/>
      <c r="O107" s="698"/>
      <c r="P107" s="674" t="s">
        <v>1990</v>
      </c>
      <c r="Q107" s="857">
        <v>235500</v>
      </c>
      <c r="R107" s="182"/>
      <c r="S107" s="326"/>
      <c r="T107" s="399"/>
      <c r="U107" s="328">
        <f t="shared" si="44"/>
        <v>0</v>
      </c>
      <c r="V107" s="858"/>
      <c r="W107" s="856"/>
      <c r="X107" s="856"/>
      <c r="Y107" s="856"/>
      <c r="Z107" s="856"/>
      <c r="AA107" s="856"/>
      <c r="AB107" s="854"/>
      <c r="AC107" s="854"/>
      <c r="AD107" s="854"/>
      <c r="AE107" s="854"/>
      <c r="AF107" s="854"/>
      <c r="AG107" s="855"/>
      <c r="AH107" s="326"/>
      <c r="AI107" s="327">
        <f t="shared" si="45"/>
        <v>0</v>
      </c>
      <c r="AJ107" s="328">
        <f t="shared" si="58"/>
        <v>0</v>
      </c>
      <c r="AK107" s="860"/>
      <c r="AL107" s="861"/>
      <c r="AM107" s="861"/>
      <c r="AN107" s="861"/>
      <c r="AO107" s="861"/>
      <c r="AP107" s="861"/>
      <c r="AQ107" s="861"/>
      <c r="AR107" s="861"/>
      <c r="AS107" s="861"/>
      <c r="AT107" s="861"/>
      <c r="AU107" s="861"/>
      <c r="AV107" s="862"/>
      <c r="AW107" s="326"/>
      <c r="AX107" s="332">
        <f t="shared" si="46"/>
        <v>0</v>
      </c>
      <c r="AY107" s="333">
        <f t="shared" si="59"/>
        <v>0</v>
      </c>
      <c r="AZ107" s="873"/>
      <c r="BA107" s="874"/>
      <c r="BB107" s="890">
        <v>1</v>
      </c>
      <c r="BC107" s="890">
        <v>1</v>
      </c>
      <c r="BD107" s="890">
        <v>1</v>
      </c>
      <c r="BE107" s="890">
        <v>1</v>
      </c>
      <c r="BF107" s="891">
        <v>1</v>
      </c>
      <c r="BG107" s="891">
        <v>1</v>
      </c>
      <c r="BH107" s="891">
        <v>1</v>
      </c>
      <c r="BI107" s="891">
        <v>1</v>
      </c>
      <c r="BJ107" s="874"/>
      <c r="BK107" s="875"/>
      <c r="BL107" s="326"/>
      <c r="BM107" s="332">
        <f t="shared" si="47"/>
        <v>8</v>
      </c>
      <c r="BN107" s="333">
        <f t="shared" si="48"/>
        <v>1884000</v>
      </c>
      <c r="BO107" s="329"/>
      <c r="BP107" s="330"/>
      <c r="BQ107" s="330"/>
      <c r="BR107" s="330"/>
      <c r="BS107" s="330"/>
      <c r="BT107" s="330"/>
      <c r="BU107" s="330"/>
      <c r="BV107" s="330"/>
      <c r="BW107" s="330"/>
      <c r="BX107" s="330"/>
      <c r="BY107" s="330"/>
      <c r="BZ107" s="331"/>
      <c r="CA107" s="326"/>
      <c r="CB107" s="332">
        <f t="shared" si="49"/>
        <v>0</v>
      </c>
      <c r="CC107" s="333">
        <f t="shared" si="50"/>
        <v>0</v>
      </c>
      <c r="CD107" s="329"/>
      <c r="CE107" s="330"/>
      <c r="CF107" s="330"/>
      <c r="CG107" s="330"/>
      <c r="CH107" s="330"/>
      <c r="CI107" s="330"/>
      <c r="CJ107" s="330"/>
      <c r="CK107" s="330"/>
      <c r="CL107" s="330"/>
      <c r="CM107" s="330"/>
      <c r="CN107" s="330"/>
      <c r="CO107" s="331"/>
      <c r="CP107" s="326"/>
      <c r="CQ107" s="332">
        <f t="shared" si="51"/>
        <v>0</v>
      </c>
      <c r="CR107" s="333">
        <f t="shared" si="52"/>
        <v>0</v>
      </c>
      <c r="CS107" s="334">
        <f t="shared" si="54"/>
        <v>0</v>
      </c>
      <c r="CT107" s="335">
        <f t="shared" si="55"/>
        <v>8</v>
      </c>
      <c r="CU107" s="417">
        <f t="shared" si="56"/>
        <v>1884000</v>
      </c>
      <c r="CV107" s="529" t="str">
        <f t="shared" si="53"/>
        <v xml:space="preserve"> </v>
      </c>
      <c r="CW107" s="529">
        <f t="shared" si="61"/>
        <v>2019</v>
      </c>
      <c r="CX107" s="528">
        <f t="shared" si="57"/>
        <v>1884000</v>
      </c>
    </row>
    <row r="108" spans="1:102" s="33" customFormat="1" ht="24.75" customHeight="1" thickBot="1">
      <c r="A108" s="1052"/>
      <c r="B108" s="1050"/>
      <c r="C108" s="1050"/>
      <c r="D108" s="34"/>
      <c r="E108" s="125" t="s">
        <v>107</v>
      </c>
      <c r="F108" s="30"/>
      <c r="G108" s="31"/>
      <c r="H108" s="31"/>
      <c r="I108" s="848"/>
      <c r="J108" s="847"/>
      <c r="K108" s="522" t="str">
        <f t="shared" si="60"/>
        <v xml:space="preserve"> </v>
      </c>
      <c r="L108" s="31"/>
      <c r="M108" s="31"/>
      <c r="N108" s="401"/>
      <c r="O108" s="698"/>
      <c r="P108" s="674" t="s">
        <v>1990</v>
      </c>
      <c r="Q108" s="857"/>
      <c r="R108" s="182"/>
      <c r="S108" s="326"/>
      <c r="T108" s="399"/>
      <c r="U108" s="328">
        <f t="shared" si="44"/>
        <v>0</v>
      </c>
      <c r="V108" s="385"/>
      <c r="W108" s="352"/>
      <c r="X108" s="352"/>
      <c r="Y108" s="352"/>
      <c r="Z108" s="352"/>
      <c r="AA108" s="352"/>
      <c r="AB108" s="324"/>
      <c r="AC108" s="324"/>
      <c r="AD108" s="324"/>
      <c r="AE108" s="324"/>
      <c r="AF108" s="324"/>
      <c r="AG108" s="325"/>
      <c r="AH108" s="326"/>
      <c r="AI108" s="327">
        <f t="shared" si="45"/>
        <v>0</v>
      </c>
      <c r="AJ108" s="328">
        <f>IFERROR(ROUND((Q108*AI108+Q108*AH108),2),0)</f>
        <v>0</v>
      </c>
      <c r="AK108" s="329"/>
      <c r="AL108" s="330"/>
      <c r="AM108" s="330"/>
      <c r="AN108" s="330"/>
      <c r="AO108" s="330"/>
      <c r="AP108" s="330"/>
      <c r="AQ108" s="330"/>
      <c r="AR108" s="330"/>
      <c r="AS108" s="330"/>
      <c r="AT108" s="330"/>
      <c r="AU108" s="330"/>
      <c r="AV108" s="331"/>
      <c r="AW108" s="326"/>
      <c r="AX108" s="332">
        <f t="shared" si="46"/>
        <v>0</v>
      </c>
      <c r="AY108" s="333">
        <f>IFERROR(ROUND((Q108*AX108+Q108*AW108),2),0)</f>
        <v>0</v>
      </c>
      <c r="AZ108" s="873"/>
      <c r="BA108" s="874"/>
      <c r="BB108" s="874"/>
      <c r="BC108" s="874"/>
      <c r="BD108" s="874"/>
      <c r="BE108" s="874"/>
      <c r="BF108" s="874"/>
      <c r="BG108" s="874"/>
      <c r="BH108" s="874"/>
      <c r="BI108" s="874"/>
      <c r="BJ108" s="874"/>
      <c r="BK108" s="875"/>
      <c r="BL108" s="326"/>
      <c r="BM108" s="332">
        <f t="shared" si="47"/>
        <v>0</v>
      </c>
      <c r="BN108" s="333">
        <f t="shared" si="48"/>
        <v>0</v>
      </c>
      <c r="BO108" s="329"/>
      <c r="BP108" s="330"/>
      <c r="BQ108" s="330"/>
      <c r="BR108" s="330"/>
      <c r="BS108" s="330"/>
      <c r="BT108" s="330"/>
      <c r="BU108" s="330"/>
      <c r="BV108" s="330"/>
      <c r="BW108" s="330"/>
      <c r="BX108" s="330"/>
      <c r="BY108" s="330"/>
      <c r="BZ108" s="331"/>
      <c r="CA108" s="326"/>
      <c r="CB108" s="332">
        <f t="shared" si="49"/>
        <v>0</v>
      </c>
      <c r="CC108" s="333">
        <f t="shared" si="50"/>
        <v>0</v>
      </c>
      <c r="CD108" s="329"/>
      <c r="CE108" s="330"/>
      <c r="CF108" s="330"/>
      <c r="CG108" s="330"/>
      <c r="CH108" s="330"/>
      <c r="CI108" s="330"/>
      <c r="CJ108" s="330"/>
      <c r="CK108" s="330"/>
      <c r="CL108" s="330"/>
      <c r="CM108" s="330"/>
      <c r="CN108" s="330"/>
      <c r="CO108" s="331"/>
      <c r="CP108" s="326"/>
      <c r="CQ108" s="332">
        <f t="shared" si="51"/>
        <v>0</v>
      </c>
      <c r="CR108" s="333">
        <f t="shared" si="52"/>
        <v>0</v>
      </c>
      <c r="CS108" s="334">
        <f t="shared" si="54"/>
        <v>0</v>
      </c>
      <c r="CT108" s="335">
        <f t="shared" si="55"/>
        <v>0</v>
      </c>
      <c r="CU108" s="417">
        <f t="shared" si="56"/>
        <v>0</v>
      </c>
      <c r="CV108" s="529" t="str">
        <f t="shared" si="53"/>
        <v xml:space="preserve"> </v>
      </c>
      <c r="CW108" s="529" t="str">
        <f t="shared" si="61"/>
        <v xml:space="preserve"> </v>
      </c>
      <c r="CX108" s="528">
        <f t="shared" si="57"/>
        <v>0</v>
      </c>
    </row>
    <row r="109" spans="1:102" s="33" customFormat="1" ht="24.75" customHeight="1" thickBot="1">
      <c r="A109" s="1051" t="s">
        <v>156</v>
      </c>
      <c r="B109" s="1048" t="s">
        <v>1592</v>
      </c>
      <c r="C109" s="1048" t="s">
        <v>1606</v>
      </c>
      <c r="D109" s="34"/>
      <c r="E109" s="125" t="s">
        <v>107</v>
      </c>
      <c r="F109" s="30"/>
      <c r="G109" s="31"/>
      <c r="H109" s="31"/>
      <c r="I109" s="850">
        <v>43784</v>
      </c>
      <c r="J109" s="847">
        <v>30</v>
      </c>
      <c r="K109" s="522">
        <f t="shared" si="60"/>
        <v>43814</v>
      </c>
      <c r="L109" s="31"/>
      <c r="M109" s="31"/>
      <c r="N109" s="401"/>
      <c r="O109" s="698"/>
      <c r="P109" s="674" t="s">
        <v>1990</v>
      </c>
      <c r="Q109" s="857">
        <v>235500</v>
      </c>
      <c r="R109" s="182"/>
      <c r="S109" s="326"/>
      <c r="T109" s="399"/>
      <c r="U109" s="328">
        <f t="shared" si="44"/>
        <v>0</v>
      </c>
      <c r="V109" s="385"/>
      <c r="W109" s="352"/>
      <c r="X109" s="352"/>
      <c r="Y109" s="352"/>
      <c r="Z109" s="352"/>
      <c r="AA109" s="352"/>
      <c r="AB109" s="324"/>
      <c r="AC109" s="324"/>
      <c r="AD109" s="324"/>
      <c r="AE109" s="324"/>
      <c r="AF109" s="324"/>
      <c r="AG109" s="325"/>
      <c r="AH109" s="326"/>
      <c r="AI109" s="327">
        <f t="shared" si="45"/>
        <v>0</v>
      </c>
      <c r="AJ109" s="328">
        <f t="shared" si="58"/>
        <v>0</v>
      </c>
      <c r="AK109" s="329"/>
      <c r="AL109" s="330"/>
      <c r="AM109" s="330"/>
      <c r="AN109" s="330"/>
      <c r="AO109" s="330"/>
      <c r="AP109" s="330"/>
      <c r="AQ109" s="330"/>
      <c r="AR109" s="330"/>
      <c r="AS109" s="330"/>
      <c r="AT109" s="330"/>
      <c r="AU109" s="330"/>
      <c r="AV109" s="331"/>
      <c r="AW109" s="326"/>
      <c r="AX109" s="332">
        <f t="shared" si="46"/>
        <v>0</v>
      </c>
      <c r="AY109" s="333">
        <f t="shared" si="59"/>
        <v>0</v>
      </c>
      <c r="AZ109" s="873"/>
      <c r="BA109" s="874"/>
      <c r="BB109" s="890">
        <v>1</v>
      </c>
      <c r="BC109" s="890">
        <v>1</v>
      </c>
      <c r="BD109" s="890">
        <v>1</v>
      </c>
      <c r="BE109" s="890">
        <v>1</v>
      </c>
      <c r="BF109" s="891">
        <v>1</v>
      </c>
      <c r="BG109" s="891">
        <v>1</v>
      </c>
      <c r="BH109" s="891">
        <v>1</v>
      </c>
      <c r="BI109" s="891">
        <v>1</v>
      </c>
      <c r="BJ109" s="874"/>
      <c r="BK109" s="875"/>
      <c r="BL109" s="326"/>
      <c r="BM109" s="332">
        <f t="shared" si="47"/>
        <v>8</v>
      </c>
      <c r="BN109" s="333">
        <f t="shared" si="48"/>
        <v>1884000</v>
      </c>
      <c r="BO109" s="329"/>
      <c r="BP109" s="330"/>
      <c r="BQ109" s="330"/>
      <c r="BR109" s="330"/>
      <c r="BS109" s="330"/>
      <c r="BT109" s="330"/>
      <c r="BU109" s="330"/>
      <c r="BV109" s="330"/>
      <c r="BW109" s="330"/>
      <c r="BX109" s="330"/>
      <c r="BY109" s="330"/>
      <c r="BZ109" s="331"/>
      <c r="CA109" s="326"/>
      <c r="CB109" s="332">
        <f t="shared" si="49"/>
        <v>0</v>
      </c>
      <c r="CC109" s="333">
        <f t="shared" si="50"/>
        <v>0</v>
      </c>
      <c r="CD109" s="329"/>
      <c r="CE109" s="330"/>
      <c r="CF109" s="330"/>
      <c r="CG109" s="330"/>
      <c r="CH109" s="330"/>
      <c r="CI109" s="330"/>
      <c r="CJ109" s="330"/>
      <c r="CK109" s="330"/>
      <c r="CL109" s="330"/>
      <c r="CM109" s="330"/>
      <c r="CN109" s="330"/>
      <c r="CO109" s="331"/>
      <c r="CP109" s="326"/>
      <c r="CQ109" s="332">
        <f t="shared" si="51"/>
        <v>0</v>
      </c>
      <c r="CR109" s="333">
        <f t="shared" si="52"/>
        <v>0</v>
      </c>
      <c r="CS109" s="334">
        <f t="shared" si="54"/>
        <v>0</v>
      </c>
      <c r="CT109" s="335">
        <f t="shared" si="55"/>
        <v>8</v>
      </c>
      <c r="CU109" s="417">
        <f t="shared" si="56"/>
        <v>1884000</v>
      </c>
      <c r="CV109" s="529" t="str">
        <f t="shared" si="53"/>
        <v xml:space="preserve"> </v>
      </c>
      <c r="CW109" s="529">
        <f t="shared" si="61"/>
        <v>2019</v>
      </c>
      <c r="CX109" s="528">
        <f t="shared" si="57"/>
        <v>1884000</v>
      </c>
    </row>
    <row r="110" spans="1:102" s="33" customFormat="1" ht="24.75" customHeight="1" thickBot="1">
      <c r="A110" s="1052"/>
      <c r="B110" s="1050"/>
      <c r="C110" s="1050"/>
      <c r="D110" s="34"/>
      <c r="E110" s="125" t="s">
        <v>107</v>
      </c>
      <c r="F110" s="30"/>
      <c r="G110" s="31"/>
      <c r="H110" s="31"/>
      <c r="I110" s="519"/>
      <c r="J110" s="31"/>
      <c r="K110" s="522" t="str">
        <f t="shared" si="60"/>
        <v xml:space="preserve"> </v>
      </c>
      <c r="L110" s="31"/>
      <c r="M110" s="31"/>
      <c r="N110" s="401"/>
      <c r="O110" s="698"/>
      <c r="P110" s="674" t="s">
        <v>1990</v>
      </c>
      <c r="Q110" s="378"/>
      <c r="R110" s="182"/>
      <c r="S110" s="326"/>
      <c r="T110" s="399"/>
      <c r="U110" s="328">
        <f t="shared" si="44"/>
        <v>0</v>
      </c>
      <c r="V110" s="385"/>
      <c r="W110" s="352"/>
      <c r="X110" s="352"/>
      <c r="Y110" s="352"/>
      <c r="Z110" s="352"/>
      <c r="AA110" s="352"/>
      <c r="AB110" s="324"/>
      <c r="AC110" s="324"/>
      <c r="AD110" s="324"/>
      <c r="AE110" s="324"/>
      <c r="AF110" s="324"/>
      <c r="AG110" s="325"/>
      <c r="AH110" s="326"/>
      <c r="AI110" s="327">
        <f t="shared" si="45"/>
        <v>0</v>
      </c>
      <c r="AJ110" s="328">
        <f t="shared" si="58"/>
        <v>0</v>
      </c>
      <c r="AK110" s="329"/>
      <c r="AL110" s="330"/>
      <c r="AM110" s="330"/>
      <c r="AN110" s="330"/>
      <c r="AO110" s="330"/>
      <c r="AP110" s="330"/>
      <c r="AQ110" s="330"/>
      <c r="AR110" s="330"/>
      <c r="AS110" s="330"/>
      <c r="AT110" s="330"/>
      <c r="AU110" s="330"/>
      <c r="AV110" s="331"/>
      <c r="AW110" s="326"/>
      <c r="AX110" s="332">
        <f t="shared" si="46"/>
        <v>0</v>
      </c>
      <c r="AY110" s="333">
        <f t="shared" si="59"/>
        <v>0</v>
      </c>
      <c r="AZ110" s="329"/>
      <c r="BA110" s="330"/>
      <c r="BB110" s="330"/>
      <c r="BC110" s="330"/>
      <c r="BD110" s="330"/>
      <c r="BE110" s="330"/>
      <c r="BF110" s="330"/>
      <c r="BG110" s="330"/>
      <c r="BH110" s="330"/>
      <c r="BI110" s="330"/>
      <c r="BJ110" s="330"/>
      <c r="BK110" s="331"/>
      <c r="BL110" s="326"/>
      <c r="BM110" s="332">
        <f t="shared" si="47"/>
        <v>0</v>
      </c>
      <c r="BN110" s="333">
        <f t="shared" si="48"/>
        <v>0</v>
      </c>
      <c r="BO110" s="329"/>
      <c r="BP110" s="330"/>
      <c r="BQ110" s="330"/>
      <c r="BR110" s="330"/>
      <c r="BS110" s="330"/>
      <c r="BT110" s="330"/>
      <c r="BU110" s="330"/>
      <c r="BV110" s="330"/>
      <c r="BW110" s="330"/>
      <c r="BX110" s="330"/>
      <c r="BY110" s="330"/>
      <c r="BZ110" s="331"/>
      <c r="CA110" s="326"/>
      <c r="CB110" s="332">
        <f t="shared" si="49"/>
        <v>0</v>
      </c>
      <c r="CC110" s="333">
        <f t="shared" si="50"/>
        <v>0</v>
      </c>
      <c r="CD110" s="329"/>
      <c r="CE110" s="330"/>
      <c r="CF110" s="330"/>
      <c r="CG110" s="330"/>
      <c r="CH110" s="330"/>
      <c r="CI110" s="330"/>
      <c r="CJ110" s="330"/>
      <c r="CK110" s="330"/>
      <c r="CL110" s="330"/>
      <c r="CM110" s="330"/>
      <c r="CN110" s="330"/>
      <c r="CO110" s="331"/>
      <c r="CP110" s="326"/>
      <c r="CQ110" s="332">
        <f t="shared" si="51"/>
        <v>0</v>
      </c>
      <c r="CR110" s="333">
        <f t="shared" si="52"/>
        <v>0</v>
      </c>
      <c r="CS110" s="334">
        <f t="shared" si="54"/>
        <v>0</v>
      </c>
      <c r="CT110" s="335">
        <f t="shared" si="55"/>
        <v>0</v>
      </c>
      <c r="CU110" s="417">
        <f t="shared" si="56"/>
        <v>0</v>
      </c>
      <c r="CV110" s="529" t="str">
        <f t="shared" si="53"/>
        <v xml:space="preserve"> </v>
      </c>
      <c r="CW110" s="529" t="str">
        <f t="shared" si="61"/>
        <v xml:space="preserve"> </v>
      </c>
      <c r="CX110" s="528">
        <f t="shared" si="57"/>
        <v>0</v>
      </c>
    </row>
    <row r="111" spans="1:102" s="33" customFormat="1" ht="24.75" customHeight="1" thickBot="1">
      <c r="A111" s="1051" t="s">
        <v>157</v>
      </c>
      <c r="B111" s="1048" t="s">
        <v>101</v>
      </c>
      <c r="C111" s="1048" t="s">
        <v>101</v>
      </c>
      <c r="D111" s="34"/>
      <c r="E111" s="125" t="s">
        <v>106</v>
      </c>
      <c r="F111" s="30"/>
      <c r="G111" s="31"/>
      <c r="H111" s="31"/>
      <c r="I111" s="519"/>
      <c r="J111" s="31"/>
      <c r="K111" s="522" t="str">
        <f t="shared" si="60"/>
        <v xml:space="preserve"> </v>
      </c>
      <c r="L111" s="31"/>
      <c r="M111" s="31"/>
      <c r="N111" s="401"/>
      <c r="O111" s="698"/>
      <c r="P111" s="674" t="s">
        <v>1990</v>
      </c>
      <c r="Q111" s="378"/>
      <c r="R111" s="182"/>
      <c r="S111" s="326"/>
      <c r="T111" s="399"/>
      <c r="U111" s="328">
        <f t="shared" si="44"/>
        <v>0</v>
      </c>
      <c r="V111" s="385"/>
      <c r="W111" s="352"/>
      <c r="X111" s="352"/>
      <c r="Y111" s="352"/>
      <c r="Z111" s="352"/>
      <c r="AA111" s="352"/>
      <c r="AB111" s="324"/>
      <c r="AC111" s="324"/>
      <c r="AD111" s="324"/>
      <c r="AE111" s="324"/>
      <c r="AF111" s="324"/>
      <c r="AG111" s="325"/>
      <c r="AH111" s="326"/>
      <c r="AI111" s="327">
        <f t="shared" si="45"/>
        <v>0</v>
      </c>
      <c r="AJ111" s="328">
        <f t="shared" si="58"/>
        <v>0</v>
      </c>
      <c r="AK111" s="329"/>
      <c r="AL111" s="330"/>
      <c r="AM111" s="330"/>
      <c r="AN111" s="330"/>
      <c r="AO111" s="330"/>
      <c r="AP111" s="330"/>
      <c r="AQ111" s="330"/>
      <c r="AR111" s="330"/>
      <c r="AS111" s="330"/>
      <c r="AT111" s="330"/>
      <c r="AU111" s="330"/>
      <c r="AV111" s="331"/>
      <c r="AW111" s="326"/>
      <c r="AX111" s="332">
        <f t="shared" si="46"/>
        <v>0</v>
      </c>
      <c r="AY111" s="333">
        <f t="shared" si="59"/>
        <v>0</v>
      </c>
      <c r="AZ111" s="329"/>
      <c r="BA111" s="330"/>
      <c r="BB111" s="330"/>
      <c r="BC111" s="330"/>
      <c r="BD111" s="330"/>
      <c r="BE111" s="330"/>
      <c r="BF111" s="330"/>
      <c r="BG111" s="330"/>
      <c r="BH111" s="330"/>
      <c r="BI111" s="330"/>
      <c r="BJ111" s="330"/>
      <c r="BK111" s="331"/>
      <c r="BL111" s="326"/>
      <c r="BM111" s="332">
        <f t="shared" si="47"/>
        <v>0</v>
      </c>
      <c r="BN111" s="333">
        <f t="shared" si="48"/>
        <v>0</v>
      </c>
      <c r="BO111" s="329"/>
      <c r="BP111" s="330"/>
      <c r="BQ111" s="330"/>
      <c r="BR111" s="330"/>
      <c r="BS111" s="330"/>
      <c r="BT111" s="330"/>
      <c r="BU111" s="330"/>
      <c r="BV111" s="330"/>
      <c r="BW111" s="330"/>
      <c r="BX111" s="330"/>
      <c r="BY111" s="330"/>
      <c r="BZ111" s="331"/>
      <c r="CA111" s="326"/>
      <c r="CB111" s="332">
        <f t="shared" si="49"/>
        <v>0</v>
      </c>
      <c r="CC111" s="333">
        <f t="shared" si="50"/>
        <v>0</v>
      </c>
      <c r="CD111" s="329"/>
      <c r="CE111" s="330"/>
      <c r="CF111" s="330"/>
      <c r="CG111" s="330"/>
      <c r="CH111" s="330"/>
      <c r="CI111" s="330"/>
      <c r="CJ111" s="330"/>
      <c r="CK111" s="330"/>
      <c r="CL111" s="330"/>
      <c r="CM111" s="330"/>
      <c r="CN111" s="330"/>
      <c r="CO111" s="331"/>
      <c r="CP111" s="326"/>
      <c r="CQ111" s="332">
        <f t="shared" si="51"/>
        <v>0</v>
      </c>
      <c r="CR111" s="333">
        <f t="shared" si="52"/>
        <v>0</v>
      </c>
      <c r="CS111" s="334">
        <f t="shared" si="54"/>
        <v>0</v>
      </c>
      <c r="CT111" s="335">
        <f t="shared" si="55"/>
        <v>0</v>
      </c>
      <c r="CU111" s="417">
        <f t="shared" si="56"/>
        <v>0</v>
      </c>
      <c r="CV111" s="529" t="str">
        <f t="shared" si="53"/>
        <v xml:space="preserve"> </v>
      </c>
      <c r="CW111" s="529" t="str">
        <f t="shared" si="61"/>
        <v xml:space="preserve"> </v>
      </c>
      <c r="CX111" s="528">
        <f t="shared" si="57"/>
        <v>0</v>
      </c>
    </row>
    <row r="112" spans="1:102" s="33" customFormat="1" ht="24.75" customHeight="1" thickBot="1">
      <c r="A112" s="1052"/>
      <c r="B112" s="1050"/>
      <c r="C112" s="1050"/>
      <c r="D112" s="34"/>
      <c r="E112" s="125" t="s">
        <v>106</v>
      </c>
      <c r="F112" s="30"/>
      <c r="G112" s="31"/>
      <c r="H112" s="31"/>
      <c r="I112" s="519"/>
      <c r="J112" s="31"/>
      <c r="K112" s="522" t="str">
        <f t="shared" si="60"/>
        <v xml:space="preserve"> </v>
      </c>
      <c r="L112" s="31"/>
      <c r="M112" s="31"/>
      <c r="N112" s="401"/>
      <c r="O112" s="698"/>
      <c r="P112" s="674" t="s">
        <v>1990</v>
      </c>
      <c r="Q112" s="378"/>
      <c r="R112" s="182"/>
      <c r="S112" s="326"/>
      <c r="T112" s="399"/>
      <c r="U112" s="328">
        <f t="shared" si="44"/>
        <v>0</v>
      </c>
      <c r="V112" s="385"/>
      <c r="W112" s="352"/>
      <c r="X112" s="352"/>
      <c r="Y112" s="352"/>
      <c r="Z112" s="352"/>
      <c r="AA112" s="352"/>
      <c r="AB112" s="324"/>
      <c r="AC112" s="324"/>
      <c r="AD112" s="324"/>
      <c r="AE112" s="324"/>
      <c r="AF112" s="324"/>
      <c r="AG112" s="325"/>
      <c r="AH112" s="326"/>
      <c r="AI112" s="327">
        <f t="shared" si="45"/>
        <v>0</v>
      </c>
      <c r="AJ112" s="328">
        <f t="shared" si="58"/>
        <v>0</v>
      </c>
      <c r="AK112" s="329"/>
      <c r="AL112" s="330"/>
      <c r="AM112" s="330"/>
      <c r="AN112" s="330"/>
      <c r="AO112" s="330"/>
      <c r="AP112" s="330"/>
      <c r="AQ112" s="330"/>
      <c r="AR112" s="330"/>
      <c r="AS112" s="330"/>
      <c r="AT112" s="330"/>
      <c r="AU112" s="330"/>
      <c r="AV112" s="331"/>
      <c r="AW112" s="326"/>
      <c r="AX112" s="332">
        <f t="shared" si="46"/>
        <v>0</v>
      </c>
      <c r="AY112" s="333">
        <f t="shared" si="59"/>
        <v>0</v>
      </c>
      <c r="AZ112" s="329"/>
      <c r="BA112" s="330"/>
      <c r="BB112" s="330"/>
      <c r="BC112" s="330"/>
      <c r="BD112" s="330"/>
      <c r="BE112" s="330"/>
      <c r="BF112" s="330"/>
      <c r="BG112" s="330"/>
      <c r="BH112" s="330"/>
      <c r="BI112" s="330"/>
      <c r="BJ112" s="330"/>
      <c r="BK112" s="331"/>
      <c r="BL112" s="326"/>
      <c r="BM112" s="332">
        <f t="shared" si="47"/>
        <v>0</v>
      </c>
      <c r="BN112" s="333">
        <f t="shared" si="48"/>
        <v>0</v>
      </c>
      <c r="BO112" s="329"/>
      <c r="BP112" s="330"/>
      <c r="BQ112" s="330"/>
      <c r="BR112" s="330"/>
      <c r="BS112" s="330"/>
      <c r="BT112" s="330"/>
      <c r="BU112" s="330"/>
      <c r="BV112" s="330"/>
      <c r="BW112" s="330"/>
      <c r="BX112" s="330"/>
      <c r="BY112" s="330"/>
      <c r="BZ112" s="331"/>
      <c r="CA112" s="326"/>
      <c r="CB112" s="332">
        <f t="shared" si="49"/>
        <v>0</v>
      </c>
      <c r="CC112" s="333">
        <f t="shared" si="50"/>
        <v>0</v>
      </c>
      <c r="CD112" s="329"/>
      <c r="CE112" s="330"/>
      <c r="CF112" s="330"/>
      <c r="CG112" s="330"/>
      <c r="CH112" s="330"/>
      <c r="CI112" s="330"/>
      <c r="CJ112" s="330"/>
      <c r="CK112" s="330"/>
      <c r="CL112" s="330"/>
      <c r="CM112" s="330"/>
      <c r="CN112" s="330"/>
      <c r="CO112" s="331"/>
      <c r="CP112" s="326"/>
      <c r="CQ112" s="332">
        <f t="shared" si="51"/>
        <v>0</v>
      </c>
      <c r="CR112" s="333">
        <f t="shared" si="52"/>
        <v>0</v>
      </c>
      <c r="CS112" s="334">
        <f t="shared" si="54"/>
        <v>0</v>
      </c>
      <c r="CT112" s="335">
        <f t="shared" si="55"/>
        <v>0</v>
      </c>
      <c r="CU112" s="417">
        <f t="shared" si="56"/>
        <v>0</v>
      </c>
      <c r="CV112" s="529" t="str">
        <f t="shared" si="53"/>
        <v xml:space="preserve"> </v>
      </c>
      <c r="CW112" s="529" t="str">
        <f t="shared" si="61"/>
        <v xml:space="preserve"> </v>
      </c>
      <c r="CX112" s="528">
        <f t="shared" si="57"/>
        <v>0</v>
      </c>
    </row>
    <row r="113" spans="1:105" s="33" customFormat="1" ht="24.75" customHeight="1" thickBot="1">
      <c r="A113" s="1051" t="s">
        <v>162</v>
      </c>
      <c r="B113" s="1048" t="s">
        <v>1601</v>
      </c>
      <c r="C113" s="1048" t="s">
        <v>1597</v>
      </c>
      <c r="D113" s="34"/>
      <c r="E113" s="125" t="s">
        <v>106</v>
      </c>
      <c r="F113" s="30"/>
      <c r="G113" s="31"/>
      <c r="H113" s="31"/>
      <c r="I113" s="519"/>
      <c r="J113" s="31"/>
      <c r="K113" s="522" t="str">
        <f t="shared" si="60"/>
        <v xml:space="preserve"> </v>
      </c>
      <c r="L113" s="31"/>
      <c r="M113" s="31"/>
      <c r="N113" s="401"/>
      <c r="O113" s="698"/>
      <c r="P113" s="674" t="s">
        <v>1990</v>
      </c>
      <c r="Q113" s="378"/>
      <c r="R113" s="182"/>
      <c r="S113" s="326"/>
      <c r="T113" s="399"/>
      <c r="U113" s="328">
        <f t="shared" si="44"/>
        <v>0</v>
      </c>
      <c r="V113" s="385"/>
      <c r="W113" s="352"/>
      <c r="X113" s="352"/>
      <c r="Y113" s="352"/>
      <c r="Z113" s="352"/>
      <c r="AA113" s="352"/>
      <c r="AB113" s="324"/>
      <c r="AC113" s="324"/>
      <c r="AD113" s="324"/>
      <c r="AE113" s="324"/>
      <c r="AF113" s="324"/>
      <c r="AG113" s="325"/>
      <c r="AH113" s="326"/>
      <c r="AI113" s="327">
        <f t="shared" si="45"/>
        <v>0</v>
      </c>
      <c r="AJ113" s="328">
        <f t="shared" si="58"/>
        <v>0</v>
      </c>
      <c r="AK113" s="329"/>
      <c r="AL113" s="330"/>
      <c r="AM113" s="330"/>
      <c r="AN113" s="330"/>
      <c r="AO113" s="330"/>
      <c r="AP113" s="330"/>
      <c r="AQ113" s="330"/>
      <c r="AR113" s="330"/>
      <c r="AS113" s="330"/>
      <c r="AT113" s="330"/>
      <c r="AU113" s="330"/>
      <c r="AV113" s="331"/>
      <c r="AW113" s="326"/>
      <c r="AX113" s="332">
        <f t="shared" si="46"/>
        <v>0</v>
      </c>
      <c r="AY113" s="333">
        <f t="shared" si="59"/>
        <v>0</v>
      </c>
      <c r="AZ113" s="329"/>
      <c r="BA113" s="330"/>
      <c r="BB113" s="330"/>
      <c r="BC113" s="330"/>
      <c r="BD113" s="330"/>
      <c r="BE113" s="330"/>
      <c r="BF113" s="330"/>
      <c r="BG113" s="330"/>
      <c r="BH113" s="330"/>
      <c r="BI113" s="330"/>
      <c r="BJ113" s="330"/>
      <c r="BK113" s="331"/>
      <c r="BL113" s="326"/>
      <c r="BM113" s="332">
        <f t="shared" si="47"/>
        <v>0</v>
      </c>
      <c r="BN113" s="333">
        <f t="shared" si="48"/>
        <v>0</v>
      </c>
      <c r="BO113" s="329"/>
      <c r="BP113" s="330"/>
      <c r="BQ113" s="330"/>
      <c r="BR113" s="330"/>
      <c r="BS113" s="330"/>
      <c r="BT113" s="330"/>
      <c r="BU113" s="330"/>
      <c r="BV113" s="330"/>
      <c r="BW113" s="330"/>
      <c r="BX113" s="330"/>
      <c r="BY113" s="330"/>
      <c r="BZ113" s="331"/>
      <c r="CA113" s="326"/>
      <c r="CB113" s="332">
        <f t="shared" si="49"/>
        <v>0</v>
      </c>
      <c r="CC113" s="333">
        <f t="shared" si="50"/>
        <v>0</v>
      </c>
      <c r="CD113" s="329"/>
      <c r="CE113" s="330"/>
      <c r="CF113" s="330"/>
      <c r="CG113" s="330"/>
      <c r="CH113" s="330"/>
      <c r="CI113" s="330"/>
      <c r="CJ113" s="330"/>
      <c r="CK113" s="330"/>
      <c r="CL113" s="330"/>
      <c r="CM113" s="330"/>
      <c r="CN113" s="330"/>
      <c r="CO113" s="331"/>
      <c r="CP113" s="326"/>
      <c r="CQ113" s="332">
        <f t="shared" si="51"/>
        <v>0</v>
      </c>
      <c r="CR113" s="333">
        <f t="shared" si="52"/>
        <v>0</v>
      </c>
      <c r="CS113" s="334">
        <f t="shared" si="54"/>
        <v>0</v>
      </c>
      <c r="CT113" s="335">
        <f t="shared" si="55"/>
        <v>0</v>
      </c>
      <c r="CU113" s="417">
        <f t="shared" si="56"/>
        <v>0</v>
      </c>
      <c r="CV113" s="529" t="str">
        <f t="shared" si="53"/>
        <v xml:space="preserve"> </v>
      </c>
      <c r="CW113" s="529" t="str">
        <f t="shared" si="61"/>
        <v xml:space="preserve"> </v>
      </c>
      <c r="CX113" s="528">
        <f t="shared" si="57"/>
        <v>0</v>
      </c>
    </row>
    <row r="114" spans="1:105" s="33" customFormat="1" ht="24.75" customHeight="1" thickBot="1">
      <c r="A114" s="1052"/>
      <c r="B114" s="1050"/>
      <c r="C114" s="1050"/>
      <c r="D114" s="34"/>
      <c r="E114" s="125" t="s">
        <v>106</v>
      </c>
      <c r="F114" s="30"/>
      <c r="G114" s="31"/>
      <c r="H114" s="31"/>
      <c r="I114" s="519"/>
      <c r="J114" s="31"/>
      <c r="K114" s="522" t="str">
        <f t="shared" si="60"/>
        <v xml:space="preserve"> </v>
      </c>
      <c r="L114" s="31"/>
      <c r="M114" s="31"/>
      <c r="N114" s="401"/>
      <c r="O114" s="698"/>
      <c r="P114" s="674" t="s">
        <v>1990</v>
      </c>
      <c r="Q114" s="378"/>
      <c r="R114" s="182"/>
      <c r="S114" s="326"/>
      <c r="T114" s="399"/>
      <c r="U114" s="328">
        <f t="shared" si="44"/>
        <v>0</v>
      </c>
      <c r="V114" s="385"/>
      <c r="W114" s="352"/>
      <c r="X114" s="352"/>
      <c r="Y114" s="352"/>
      <c r="Z114" s="352"/>
      <c r="AA114" s="352"/>
      <c r="AB114" s="324"/>
      <c r="AC114" s="324"/>
      <c r="AD114" s="324"/>
      <c r="AE114" s="324"/>
      <c r="AF114" s="324"/>
      <c r="AG114" s="325"/>
      <c r="AH114" s="326"/>
      <c r="AI114" s="327">
        <f t="shared" si="45"/>
        <v>0</v>
      </c>
      <c r="AJ114" s="328">
        <f t="shared" si="58"/>
        <v>0</v>
      </c>
      <c r="AK114" s="329"/>
      <c r="AL114" s="330"/>
      <c r="AM114" s="330"/>
      <c r="AN114" s="330"/>
      <c r="AO114" s="330"/>
      <c r="AP114" s="330"/>
      <c r="AQ114" s="330"/>
      <c r="AR114" s="330"/>
      <c r="AS114" s="330"/>
      <c r="AT114" s="330"/>
      <c r="AU114" s="330"/>
      <c r="AV114" s="331"/>
      <c r="AW114" s="326"/>
      <c r="AX114" s="332">
        <f t="shared" si="46"/>
        <v>0</v>
      </c>
      <c r="AY114" s="333">
        <f t="shared" si="59"/>
        <v>0</v>
      </c>
      <c r="AZ114" s="329"/>
      <c r="BA114" s="330"/>
      <c r="BB114" s="330"/>
      <c r="BC114" s="330"/>
      <c r="BD114" s="330"/>
      <c r="BE114" s="330"/>
      <c r="BF114" s="330"/>
      <c r="BG114" s="330"/>
      <c r="BH114" s="330"/>
      <c r="BI114" s="330"/>
      <c r="BJ114" s="330"/>
      <c r="BK114" s="331"/>
      <c r="BL114" s="326"/>
      <c r="BM114" s="332">
        <f t="shared" si="47"/>
        <v>0</v>
      </c>
      <c r="BN114" s="333">
        <f>IFERROR(ROUND((Q114*BM114+Q114*BL114),2),0)</f>
        <v>0</v>
      </c>
      <c r="BO114" s="329"/>
      <c r="BP114" s="330"/>
      <c r="BQ114" s="330"/>
      <c r="BR114" s="330"/>
      <c r="BS114" s="330"/>
      <c r="BT114" s="330"/>
      <c r="BU114" s="330"/>
      <c r="BV114" s="330"/>
      <c r="BW114" s="330"/>
      <c r="BX114" s="330"/>
      <c r="BY114" s="330"/>
      <c r="BZ114" s="331"/>
      <c r="CA114" s="326"/>
      <c r="CB114" s="332">
        <f t="shared" si="49"/>
        <v>0</v>
      </c>
      <c r="CC114" s="333">
        <f t="shared" si="50"/>
        <v>0</v>
      </c>
      <c r="CD114" s="329"/>
      <c r="CE114" s="330"/>
      <c r="CF114" s="330"/>
      <c r="CG114" s="330"/>
      <c r="CH114" s="330"/>
      <c r="CI114" s="330"/>
      <c r="CJ114" s="330"/>
      <c r="CK114" s="330"/>
      <c r="CL114" s="330"/>
      <c r="CM114" s="330"/>
      <c r="CN114" s="330"/>
      <c r="CO114" s="331"/>
      <c r="CP114" s="326"/>
      <c r="CQ114" s="332">
        <f t="shared" si="51"/>
        <v>0</v>
      </c>
      <c r="CR114" s="333">
        <f t="shared" si="52"/>
        <v>0</v>
      </c>
      <c r="CS114" s="334">
        <f t="shared" si="54"/>
        <v>0</v>
      </c>
      <c r="CT114" s="335">
        <f>CQ114+CB114+BM114+AX114+AI114+S114</f>
        <v>0</v>
      </c>
      <c r="CU114" s="417">
        <f t="shared" si="56"/>
        <v>0</v>
      </c>
      <c r="CV114" s="529" t="str">
        <f t="shared" si="53"/>
        <v xml:space="preserve"> </v>
      </c>
      <c r="CW114" s="529" t="str">
        <f t="shared" si="61"/>
        <v xml:space="preserve"> </v>
      </c>
      <c r="CX114" s="528">
        <f t="shared" si="57"/>
        <v>0</v>
      </c>
    </row>
    <row r="115" spans="1:105" s="33" customFormat="1" ht="19.5" customHeight="1" thickBot="1">
      <c r="A115" s="1055" t="s">
        <v>72</v>
      </c>
      <c r="B115" s="1056"/>
      <c r="C115" s="129"/>
      <c r="D115" s="133"/>
      <c r="E115" s="126"/>
      <c r="F115" s="186"/>
      <c r="G115" s="187"/>
      <c r="H115" s="188"/>
      <c r="I115" s="188"/>
      <c r="J115" s="184"/>
      <c r="K115" s="184"/>
      <c r="L115" s="184"/>
      <c r="M115" s="184"/>
      <c r="N115" s="184"/>
      <c r="O115" s="184"/>
      <c r="P115" s="184"/>
      <c r="Q115" s="184" t="str">
        <f>IFERROR(INDEX(#REF!,MATCH(#REF!&amp;F115&amp;H115,#REF!,0)),"")</f>
        <v/>
      </c>
      <c r="R115" s="185"/>
      <c r="S115" s="359">
        <f t="shared" ref="S115:AX115" si="62">SUM(S29:S114)</f>
        <v>0</v>
      </c>
      <c r="T115" s="386">
        <f t="shared" si="62"/>
        <v>0</v>
      </c>
      <c r="U115" s="391">
        <f t="shared" si="62"/>
        <v>0</v>
      </c>
      <c r="V115" s="359">
        <f t="shared" si="62"/>
        <v>0</v>
      </c>
      <c r="W115" s="359">
        <f t="shared" si="62"/>
        <v>0</v>
      </c>
      <c r="X115" s="359">
        <f t="shared" si="62"/>
        <v>0</v>
      </c>
      <c r="Y115" s="359">
        <f t="shared" si="62"/>
        <v>0</v>
      </c>
      <c r="Z115" s="359">
        <f t="shared" si="62"/>
        <v>0</v>
      </c>
      <c r="AA115" s="359">
        <f t="shared" si="62"/>
        <v>0</v>
      </c>
      <c r="AB115" s="359">
        <f t="shared" si="62"/>
        <v>0</v>
      </c>
      <c r="AC115" s="359">
        <f t="shared" si="62"/>
        <v>0</v>
      </c>
      <c r="AD115" s="359">
        <f t="shared" si="62"/>
        <v>0</v>
      </c>
      <c r="AE115" s="359">
        <f t="shared" si="62"/>
        <v>0</v>
      </c>
      <c r="AF115" s="359">
        <f t="shared" si="62"/>
        <v>0</v>
      </c>
      <c r="AG115" s="359">
        <f t="shared" si="62"/>
        <v>0</v>
      </c>
      <c r="AH115" s="359">
        <f t="shared" si="62"/>
        <v>0</v>
      </c>
      <c r="AI115" s="386">
        <f t="shared" si="62"/>
        <v>0</v>
      </c>
      <c r="AJ115" s="387">
        <f t="shared" si="62"/>
        <v>0</v>
      </c>
      <c r="AK115" s="386">
        <f t="shared" si="62"/>
        <v>0</v>
      </c>
      <c r="AL115" s="386">
        <f t="shared" si="62"/>
        <v>0</v>
      </c>
      <c r="AM115" s="386">
        <f t="shared" si="62"/>
        <v>4</v>
      </c>
      <c r="AN115" s="386">
        <f t="shared" si="62"/>
        <v>4</v>
      </c>
      <c r="AO115" s="386">
        <f t="shared" si="62"/>
        <v>4</v>
      </c>
      <c r="AP115" s="386">
        <f t="shared" si="62"/>
        <v>4</v>
      </c>
      <c r="AQ115" s="386">
        <f t="shared" si="62"/>
        <v>1</v>
      </c>
      <c r="AR115" s="386">
        <f t="shared" si="62"/>
        <v>1</v>
      </c>
      <c r="AS115" s="386">
        <f t="shared" si="62"/>
        <v>2</v>
      </c>
      <c r="AT115" s="386">
        <f t="shared" si="62"/>
        <v>2</v>
      </c>
      <c r="AU115" s="386">
        <f t="shared" si="62"/>
        <v>2</v>
      </c>
      <c r="AV115" s="388">
        <f t="shared" si="62"/>
        <v>2</v>
      </c>
      <c r="AW115" s="389">
        <f t="shared" si="62"/>
        <v>0</v>
      </c>
      <c r="AX115" s="390">
        <f t="shared" si="62"/>
        <v>26</v>
      </c>
      <c r="AY115" s="387">
        <f t="shared" ref="AY115:CD115" si="63">SUM(AY29:AY114)</f>
        <v>13448000</v>
      </c>
      <c r="AZ115" s="386">
        <f t="shared" si="63"/>
        <v>12</v>
      </c>
      <c r="BA115" s="386">
        <f t="shared" si="63"/>
        <v>12</v>
      </c>
      <c r="BB115" s="386">
        <f t="shared" si="63"/>
        <v>3</v>
      </c>
      <c r="BC115" s="386">
        <f t="shared" si="63"/>
        <v>3</v>
      </c>
      <c r="BD115" s="386">
        <f t="shared" si="63"/>
        <v>3</v>
      </c>
      <c r="BE115" s="386">
        <f t="shared" si="63"/>
        <v>3</v>
      </c>
      <c r="BF115" s="386">
        <f t="shared" si="63"/>
        <v>3</v>
      </c>
      <c r="BG115" s="386">
        <f t="shared" si="63"/>
        <v>3</v>
      </c>
      <c r="BH115" s="386">
        <f t="shared" si="63"/>
        <v>3</v>
      </c>
      <c r="BI115" s="386">
        <f t="shared" si="63"/>
        <v>3</v>
      </c>
      <c r="BJ115" s="386">
        <f t="shared" si="63"/>
        <v>0</v>
      </c>
      <c r="BK115" s="388">
        <f t="shared" si="63"/>
        <v>0</v>
      </c>
      <c r="BL115" s="389">
        <f t="shared" si="63"/>
        <v>0</v>
      </c>
      <c r="BM115" s="390">
        <f t="shared" si="63"/>
        <v>48</v>
      </c>
      <c r="BN115" s="387">
        <f t="shared" si="63"/>
        <v>7745538.4800000004</v>
      </c>
      <c r="BO115" s="386">
        <f t="shared" si="63"/>
        <v>0</v>
      </c>
      <c r="BP115" s="386">
        <f t="shared" si="63"/>
        <v>0</v>
      </c>
      <c r="BQ115" s="386">
        <f t="shared" si="63"/>
        <v>0</v>
      </c>
      <c r="BR115" s="386">
        <f t="shared" si="63"/>
        <v>0</v>
      </c>
      <c r="BS115" s="386">
        <f t="shared" si="63"/>
        <v>0</v>
      </c>
      <c r="BT115" s="386">
        <f t="shared" si="63"/>
        <v>0</v>
      </c>
      <c r="BU115" s="386">
        <f t="shared" si="63"/>
        <v>0</v>
      </c>
      <c r="BV115" s="386">
        <f t="shared" si="63"/>
        <v>0</v>
      </c>
      <c r="BW115" s="386">
        <f t="shared" si="63"/>
        <v>0</v>
      </c>
      <c r="BX115" s="386">
        <f t="shared" si="63"/>
        <v>0</v>
      </c>
      <c r="BY115" s="386">
        <f t="shared" si="63"/>
        <v>0</v>
      </c>
      <c r="BZ115" s="388">
        <f t="shared" si="63"/>
        <v>0</v>
      </c>
      <c r="CA115" s="389">
        <f t="shared" si="63"/>
        <v>0</v>
      </c>
      <c r="CB115" s="390">
        <f t="shared" si="63"/>
        <v>0</v>
      </c>
      <c r="CC115" s="387">
        <f t="shared" si="63"/>
        <v>0</v>
      </c>
      <c r="CD115" s="386">
        <f t="shared" si="63"/>
        <v>0</v>
      </c>
      <c r="CE115" s="386">
        <f t="shared" ref="CE115:CU115" si="64">SUM(CE29:CE114)</f>
        <v>0</v>
      </c>
      <c r="CF115" s="386">
        <f t="shared" si="64"/>
        <v>0</v>
      </c>
      <c r="CG115" s="386">
        <f t="shared" si="64"/>
        <v>0</v>
      </c>
      <c r="CH115" s="386">
        <f t="shared" si="64"/>
        <v>0</v>
      </c>
      <c r="CI115" s="386">
        <f t="shared" si="64"/>
        <v>0</v>
      </c>
      <c r="CJ115" s="386">
        <f t="shared" si="64"/>
        <v>0</v>
      </c>
      <c r="CK115" s="386">
        <f t="shared" si="64"/>
        <v>0</v>
      </c>
      <c r="CL115" s="386">
        <f t="shared" si="64"/>
        <v>0</v>
      </c>
      <c r="CM115" s="386">
        <f t="shared" si="64"/>
        <v>0</v>
      </c>
      <c r="CN115" s="386">
        <f t="shared" si="64"/>
        <v>0</v>
      </c>
      <c r="CO115" s="388">
        <f t="shared" si="64"/>
        <v>0</v>
      </c>
      <c r="CP115" s="389">
        <f t="shared" si="64"/>
        <v>0</v>
      </c>
      <c r="CQ115" s="390">
        <f t="shared" si="64"/>
        <v>0</v>
      </c>
      <c r="CR115" s="387">
        <f t="shared" si="64"/>
        <v>0</v>
      </c>
      <c r="CS115" s="386">
        <f t="shared" si="64"/>
        <v>0</v>
      </c>
      <c r="CT115" s="386">
        <f t="shared" si="64"/>
        <v>74</v>
      </c>
      <c r="CU115" s="387">
        <f t="shared" si="64"/>
        <v>21193538.479999989</v>
      </c>
      <c r="CV115" s="578"/>
      <c r="CW115" s="578"/>
      <c r="CX115" s="578"/>
    </row>
    <row r="116" spans="1:105" s="36" customFormat="1" ht="27.95" customHeight="1" thickBot="1">
      <c r="A116" s="266"/>
      <c r="B116" s="143"/>
      <c r="C116" s="142"/>
      <c r="D116" s="144"/>
      <c r="E116" s="145"/>
      <c r="F116" s="146"/>
      <c r="G116" s="147"/>
      <c r="H116" s="148"/>
      <c r="I116" s="148"/>
      <c r="J116" s="148"/>
      <c r="K116" s="148"/>
      <c r="L116" s="148"/>
      <c r="M116" s="148"/>
      <c r="N116" s="148"/>
      <c r="O116" s="148"/>
      <c r="P116" s="148"/>
      <c r="Q116" s="1099" t="s">
        <v>70</v>
      </c>
      <c r="R116" s="1100"/>
      <c r="S116" s="392">
        <f t="shared" ref="S116:AX116" si="65">S27+S115</f>
        <v>0</v>
      </c>
      <c r="T116" s="393">
        <f t="shared" si="65"/>
        <v>0</v>
      </c>
      <c r="U116" s="351">
        <f t="shared" si="65"/>
        <v>0</v>
      </c>
      <c r="V116" s="392">
        <f t="shared" si="65"/>
        <v>0</v>
      </c>
      <c r="W116" s="392">
        <f t="shared" si="65"/>
        <v>0</v>
      </c>
      <c r="X116" s="392">
        <f t="shared" si="65"/>
        <v>0</v>
      </c>
      <c r="Y116" s="392">
        <f t="shared" si="65"/>
        <v>0</v>
      </c>
      <c r="Z116" s="392">
        <f t="shared" si="65"/>
        <v>0</v>
      </c>
      <c r="AA116" s="392">
        <f t="shared" si="65"/>
        <v>0</v>
      </c>
      <c r="AB116" s="392">
        <f t="shared" si="65"/>
        <v>0</v>
      </c>
      <c r="AC116" s="392">
        <f t="shared" si="65"/>
        <v>0</v>
      </c>
      <c r="AD116" s="392">
        <f t="shared" si="65"/>
        <v>0</v>
      </c>
      <c r="AE116" s="392">
        <f t="shared" si="65"/>
        <v>0</v>
      </c>
      <c r="AF116" s="392">
        <f t="shared" si="65"/>
        <v>0</v>
      </c>
      <c r="AG116" s="392">
        <f t="shared" si="65"/>
        <v>0</v>
      </c>
      <c r="AH116" s="392">
        <f t="shared" si="65"/>
        <v>0</v>
      </c>
      <c r="AI116" s="393">
        <f t="shared" si="65"/>
        <v>0</v>
      </c>
      <c r="AJ116" s="351">
        <f t="shared" si="65"/>
        <v>0</v>
      </c>
      <c r="AK116" s="393">
        <f t="shared" si="65"/>
        <v>0</v>
      </c>
      <c r="AL116" s="393">
        <f t="shared" si="65"/>
        <v>0</v>
      </c>
      <c r="AM116" s="393">
        <f t="shared" si="65"/>
        <v>4</v>
      </c>
      <c r="AN116" s="393">
        <f t="shared" si="65"/>
        <v>4</v>
      </c>
      <c r="AO116" s="393">
        <f t="shared" si="65"/>
        <v>4</v>
      </c>
      <c r="AP116" s="393">
        <f t="shared" si="65"/>
        <v>4</v>
      </c>
      <c r="AQ116" s="393">
        <f t="shared" si="65"/>
        <v>1</v>
      </c>
      <c r="AR116" s="393">
        <f t="shared" si="65"/>
        <v>1</v>
      </c>
      <c r="AS116" s="393">
        <f t="shared" si="65"/>
        <v>2</v>
      </c>
      <c r="AT116" s="393">
        <f t="shared" si="65"/>
        <v>2</v>
      </c>
      <c r="AU116" s="393">
        <f t="shared" si="65"/>
        <v>2</v>
      </c>
      <c r="AV116" s="393">
        <f t="shared" si="65"/>
        <v>2</v>
      </c>
      <c r="AW116" s="393">
        <f t="shared" si="65"/>
        <v>0</v>
      </c>
      <c r="AX116" s="393">
        <f t="shared" si="65"/>
        <v>26</v>
      </c>
      <c r="AY116" s="351">
        <f t="shared" ref="AY116:CD116" si="66">AY27+AY115</f>
        <v>13448000</v>
      </c>
      <c r="AZ116" s="393">
        <f t="shared" si="66"/>
        <v>12</v>
      </c>
      <c r="BA116" s="393">
        <f t="shared" si="66"/>
        <v>12</v>
      </c>
      <c r="BB116" s="393">
        <f t="shared" si="66"/>
        <v>3</v>
      </c>
      <c r="BC116" s="393">
        <f t="shared" si="66"/>
        <v>3</v>
      </c>
      <c r="BD116" s="393">
        <f t="shared" si="66"/>
        <v>3</v>
      </c>
      <c r="BE116" s="393">
        <f t="shared" si="66"/>
        <v>3</v>
      </c>
      <c r="BF116" s="393">
        <f t="shared" si="66"/>
        <v>3</v>
      </c>
      <c r="BG116" s="393">
        <f t="shared" si="66"/>
        <v>3</v>
      </c>
      <c r="BH116" s="393">
        <f t="shared" si="66"/>
        <v>3</v>
      </c>
      <c r="BI116" s="393">
        <f t="shared" si="66"/>
        <v>3</v>
      </c>
      <c r="BJ116" s="393">
        <f t="shared" si="66"/>
        <v>0</v>
      </c>
      <c r="BK116" s="393">
        <f t="shared" si="66"/>
        <v>0</v>
      </c>
      <c r="BL116" s="393">
        <f t="shared" si="66"/>
        <v>0</v>
      </c>
      <c r="BM116" s="393">
        <f t="shared" si="66"/>
        <v>48</v>
      </c>
      <c r="BN116" s="351">
        <f t="shared" si="66"/>
        <v>7745538.4800000004</v>
      </c>
      <c r="BO116" s="393">
        <f t="shared" si="66"/>
        <v>0</v>
      </c>
      <c r="BP116" s="393">
        <f t="shared" si="66"/>
        <v>0</v>
      </c>
      <c r="BQ116" s="393">
        <f t="shared" si="66"/>
        <v>0</v>
      </c>
      <c r="BR116" s="393">
        <f t="shared" si="66"/>
        <v>0</v>
      </c>
      <c r="BS116" s="393">
        <f t="shared" si="66"/>
        <v>0</v>
      </c>
      <c r="BT116" s="393">
        <f t="shared" si="66"/>
        <v>0</v>
      </c>
      <c r="BU116" s="393">
        <f t="shared" si="66"/>
        <v>0</v>
      </c>
      <c r="BV116" s="393">
        <f t="shared" si="66"/>
        <v>0</v>
      </c>
      <c r="BW116" s="393">
        <f t="shared" si="66"/>
        <v>0</v>
      </c>
      <c r="BX116" s="393">
        <f t="shared" si="66"/>
        <v>0</v>
      </c>
      <c r="BY116" s="393">
        <f t="shared" si="66"/>
        <v>0</v>
      </c>
      <c r="BZ116" s="393">
        <f t="shared" si="66"/>
        <v>0</v>
      </c>
      <c r="CA116" s="393">
        <f t="shared" si="66"/>
        <v>0</v>
      </c>
      <c r="CB116" s="393">
        <f t="shared" si="66"/>
        <v>0</v>
      </c>
      <c r="CC116" s="351">
        <f t="shared" si="66"/>
        <v>0</v>
      </c>
      <c r="CD116" s="393">
        <f t="shared" si="66"/>
        <v>0</v>
      </c>
      <c r="CE116" s="393">
        <f t="shared" ref="CE116:CU116" si="67">CE27+CE115</f>
        <v>0</v>
      </c>
      <c r="CF116" s="393">
        <f t="shared" si="67"/>
        <v>0</v>
      </c>
      <c r="CG116" s="393">
        <f t="shared" si="67"/>
        <v>0</v>
      </c>
      <c r="CH116" s="393">
        <f t="shared" si="67"/>
        <v>0</v>
      </c>
      <c r="CI116" s="393">
        <f t="shared" si="67"/>
        <v>0</v>
      </c>
      <c r="CJ116" s="393">
        <f t="shared" si="67"/>
        <v>0</v>
      </c>
      <c r="CK116" s="393">
        <f t="shared" si="67"/>
        <v>0</v>
      </c>
      <c r="CL116" s="393">
        <f t="shared" si="67"/>
        <v>0</v>
      </c>
      <c r="CM116" s="393">
        <f t="shared" si="67"/>
        <v>0</v>
      </c>
      <c r="CN116" s="393">
        <f t="shared" si="67"/>
        <v>0</v>
      </c>
      <c r="CO116" s="393">
        <f t="shared" si="67"/>
        <v>0</v>
      </c>
      <c r="CP116" s="393">
        <f t="shared" si="67"/>
        <v>0</v>
      </c>
      <c r="CQ116" s="393">
        <f t="shared" si="67"/>
        <v>0</v>
      </c>
      <c r="CR116" s="351">
        <f t="shared" si="67"/>
        <v>0</v>
      </c>
      <c r="CS116" s="393">
        <f t="shared" si="67"/>
        <v>0</v>
      </c>
      <c r="CT116" s="393">
        <f t="shared" si="67"/>
        <v>74</v>
      </c>
      <c r="CU116" s="351">
        <f t="shared" si="67"/>
        <v>21193538.479999989</v>
      </c>
      <c r="CV116" s="578"/>
      <c r="CW116" s="579"/>
      <c r="CX116" s="579"/>
    </row>
    <row r="117" spans="1:105" ht="19.5" customHeight="1">
      <c r="A117" s="267"/>
      <c r="B117" s="113"/>
      <c r="C117" s="36"/>
      <c r="D117" s="39"/>
      <c r="E117" s="39"/>
      <c r="F117" s="120"/>
      <c r="G117" s="40"/>
      <c r="H117" s="41"/>
      <c r="I117" s="40"/>
      <c r="J117" s="40"/>
      <c r="K117" s="40"/>
      <c r="L117" s="40"/>
      <c r="M117" s="40"/>
      <c r="N117" s="40"/>
      <c r="O117" s="40"/>
      <c r="P117" s="40"/>
      <c r="Q117" s="314"/>
      <c r="R117" s="398"/>
      <c r="S117" s="315"/>
      <c r="T117" s="315"/>
      <c r="U117" s="273"/>
      <c r="V117" s="314"/>
      <c r="W117" s="315"/>
      <c r="X117" s="315"/>
      <c r="Y117" s="273"/>
      <c r="Z117" s="315"/>
      <c r="AA117" s="315"/>
      <c r="AB117" s="315"/>
      <c r="AC117" s="315"/>
      <c r="AD117" s="315"/>
      <c r="AE117" s="315"/>
      <c r="AF117" s="315"/>
      <c r="AG117" s="315"/>
      <c r="AH117" s="315"/>
      <c r="AI117" s="315"/>
      <c r="AJ117" s="273"/>
      <c r="AK117" s="273"/>
      <c r="AL117" s="315"/>
      <c r="AM117" s="315"/>
      <c r="AN117" s="315"/>
      <c r="AO117" s="315"/>
      <c r="AP117" s="315"/>
      <c r="AQ117" s="315"/>
      <c r="AR117" s="315"/>
      <c r="AS117" s="315"/>
      <c r="AT117" s="315"/>
      <c r="AU117" s="315"/>
      <c r="AV117" s="315"/>
      <c r="AW117" s="315"/>
      <c r="AX117" s="315"/>
      <c r="AY117" s="314"/>
      <c r="AZ117" s="273"/>
      <c r="BA117" s="315"/>
      <c r="BB117" s="315"/>
      <c r="BC117" s="315"/>
      <c r="BD117" s="315"/>
      <c r="BE117" s="315"/>
      <c r="BF117" s="315"/>
      <c r="BG117" s="315"/>
      <c r="BH117" s="315"/>
      <c r="BI117" s="315"/>
      <c r="BJ117" s="315"/>
      <c r="BK117" s="315"/>
      <c r="BL117" s="315"/>
      <c r="BM117" s="315"/>
      <c r="BN117" s="314"/>
      <c r="BO117" s="273"/>
      <c r="BP117" s="315"/>
      <c r="BQ117" s="315"/>
      <c r="BR117" s="315"/>
      <c r="BS117" s="315"/>
      <c r="BT117" s="315"/>
      <c r="BU117" s="315"/>
      <c r="BV117" s="315"/>
      <c r="BW117" s="315"/>
      <c r="BX117" s="315"/>
      <c r="BY117" s="315"/>
      <c r="BZ117" s="315"/>
      <c r="CA117" s="315"/>
      <c r="CB117" s="315"/>
      <c r="CC117" s="279"/>
      <c r="CD117" s="273"/>
      <c r="CE117" s="315"/>
      <c r="CF117" s="315"/>
      <c r="CG117" s="315"/>
      <c r="CH117" s="315"/>
      <c r="CI117" s="315"/>
      <c r="CJ117" s="315"/>
      <c r="CK117" s="315"/>
      <c r="CL117" s="315"/>
      <c r="CM117" s="315"/>
      <c r="CN117" s="315"/>
      <c r="CO117" s="315"/>
      <c r="CP117" s="315"/>
      <c r="CQ117" s="315"/>
      <c r="CR117" s="279"/>
      <c r="CS117" s="315"/>
      <c r="CT117" s="28"/>
    </row>
    <row r="118" spans="1:105">
      <c r="A118" s="267"/>
      <c r="B118" s="113"/>
      <c r="C118" s="36"/>
      <c r="D118" s="39"/>
      <c r="E118" s="39"/>
      <c r="F118" s="121"/>
      <c r="G118" s="40"/>
      <c r="H118" s="41"/>
      <c r="I118" s="40"/>
      <c r="J118" s="40"/>
      <c r="K118" s="40"/>
      <c r="L118" s="40"/>
      <c r="M118" s="124"/>
      <c r="N118" s="124"/>
      <c r="O118" s="124"/>
      <c r="P118" s="124"/>
      <c r="Q118" s="279"/>
      <c r="R118" s="398">
        <v>0</v>
      </c>
      <c r="S118" s="273"/>
      <c r="T118" s="273"/>
      <c r="U118" s="273"/>
      <c r="V118" s="279"/>
      <c r="W118" s="279"/>
      <c r="X118" s="279"/>
      <c r="Y118" s="273"/>
      <c r="Z118" s="273"/>
      <c r="AA118" s="273"/>
      <c r="AB118" s="273"/>
      <c r="AC118" s="273"/>
      <c r="AD118" s="273"/>
      <c r="AE118" s="273"/>
      <c r="AF118" s="273"/>
      <c r="AG118" s="273"/>
      <c r="AH118" s="273"/>
      <c r="AI118" s="273"/>
      <c r="AJ118" s="273"/>
      <c r="AK118" s="273"/>
      <c r="AL118" s="315"/>
      <c r="AM118" s="315"/>
      <c r="AN118" s="315"/>
      <c r="AO118" s="315"/>
      <c r="AP118" s="315"/>
      <c r="AQ118" s="315"/>
      <c r="AR118" s="315"/>
      <c r="AS118" s="315"/>
      <c r="AT118" s="315"/>
      <c r="AU118" s="315"/>
      <c r="AV118" s="315"/>
      <c r="AW118" s="315"/>
      <c r="AX118" s="315"/>
      <c r="AY118" s="315"/>
      <c r="AZ118" s="273"/>
      <c r="BA118" s="315"/>
      <c r="BB118" s="315"/>
      <c r="BC118" s="315"/>
      <c r="BD118" s="315"/>
      <c r="BE118" s="315"/>
      <c r="BF118" s="315"/>
      <c r="BG118" s="315"/>
      <c r="BH118" s="315"/>
      <c r="BI118" s="315"/>
      <c r="BJ118" s="315"/>
      <c r="BK118" s="315"/>
      <c r="BL118" s="315"/>
      <c r="BM118" s="315"/>
      <c r="BN118" s="315"/>
      <c r="BO118" s="273"/>
      <c r="BP118" s="315"/>
      <c r="BQ118" s="315"/>
      <c r="BR118" s="315"/>
      <c r="BS118" s="315"/>
      <c r="BT118" s="315"/>
      <c r="BU118" s="315"/>
      <c r="BV118" s="315"/>
      <c r="BW118" s="315"/>
      <c r="BX118" s="315"/>
      <c r="BY118" s="315"/>
      <c r="BZ118" s="315"/>
      <c r="CA118" s="315"/>
      <c r="CB118" s="315"/>
      <c r="CC118" s="273"/>
      <c r="CD118" s="273"/>
      <c r="CE118" s="315"/>
      <c r="CF118" s="315"/>
      <c r="CG118" s="315"/>
      <c r="CH118" s="315"/>
      <c r="CI118" s="315"/>
      <c r="CJ118" s="315"/>
      <c r="CK118" s="315"/>
      <c r="CL118" s="315"/>
      <c r="CM118" s="315"/>
      <c r="CN118" s="315"/>
      <c r="CO118" s="315"/>
      <c r="CP118" s="315"/>
      <c r="CQ118" s="315"/>
      <c r="CR118" s="273"/>
      <c r="CS118" s="315"/>
      <c r="CT118" s="28"/>
    </row>
    <row r="119" spans="1:105" ht="16.5" thickBot="1">
      <c r="A119" s="267"/>
      <c r="B119" s="113"/>
      <c r="C119" s="36"/>
      <c r="D119" s="37"/>
      <c r="E119" s="37"/>
      <c r="F119" s="122"/>
      <c r="G119" s="38"/>
      <c r="I119" s="40"/>
      <c r="J119" s="40"/>
      <c r="K119" s="40"/>
      <c r="L119" s="40"/>
      <c r="U119" s="270" t="s">
        <v>1842</v>
      </c>
      <c r="AJ119" s="270" t="s">
        <v>1842</v>
      </c>
      <c r="AY119" s="270" t="s">
        <v>1842</v>
      </c>
      <c r="BN119" s="270" t="s">
        <v>1842</v>
      </c>
      <c r="CC119" s="270" t="s">
        <v>1842</v>
      </c>
      <c r="CR119" s="270" t="s">
        <v>1842</v>
      </c>
      <c r="CU119" s="270" t="s">
        <v>1842</v>
      </c>
      <c r="CX119" s="46" t="s">
        <v>1842</v>
      </c>
    </row>
    <row r="120" spans="1:105" ht="19.5" thickBot="1">
      <c r="A120" s="536" t="s">
        <v>1813</v>
      </c>
      <c r="B120" s="537"/>
      <c r="C120" s="538"/>
      <c r="D120" s="539" t="s">
        <v>1799</v>
      </c>
      <c r="E120" s="39"/>
      <c r="F120" s="120"/>
      <c r="G120" s="40"/>
      <c r="I120" s="40"/>
      <c r="J120" s="40"/>
      <c r="K120" s="40"/>
      <c r="L120" s="40"/>
      <c r="R120" s="398" t="s">
        <v>1808</v>
      </c>
      <c r="S120" s="398"/>
      <c r="T120" s="398"/>
      <c r="U120" s="533">
        <f t="array" ref="U120">SUMPRODUCT(IF($E$9:$E$114="о",1,0),U9:U114)/1000</f>
        <v>0</v>
      </c>
      <c r="V120" s="398"/>
      <c r="W120" s="534"/>
      <c r="X120" s="398"/>
      <c r="Y120" s="398"/>
      <c r="Z120" s="398"/>
      <c r="AA120" s="398"/>
      <c r="AB120" s="398"/>
      <c r="AC120" s="398"/>
      <c r="AD120" s="398"/>
      <c r="AE120" s="398"/>
      <c r="AF120" s="398"/>
      <c r="AG120" s="398"/>
      <c r="AH120" s="398"/>
      <c r="AI120" s="398"/>
      <c r="AJ120" s="533">
        <f t="array" ref="AJ120">SUMPRODUCT(IF($E$9:$E$114="о",1,0),AJ9:AJ114)/1000</f>
        <v>0</v>
      </c>
      <c r="AK120" s="398"/>
      <c r="AL120" s="398"/>
      <c r="AM120" s="398"/>
      <c r="AN120" s="398"/>
      <c r="AO120" s="398"/>
      <c r="AP120" s="398"/>
      <c r="AQ120" s="398"/>
      <c r="AR120" s="398"/>
      <c r="AS120" s="398"/>
      <c r="AT120" s="398"/>
      <c r="AU120" s="398"/>
      <c r="AV120" s="398"/>
      <c r="AW120" s="398"/>
      <c r="AX120" s="398"/>
      <c r="AY120" s="533">
        <f t="array" ref="AY120">SUMPRODUCT(IF($E$9:$E$114="о",1,0),AY9:AY114)/1000</f>
        <v>0</v>
      </c>
      <c r="AZ120" s="398"/>
      <c r="BA120" s="398"/>
      <c r="BB120" s="398"/>
      <c r="BC120" s="398"/>
      <c r="BD120" s="398"/>
      <c r="BE120" s="398"/>
      <c r="BF120" s="398"/>
      <c r="BG120" s="398"/>
      <c r="BH120" s="398"/>
      <c r="BI120" s="398"/>
      <c r="BJ120" s="398"/>
      <c r="BK120" s="398"/>
      <c r="BL120" s="398"/>
      <c r="BM120" s="398"/>
      <c r="BN120" s="533">
        <f t="array" ref="BN120">SUMPRODUCT(IF($E$9:$E$114="о",1,0),BN9:BN114)/1000</f>
        <v>2407.3846200000003</v>
      </c>
      <c r="BO120" s="398"/>
      <c r="BP120" s="398"/>
      <c r="BQ120" s="398"/>
      <c r="BR120" s="398"/>
      <c r="BS120" s="398"/>
      <c r="BT120" s="398"/>
      <c r="BU120" s="398"/>
      <c r="BV120" s="398"/>
      <c r="BW120" s="398"/>
      <c r="BX120" s="398"/>
      <c r="BY120" s="398"/>
      <c r="BZ120" s="398"/>
      <c r="CA120" s="398"/>
      <c r="CB120" s="398"/>
      <c r="CC120" s="533">
        <f t="array" ref="CC120">SUMPRODUCT(IF($E$9:$E$114="о",1,0),CC9:CC114)/1000</f>
        <v>0</v>
      </c>
      <c r="CD120" s="398"/>
      <c r="CE120" s="398"/>
      <c r="CF120" s="398"/>
      <c r="CG120" s="398"/>
      <c r="CH120" s="398"/>
      <c r="CI120" s="398"/>
      <c r="CJ120" s="398"/>
      <c r="CK120" s="398"/>
      <c r="CL120" s="398"/>
      <c r="CM120" s="398"/>
      <c r="CN120" s="398"/>
      <c r="CO120" s="398"/>
      <c r="CP120" s="398"/>
      <c r="CQ120" s="398"/>
      <c r="CR120" s="533">
        <f t="array" ref="CR120">SUMPRODUCT(IF($E$9:$E$114="о",1,0),CR9:CR114)/1000</f>
        <v>0</v>
      </c>
      <c r="CS120" s="398"/>
      <c r="CT120" s="398"/>
      <c r="CU120" s="533">
        <f t="array" ref="CU120">SUMPRODUCT(IF($E$9:$E$114="о",1,0),CU9:CU114)/1000</f>
        <v>2407.3846200000003</v>
      </c>
      <c r="CV120" s="535"/>
      <c r="CW120" s="535"/>
      <c r="CX120" s="533">
        <f t="array" ref="CX120">SUMPRODUCT(IF($E$9:$E$114="о",1,0),CX9:CX114)/1000</f>
        <v>2407.3846200000003</v>
      </c>
      <c r="CY120" s="513" t="s">
        <v>1764</v>
      </c>
    </row>
    <row r="121" spans="1:105" ht="19.5" thickBot="1">
      <c r="A121" s="490" t="str">
        <f>B8</f>
        <v xml:space="preserve">Фаза 2. Планирование. Этап № 3.Изучение и детализация </v>
      </c>
      <c r="B121" s="491"/>
      <c r="C121" s="492"/>
      <c r="D121" s="493">
        <f>CU27</f>
        <v>0</v>
      </c>
      <c r="E121" s="45"/>
      <c r="R121" s="398" t="s">
        <v>1809</v>
      </c>
      <c r="S121" s="398"/>
      <c r="T121" s="398"/>
      <c r="U121" s="533">
        <f t="array" ref="U121">SUMPRODUCT(IF($E$9:$E$114="к",1,0),U9:U114)/1000</f>
        <v>0</v>
      </c>
      <c r="V121" s="398"/>
      <c r="W121" s="534"/>
      <c r="X121" s="398"/>
      <c r="Y121" s="398"/>
      <c r="Z121" s="398"/>
      <c r="AA121" s="398"/>
      <c r="AB121" s="398"/>
      <c r="AC121" s="398"/>
      <c r="AD121" s="398"/>
      <c r="AE121" s="398"/>
      <c r="AF121" s="398"/>
      <c r="AG121" s="398"/>
      <c r="AH121" s="398"/>
      <c r="AI121" s="398"/>
      <c r="AJ121" s="533">
        <f t="array" ref="AJ121">SUMPRODUCT(IF($E$9:$E$114="к",1,0),AJ9:AJ114)/1000</f>
        <v>0</v>
      </c>
      <c r="AK121" s="398"/>
      <c r="AL121" s="398"/>
      <c r="AM121" s="398"/>
      <c r="AN121" s="398"/>
      <c r="AO121" s="398"/>
      <c r="AP121" s="398"/>
      <c r="AQ121" s="398"/>
      <c r="AR121" s="398"/>
      <c r="AS121" s="398"/>
      <c r="AT121" s="398"/>
      <c r="AU121" s="398"/>
      <c r="AV121" s="398"/>
      <c r="AW121" s="398"/>
      <c r="AX121" s="398"/>
      <c r="AY121" s="533">
        <f t="array" ref="AY121">SUMPRODUCT(IF($E$9:$E$114="к",1,0),AY9:AY114)/1000</f>
        <v>13448</v>
      </c>
      <c r="AZ121" s="398"/>
      <c r="BA121" s="398"/>
      <c r="BB121" s="398"/>
      <c r="BC121" s="398"/>
      <c r="BD121" s="398"/>
      <c r="BE121" s="398"/>
      <c r="BF121" s="398"/>
      <c r="BG121" s="398"/>
      <c r="BH121" s="398"/>
      <c r="BI121" s="398"/>
      <c r="BJ121" s="398"/>
      <c r="BK121" s="398"/>
      <c r="BL121" s="398"/>
      <c r="BM121" s="398"/>
      <c r="BN121" s="533">
        <f t="array" ref="BN121">SUMPRODUCT(IF($E$9:$E$114="к",1,0),BN9:BN114)/1000</f>
        <v>5338.1538600000003</v>
      </c>
      <c r="BO121" s="398"/>
      <c r="BP121" s="398"/>
      <c r="BQ121" s="398"/>
      <c r="BR121" s="398"/>
      <c r="BS121" s="398"/>
      <c r="BT121" s="398"/>
      <c r="BU121" s="398"/>
      <c r="BV121" s="398"/>
      <c r="BW121" s="398"/>
      <c r="BX121" s="398"/>
      <c r="BY121" s="398"/>
      <c r="BZ121" s="398"/>
      <c r="CA121" s="398"/>
      <c r="CB121" s="398"/>
      <c r="CC121" s="533">
        <f t="array" ref="CC121">SUMPRODUCT(IF($E$9:$E$114="к",1,0),CC9:CC114)/1000</f>
        <v>0</v>
      </c>
      <c r="CD121" s="398"/>
      <c r="CE121" s="398"/>
      <c r="CF121" s="398"/>
      <c r="CG121" s="398"/>
      <c r="CH121" s="398"/>
      <c r="CI121" s="398"/>
      <c r="CJ121" s="398"/>
      <c r="CK121" s="398"/>
      <c r="CL121" s="398"/>
      <c r="CM121" s="398"/>
      <c r="CN121" s="398"/>
      <c r="CO121" s="398"/>
      <c r="CP121" s="398"/>
      <c r="CQ121" s="398"/>
      <c r="CR121" s="533">
        <f t="array" ref="CR121">SUMPRODUCT(IF($E$9:$E$114="к",1,0),CR9:CR114)/1000</f>
        <v>0</v>
      </c>
      <c r="CS121" s="398"/>
      <c r="CT121" s="398"/>
      <c r="CU121" s="533">
        <f t="array" ref="CU121">SUMPRODUCT(IF($E$9:$E$114="к",1,0),CU9:CU114)/1000</f>
        <v>18786.153859999991</v>
      </c>
      <c r="CV121" s="535"/>
      <c r="CW121" s="535"/>
      <c r="CX121" s="533">
        <f t="array" ref="CX121">SUMPRODUCT(IF($E$9:$E$114="к",1,0),CX9:CX114)/1000</f>
        <v>18786.153859999991</v>
      </c>
      <c r="CY121" s="513" t="s">
        <v>1765</v>
      </c>
      <c r="CZ121" s="270"/>
    </row>
    <row r="122" spans="1:105" ht="19.5" thickBot="1">
      <c r="A122" s="490" t="str">
        <f>B28</f>
        <v xml:space="preserve">Фаза  3. Реализация.  Этап № 5. Реализация </v>
      </c>
      <c r="B122" s="491"/>
      <c r="C122" s="492"/>
      <c r="D122" s="493">
        <f>CU115</f>
        <v>21193538.479999989</v>
      </c>
      <c r="E122" s="45"/>
      <c r="CW122" s="46"/>
      <c r="CZ122" s="46"/>
      <c r="DA122" s="46"/>
    </row>
    <row r="123" spans="1:105" ht="19.5" thickBot="1">
      <c r="A123" s="1101" t="s">
        <v>1783</v>
      </c>
      <c r="B123" s="1102"/>
      <c r="C123" s="1103"/>
      <c r="D123" s="540">
        <f>SUM(D121:D122)</f>
        <v>21193538.479999989</v>
      </c>
      <c r="E123" s="45"/>
      <c r="R123" s="398"/>
      <c r="CW123" s="46"/>
      <c r="CX123" s="270"/>
      <c r="CZ123" s="18"/>
      <c r="DA123" s="18"/>
    </row>
    <row r="124" spans="1:105">
      <c r="A124" s="318"/>
      <c r="B124" s="115"/>
      <c r="C124" s="248"/>
      <c r="D124" s="45"/>
      <c r="E124" s="45"/>
      <c r="R124" s="398"/>
      <c r="CW124" s="46"/>
      <c r="CX124" s="270"/>
      <c r="CZ124" s="18"/>
      <c r="DA124" s="18"/>
    </row>
    <row r="125" spans="1:105" ht="38.25" customHeight="1" thickBot="1">
      <c r="A125" s="318"/>
      <c r="B125" s="115"/>
      <c r="C125" s="248"/>
      <c r="D125" s="596" t="s">
        <v>1814</v>
      </c>
      <c r="E125" s="597"/>
      <c r="F125" s="598"/>
      <c r="G125" s="599"/>
      <c r="CW125" s="46"/>
      <c r="CX125" s="270"/>
      <c r="CZ125" s="18"/>
      <c r="DA125" s="18"/>
    </row>
    <row r="126" spans="1:105" ht="19.5" thickBot="1">
      <c r="A126" s="318"/>
      <c r="B126" s="115"/>
      <c r="C126" s="416"/>
      <c r="D126" s="1109" t="s">
        <v>1820</v>
      </c>
      <c r="E126" s="1109"/>
      <c r="F126" s="497" t="s">
        <v>1806</v>
      </c>
      <c r="G126" s="498" t="s">
        <v>1788</v>
      </c>
      <c r="H126" s="498" t="s">
        <v>1789</v>
      </c>
      <c r="I126" s="498" t="s">
        <v>1790</v>
      </c>
      <c r="J126" s="499" t="s">
        <v>1791</v>
      </c>
      <c r="K126" s="498" t="s">
        <v>1819</v>
      </c>
      <c r="L126" s="500" t="s">
        <v>1783</v>
      </c>
      <c r="CW126" s="46"/>
      <c r="CX126" s="270"/>
      <c r="CZ126" s="18"/>
      <c r="DA126" s="18"/>
    </row>
    <row r="127" spans="1:105" ht="18" customHeight="1" thickBot="1">
      <c r="A127" s="318"/>
      <c r="B127" s="115"/>
      <c r="C127" s="494"/>
      <c r="D127" s="1104" t="s">
        <v>1815</v>
      </c>
      <c r="E127" s="600" t="s">
        <v>1764</v>
      </c>
      <c r="F127" s="601">
        <f>SUMIFS($CX$9:$CX$114,$E$9:$E$114,"=О",$R$9:$R$114,"&lt;&gt;*",$CW$9:$CW$114,"&lt;=2016")/1000</f>
        <v>0</v>
      </c>
      <c r="G127" s="601">
        <f>SUMIFS($CX$9:$CX$114,$E$9:$E$114,"=О",R9:R114,"&lt;&gt;*",$CW$9:$CW$114,"=2017")/1000</f>
        <v>0</v>
      </c>
      <c r="H127" s="601">
        <f>SUMIFS($CX$9:$CX$114,$E$9:$E$114,"=О",S9:S114,"&lt;&gt;*",$CW$9:$CW$114,"=2018")/1000</f>
        <v>0</v>
      </c>
      <c r="I127" s="601">
        <f>SUMIFS($CX$9:$CX$114,$E$9:$E$114,"=О",T9:T114,"&lt;&gt;*",$CW$9:$CW$114,"=2019")/1000</f>
        <v>2407.3846200000003</v>
      </c>
      <c r="J127" s="601">
        <f>SUMIFS($CX$9:$CX$114,$E$9:$E$114,"=О",U9:U114,"&lt;&gt;*",$CW$9:$CW$114,"=2020")/1000</f>
        <v>0</v>
      </c>
      <c r="K127" s="601">
        <f>SUMIFS($CX$9:$CX$114,$E$9:$E$114,"=О",V9:V114,"&lt;&gt;*",$CW$9:$CW$114,"&gt;=2021")/1000</f>
        <v>0</v>
      </c>
      <c r="L127" s="602">
        <f>SUBTOTAL(9,F127:K127)</f>
        <v>2407.3846200000003</v>
      </c>
      <c r="CW127" s="46"/>
      <c r="CX127" s="270"/>
      <c r="CZ127" s="18"/>
      <c r="DA127" s="18"/>
    </row>
    <row r="128" spans="1:105" ht="16.5" thickBot="1">
      <c r="A128" s="318"/>
      <c r="B128" s="115"/>
      <c r="C128" s="248"/>
      <c r="D128" s="1104"/>
      <c r="E128" s="603" t="s">
        <v>1765</v>
      </c>
      <c r="F128" s="601">
        <f>SUMIFS($CX$9:$CX$114,$E$9:$E$114,"=К",$R$9:$R$114,"&lt;&gt;*",$CW$9:$CW$114,"&lt;=2016")/1000</f>
        <v>0</v>
      </c>
      <c r="G128" s="601">
        <f>SUMIFS($CX$9:$CX$114,$E$9:$E$114,"=К",$R$9:$R$114,"&lt;&gt;*",$CW$9:$CW$114,"=2017")/1000</f>
        <v>0</v>
      </c>
      <c r="H128" s="601">
        <f>SUMIFS($CX$9:$CX$114,$E$9:$E$114,"=К",$R$9:$R$114,"&lt;&gt;*",$CW$9:$CW$114,"=2018")/1000</f>
        <v>11053.75</v>
      </c>
      <c r="I128" s="601">
        <f>SUMIFS($CX$9:$CX$114,$E$9:$E$114,"=К",$R$9:$R$114,"&lt;&gt;*",$CW$9:$CW$114,"=2019")/1000</f>
        <v>6849.1538600000003</v>
      </c>
      <c r="J128" s="601">
        <f>SUMIFS($CX$9:$CX$114,$E$9:$E$114,"=К",$R$9:$R$114,"&lt;&gt;*",$CW$9:$CW$114,"=2020")/1000</f>
        <v>0</v>
      </c>
      <c r="K128" s="601">
        <f>SUMIFS($CX$9:$CX$114,$E$9:$E$114,"=К",$R$9:$R$114,"&lt;&gt;*",$CW$9:$CW$114,"&gt;=2021")/1000</f>
        <v>0</v>
      </c>
      <c r="L128" s="602">
        <f>SUBTOTAL(9,F128:K128)</f>
        <v>17902.903859999999</v>
      </c>
      <c r="CW128" s="46"/>
      <c r="CX128" s="270"/>
      <c r="CZ128" s="18"/>
      <c r="DA128" s="18"/>
    </row>
    <row r="129" spans="1:131" ht="16.5" thickBot="1">
      <c r="A129" s="318"/>
      <c r="B129" s="115"/>
      <c r="C129" s="248"/>
      <c r="D129" s="1105"/>
      <c r="E129" s="523" t="s">
        <v>1817</v>
      </c>
      <c r="F129" s="524">
        <f t="shared" ref="F129:L129" si="68">SUM(F127:F128)</f>
        <v>0</v>
      </c>
      <c r="G129" s="524">
        <f t="shared" si="68"/>
        <v>0</v>
      </c>
      <c r="H129" s="524">
        <f t="shared" si="68"/>
        <v>11053.75</v>
      </c>
      <c r="I129" s="524">
        <f t="shared" si="68"/>
        <v>9256.5384800000011</v>
      </c>
      <c r="J129" s="524">
        <f t="shared" si="68"/>
        <v>0</v>
      </c>
      <c r="K129" s="524">
        <f t="shared" si="68"/>
        <v>0</v>
      </c>
      <c r="L129" s="525">
        <f t="shared" si="68"/>
        <v>20310.288479999999</v>
      </c>
      <c r="CW129" s="46"/>
      <c r="CX129" s="270"/>
      <c r="CZ129" s="18"/>
      <c r="DA129" s="18"/>
    </row>
    <row r="130" spans="1:131" ht="16.5" thickBot="1">
      <c r="A130" s="318"/>
      <c r="B130" s="115"/>
      <c r="C130" s="494"/>
      <c r="D130" s="1106" t="s">
        <v>1816</v>
      </c>
      <c r="E130" s="603" t="s">
        <v>1764</v>
      </c>
      <c r="F130" s="601">
        <f>SUMIFS($CX$9:$CX$114,$E$9:$E$114,"=О",$R$9:$R$114,"=*",$CW$9:$CW$114,"&lt;=2016")/1000</f>
        <v>0</v>
      </c>
      <c r="G130" s="601">
        <f>SUMIFS($CX$9:$CX$114,$E$9:$E$114,"=О",$R$9:$R$114,"=*",$CW$9:$CW$114,"=2017")/1000</f>
        <v>0</v>
      </c>
      <c r="H130" s="601">
        <f>SUMIFS($CX$9:$CX$114,$E$9:$E$114,"=О",$R$9:$R$114,"=*",$CW$9:$CW$114,"=2018")/1000</f>
        <v>0</v>
      </c>
      <c r="I130" s="601">
        <f>SUMIFS($CX$9:$CX$114,$E$9:$E$114,"=О",$R$9:$R$114,"=*",$CW$9:$CW$114,"=2019")/1000</f>
        <v>0</v>
      </c>
      <c r="J130" s="601">
        <f>SUMIFS($CX$9:$CX$114,$E$9:$E$114,"=О",$R$9:$R$114,"=*",$CW$9:$CW$114,"=2020")/1000</f>
        <v>0</v>
      </c>
      <c r="K130" s="601">
        <f>SUMIFS($CX$9:$CX$114,$E$9:$E$114,"=О",$R$9:$R$114,"=*",$CW$9:$CW$114,"&gt;=2021")/1000</f>
        <v>0</v>
      </c>
      <c r="L130" s="602">
        <f>SUBTOTAL(9,F130:K130)</f>
        <v>0</v>
      </c>
      <c r="CW130" s="46"/>
      <c r="CX130" s="270"/>
      <c r="CZ130" s="18"/>
      <c r="DA130" s="18"/>
    </row>
    <row r="131" spans="1:131" ht="16.5" thickBot="1">
      <c r="A131" s="318"/>
      <c r="B131" s="115"/>
      <c r="C131" s="248"/>
      <c r="D131" s="1104"/>
      <c r="E131" s="603" t="s">
        <v>1765</v>
      </c>
      <c r="F131" s="601">
        <f>SUMIFS($CX$9:$CX$114,$E$9:$E$114,"=К",$R$9:$R$114,"=*",$CW$9:$CW$114,"&lt;=2016")/1000</f>
        <v>0</v>
      </c>
      <c r="G131" s="601">
        <f>SUMIFS($CX$9:$CX$114,$E$9:$E$114,"=К",$R$9:$R$114,"=*",$CW$9:$CW$114,"=2017")/1000</f>
        <v>0</v>
      </c>
      <c r="H131" s="601">
        <f>SUMIFS($CX$9:$CX$114,$E$9:$E$114,"=К",$R$9:$R$114,"=*",$CW$9:$CW$114,"=2018")/1000</f>
        <v>0</v>
      </c>
      <c r="I131" s="601">
        <f>SUMIFS($CX$9:$CX$114,$E$9:$E$114,"=К",$R$9:$R$114,"=*",$CW$9:$CW$114,"=2019")/1000</f>
        <v>0</v>
      </c>
      <c r="J131" s="601">
        <f>SUMIFS($CX$9:$CX$114,$E$9:$E$114,"=К",$R$9:$R$114,"=*",$CW$9:$CW$114,"=2020")/1000</f>
        <v>0</v>
      </c>
      <c r="K131" s="601">
        <f>SUMIFS($CX$9:$CX$114,$E$9:$E$114,"=К",$R$9:$R$114,"=*",$CW$9:$CW$114,"&gt;=2021")/1000</f>
        <v>0</v>
      </c>
      <c r="L131" s="602">
        <f>SUBTOTAL(9,F131:K131)</f>
        <v>0</v>
      </c>
      <c r="CW131" s="46"/>
      <c r="CX131" s="270"/>
      <c r="CZ131" s="18"/>
      <c r="DA131" s="18"/>
    </row>
    <row r="132" spans="1:131">
      <c r="A132" s="318"/>
      <c r="B132" s="115"/>
      <c r="C132" s="248"/>
      <c r="D132" s="1104"/>
      <c r="E132" s="526" t="s">
        <v>1818</v>
      </c>
      <c r="F132" s="527">
        <f>SUBTOTAL(9,F130:F131)</f>
        <v>0</v>
      </c>
      <c r="G132" s="527">
        <f t="shared" ref="G132:K132" si="69">SUBTOTAL(9,G130:G131)</f>
        <v>0</v>
      </c>
      <c r="H132" s="527">
        <f t="shared" si="69"/>
        <v>0</v>
      </c>
      <c r="I132" s="527">
        <f t="shared" si="69"/>
        <v>0</v>
      </c>
      <c r="J132" s="527">
        <f t="shared" si="69"/>
        <v>0</v>
      </c>
      <c r="K132" s="527">
        <f t="shared" si="69"/>
        <v>0</v>
      </c>
      <c r="L132" s="527">
        <f>L130+L131</f>
        <v>0</v>
      </c>
      <c r="CX132" s="270"/>
    </row>
    <row r="133" spans="1:131" ht="21" customHeight="1">
      <c r="A133" s="319"/>
      <c r="B133" s="115"/>
      <c r="C133" s="248"/>
      <c r="D133" s="1107" t="s">
        <v>35</v>
      </c>
      <c r="E133" s="1108"/>
      <c r="F133" s="496">
        <f>F129+F132</f>
        <v>0</v>
      </c>
      <c r="G133" s="496">
        <f t="shared" ref="G133:L133" si="70">G129+G132</f>
        <v>0</v>
      </c>
      <c r="H133" s="496">
        <f t="shared" si="70"/>
        <v>11053.75</v>
      </c>
      <c r="I133" s="496">
        <f t="shared" si="70"/>
        <v>9256.5384800000011</v>
      </c>
      <c r="J133" s="496">
        <f t="shared" si="70"/>
        <v>0</v>
      </c>
      <c r="K133" s="496">
        <f t="shared" si="70"/>
        <v>0</v>
      </c>
      <c r="L133" s="496">
        <f t="shared" si="70"/>
        <v>20310.288479999999</v>
      </c>
      <c r="CX133" s="18"/>
      <c r="CY133" s="18"/>
      <c r="CZ133" s="18"/>
      <c r="DA133" s="18"/>
    </row>
    <row r="134" spans="1:131">
      <c r="B134" s="116" t="s">
        <v>39</v>
      </c>
      <c r="CX134" s="270"/>
    </row>
    <row r="135" spans="1:131" ht="129" customHeight="1">
      <c r="A135" s="1053" t="s">
        <v>52</v>
      </c>
      <c r="B135" s="1053"/>
      <c r="C135" s="1053"/>
      <c r="D135" s="1053"/>
      <c r="E135" s="1053"/>
      <c r="F135" s="1053"/>
      <c r="G135" s="1053"/>
      <c r="H135" s="1053"/>
      <c r="I135" s="1053"/>
      <c r="J135" s="1053"/>
      <c r="K135" s="1053"/>
      <c r="L135" s="1053"/>
      <c r="M135" s="1053"/>
      <c r="N135" s="1053"/>
      <c r="O135" s="1053"/>
      <c r="P135" s="1053"/>
      <c r="Q135" s="1053"/>
      <c r="R135" s="1053"/>
      <c r="S135" s="1053"/>
      <c r="T135" s="1053"/>
      <c r="U135" s="1053"/>
      <c r="V135" s="1053"/>
      <c r="W135" s="1053"/>
      <c r="X135" s="1053"/>
      <c r="Y135" s="1053"/>
      <c r="Z135" s="1053"/>
      <c r="AA135" s="1053"/>
      <c r="AB135" s="316"/>
      <c r="AC135" s="316"/>
      <c r="AD135" s="316"/>
      <c r="AE135" s="316"/>
      <c r="AF135" s="316"/>
      <c r="AG135" s="316"/>
      <c r="AH135" s="316"/>
      <c r="AI135" s="316"/>
      <c r="AJ135" s="316"/>
      <c r="AK135" s="316"/>
      <c r="AL135" s="316"/>
      <c r="AM135" s="316"/>
      <c r="AN135" s="316"/>
      <c r="AO135" s="316"/>
      <c r="AP135" s="316"/>
      <c r="AQ135" s="316"/>
      <c r="AR135" s="316"/>
      <c r="AS135" s="316"/>
      <c r="AT135" s="316"/>
      <c r="AU135" s="316"/>
      <c r="AV135" s="316"/>
      <c r="AW135" s="316"/>
      <c r="AX135" s="316"/>
      <c r="AY135" s="316"/>
      <c r="AZ135" s="316"/>
      <c r="BA135" s="316"/>
      <c r="BB135" s="316"/>
      <c r="BC135" s="316"/>
      <c r="BD135" s="316"/>
      <c r="BE135" s="316"/>
      <c r="BF135" s="316"/>
      <c r="BG135" s="316"/>
      <c r="BH135" s="316"/>
      <c r="BI135" s="316"/>
      <c r="BJ135" s="316"/>
      <c r="BK135" s="316"/>
      <c r="BL135" s="316"/>
      <c r="BM135" s="316"/>
      <c r="BN135" s="316"/>
      <c r="BO135" s="316"/>
      <c r="BP135" s="316"/>
      <c r="BQ135" s="316"/>
      <c r="BR135" s="316"/>
      <c r="BS135" s="316"/>
      <c r="BT135" s="316"/>
      <c r="BU135" s="316"/>
      <c r="BV135" s="316"/>
      <c r="BW135" s="316"/>
      <c r="BX135" s="316"/>
      <c r="BY135" s="316"/>
      <c r="BZ135" s="316"/>
      <c r="CA135" s="316"/>
      <c r="CB135" s="316"/>
      <c r="CC135" s="274"/>
      <c r="CD135" s="316"/>
      <c r="CE135" s="316"/>
      <c r="CF135" s="316"/>
      <c r="CG135" s="316"/>
      <c r="CH135" s="316"/>
      <c r="CI135" s="316"/>
      <c r="CJ135" s="316"/>
      <c r="CK135" s="316"/>
      <c r="CL135" s="316"/>
      <c r="CM135" s="316"/>
      <c r="CN135" s="316"/>
      <c r="CO135" s="316"/>
      <c r="CP135" s="316"/>
      <c r="CQ135" s="316"/>
      <c r="CR135" s="274"/>
      <c r="CS135" s="316"/>
      <c r="CT135" s="316"/>
      <c r="CU135" s="281"/>
      <c r="CV135" s="117"/>
      <c r="CW135" s="117"/>
      <c r="CX135" s="117"/>
      <c r="CY135" s="117"/>
      <c r="CZ135" s="117"/>
      <c r="DA135" s="117"/>
      <c r="DB135" s="117"/>
      <c r="DC135" s="117"/>
      <c r="DD135" s="117"/>
      <c r="DE135" s="117"/>
      <c r="DF135" s="117"/>
      <c r="DG135" s="117"/>
      <c r="DH135" s="117"/>
      <c r="DI135" s="117"/>
      <c r="DJ135" s="117"/>
      <c r="DK135" s="117"/>
      <c r="DL135" s="117"/>
      <c r="DM135" s="117"/>
      <c r="DN135" s="117"/>
      <c r="DO135" s="117"/>
      <c r="DP135" s="117"/>
      <c r="DQ135" s="117"/>
      <c r="DR135" s="117"/>
      <c r="DS135" s="117"/>
      <c r="DT135" s="117"/>
      <c r="DU135" s="117"/>
      <c r="DV135" s="117"/>
      <c r="DW135" s="117"/>
      <c r="DX135" s="117"/>
      <c r="DY135" s="117"/>
      <c r="DZ135" s="117"/>
      <c r="EA135" s="117"/>
    </row>
    <row r="136" spans="1:131" ht="24.75" customHeight="1">
      <c r="A136" s="1054" t="s">
        <v>108</v>
      </c>
      <c r="B136" s="1054"/>
      <c r="C136" s="1054"/>
      <c r="D136" s="1054"/>
      <c r="E136" s="1054"/>
      <c r="F136" s="1054"/>
      <c r="G136" s="1054"/>
      <c r="H136" s="1054"/>
      <c r="I136" s="1054"/>
      <c r="J136" s="1054"/>
      <c r="K136" s="1054"/>
      <c r="L136" s="1054"/>
      <c r="M136" s="1054"/>
      <c r="N136" s="1054"/>
      <c r="O136" s="1054"/>
      <c r="P136" s="1054"/>
      <c r="Q136" s="1054"/>
      <c r="R136" s="1054"/>
      <c r="S136" s="1054"/>
      <c r="T136" s="1054"/>
      <c r="U136" s="1054"/>
      <c r="V136" s="1054"/>
      <c r="W136" s="1054"/>
      <c r="X136" s="1054"/>
      <c r="Y136" s="1054"/>
      <c r="Z136" s="1054"/>
      <c r="AA136" s="1054"/>
      <c r="AB136" s="33"/>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33"/>
      <c r="BT136" s="33"/>
      <c r="BU136" s="33"/>
      <c r="BV136" s="33"/>
      <c r="BW136" s="33"/>
      <c r="BX136" s="33"/>
      <c r="BY136" s="33"/>
      <c r="BZ136" s="33"/>
      <c r="CA136" s="33"/>
      <c r="CB136" s="33"/>
      <c r="CC136" s="275"/>
      <c r="CD136" s="33"/>
      <c r="CE136" s="33"/>
      <c r="CF136" s="33"/>
      <c r="CG136" s="33"/>
      <c r="CH136" s="33"/>
      <c r="CI136" s="33"/>
      <c r="CJ136" s="33"/>
      <c r="CK136" s="33"/>
      <c r="CL136" s="33"/>
      <c r="CM136" s="33"/>
      <c r="CN136" s="33"/>
      <c r="CO136" s="33"/>
      <c r="CP136" s="33"/>
      <c r="CQ136" s="33"/>
      <c r="CR136" s="275"/>
      <c r="CS136" s="33"/>
      <c r="CT136" s="33"/>
      <c r="CU136" s="281"/>
      <c r="CV136" s="117"/>
      <c r="CW136" s="117"/>
      <c r="CX136" s="117"/>
      <c r="CY136" s="117"/>
      <c r="CZ136" s="117"/>
      <c r="DA136" s="117"/>
      <c r="DB136" s="117"/>
      <c r="DC136" s="117"/>
      <c r="DD136" s="117"/>
      <c r="DE136" s="117"/>
      <c r="DF136" s="117"/>
      <c r="DG136" s="117"/>
      <c r="DH136" s="117"/>
      <c r="DI136" s="117"/>
      <c r="DJ136" s="117"/>
      <c r="DK136" s="117"/>
      <c r="DL136" s="117"/>
      <c r="DM136" s="117"/>
      <c r="DN136" s="117"/>
      <c r="DO136" s="117"/>
      <c r="DP136" s="117"/>
      <c r="DQ136" s="117"/>
      <c r="DR136" s="117"/>
      <c r="DS136" s="117"/>
      <c r="DT136" s="117"/>
      <c r="DU136" s="117"/>
      <c r="DV136" s="117"/>
      <c r="DW136" s="117"/>
      <c r="DX136" s="117"/>
      <c r="DY136" s="117"/>
      <c r="DZ136" s="117"/>
      <c r="EA136" s="117"/>
    </row>
    <row r="137" spans="1:131" ht="26.25" customHeight="1">
      <c r="A137" s="1053" t="s">
        <v>109</v>
      </c>
      <c r="B137" s="1053"/>
      <c r="C137" s="1053"/>
      <c r="D137" s="1053"/>
      <c r="E137" s="1053"/>
      <c r="F137" s="1053"/>
      <c r="G137" s="1053"/>
      <c r="H137" s="1053"/>
      <c r="I137" s="1053"/>
      <c r="J137" s="1053"/>
      <c r="K137" s="1053"/>
      <c r="L137" s="1053"/>
      <c r="M137" s="1053"/>
      <c r="N137" s="1053"/>
      <c r="O137" s="1053"/>
      <c r="P137" s="1053"/>
      <c r="Q137" s="1053"/>
      <c r="R137" s="1053"/>
      <c r="S137" s="1053"/>
      <c r="T137" s="1053"/>
      <c r="U137" s="1053"/>
      <c r="V137" s="1053"/>
      <c r="W137" s="1053"/>
      <c r="X137" s="1053"/>
      <c r="Y137" s="1053"/>
      <c r="Z137" s="1053"/>
      <c r="AA137" s="1053"/>
      <c r="AB137" s="316"/>
      <c r="AC137" s="316"/>
      <c r="AD137" s="316"/>
      <c r="AE137" s="316"/>
      <c r="AF137" s="316"/>
      <c r="AG137" s="316"/>
      <c r="AH137" s="316"/>
      <c r="AI137" s="316"/>
      <c r="AJ137" s="316"/>
      <c r="AK137" s="316"/>
      <c r="AL137" s="316"/>
      <c r="AM137" s="316"/>
      <c r="AN137" s="316"/>
      <c r="AO137" s="316"/>
      <c r="AP137" s="316"/>
      <c r="AQ137" s="316"/>
      <c r="AR137" s="316"/>
      <c r="AS137" s="316"/>
      <c r="AT137" s="316"/>
      <c r="AU137" s="316"/>
      <c r="AV137" s="316"/>
      <c r="AW137" s="316"/>
      <c r="AX137" s="316"/>
      <c r="AY137" s="316"/>
      <c r="AZ137" s="316"/>
      <c r="BA137" s="316"/>
      <c r="BB137" s="316"/>
      <c r="BC137" s="316"/>
      <c r="BD137" s="316"/>
      <c r="BE137" s="316"/>
      <c r="BF137" s="316"/>
      <c r="BG137" s="316"/>
      <c r="BH137" s="316"/>
      <c r="BI137" s="316"/>
      <c r="BJ137" s="316"/>
      <c r="BK137" s="316"/>
      <c r="BL137" s="316"/>
      <c r="BM137" s="316"/>
      <c r="BN137" s="316"/>
      <c r="BO137" s="316"/>
      <c r="BP137" s="316"/>
      <c r="BQ137" s="316"/>
      <c r="BR137" s="316"/>
      <c r="BS137" s="316"/>
      <c r="BT137" s="316"/>
      <c r="BU137" s="316"/>
      <c r="BV137" s="316"/>
      <c r="BW137" s="316"/>
      <c r="BX137" s="316"/>
      <c r="BY137" s="316"/>
      <c r="BZ137" s="316"/>
      <c r="CA137" s="316"/>
      <c r="CB137" s="316"/>
      <c r="CC137" s="274"/>
      <c r="CD137" s="316"/>
      <c r="CE137" s="316"/>
      <c r="CF137" s="316"/>
      <c r="CG137" s="316"/>
      <c r="CH137" s="316"/>
      <c r="CI137" s="316"/>
      <c r="CJ137" s="316"/>
      <c r="CK137" s="316"/>
      <c r="CL137" s="316"/>
      <c r="CM137" s="316"/>
      <c r="CN137" s="316"/>
      <c r="CO137" s="316"/>
      <c r="CP137" s="316"/>
      <c r="CQ137" s="316"/>
      <c r="CR137" s="274"/>
      <c r="CS137" s="316"/>
      <c r="CT137" s="316"/>
      <c r="CU137" s="281"/>
      <c r="CV137" s="117"/>
      <c r="CW137" s="117"/>
      <c r="CX137" s="117"/>
      <c r="CY137" s="117"/>
      <c r="CZ137" s="117"/>
      <c r="DA137" s="117"/>
      <c r="DB137" s="117"/>
      <c r="DC137" s="117"/>
      <c r="DD137" s="117"/>
      <c r="DE137" s="117"/>
      <c r="DF137" s="117"/>
      <c r="DG137" s="117"/>
      <c r="DH137" s="117"/>
      <c r="DI137" s="117"/>
      <c r="DJ137" s="117"/>
      <c r="DK137" s="117"/>
      <c r="DL137" s="117"/>
      <c r="DM137" s="117"/>
      <c r="DN137" s="117"/>
      <c r="DO137" s="117"/>
      <c r="DP137" s="117"/>
      <c r="DQ137" s="117"/>
      <c r="DR137" s="117"/>
      <c r="DS137" s="117"/>
      <c r="DT137" s="117"/>
      <c r="DU137" s="117"/>
      <c r="DV137" s="117"/>
      <c r="DW137" s="117"/>
      <c r="DX137" s="117"/>
      <c r="DY137" s="117"/>
      <c r="DZ137" s="117"/>
      <c r="EA137" s="117"/>
    </row>
  </sheetData>
  <autoFilter ref="A7:CX116" xr:uid="{00000000-0009-0000-0000-000006000000}"/>
  <mergeCells count="177">
    <mergeCell ref="CV6:CX6"/>
    <mergeCell ref="A9:A10"/>
    <mergeCell ref="B9:B10"/>
    <mergeCell ref="C9:C10"/>
    <mergeCell ref="A11:A12"/>
    <mergeCell ref="B11:B12"/>
    <mergeCell ref="C11:C12"/>
    <mergeCell ref="V6:AJ6"/>
    <mergeCell ref="AK6:AY6"/>
    <mergeCell ref="CS6:CU6"/>
    <mergeCell ref="B8:C8"/>
    <mergeCell ref="S6:U6"/>
    <mergeCell ref="AZ6:BN6"/>
    <mergeCell ref="BO6:CC6"/>
    <mergeCell ref="CD6:CR6"/>
    <mergeCell ref="A17:A18"/>
    <mergeCell ref="B17:B18"/>
    <mergeCell ref="C17:C18"/>
    <mergeCell ref="A19:A20"/>
    <mergeCell ref="B19:B20"/>
    <mergeCell ref="C19:C20"/>
    <mergeCell ref="A13:A14"/>
    <mergeCell ref="B13:B14"/>
    <mergeCell ref="C13:C14"/>
    <mergeCell ref="A15:A16"/>
    <mergeCell ref="B15:B16"/>
    <mergeCell ref="C15:C16"/>
    <mergeCell ref="A29:A30"/>
    <mergeCell ref="B29:B30"/>
    <mergeCell ref="C29:C30"/>
    <mergeCell ref="A25:A26"/>
    <mergeCell ref="B25:B26"/>
    <mergeCell ref="C25:C26"/>
    <mergeCell ref="A27:B27"/>
    <mergeCell ref="A21:A22"/>
    <mergeCell ref="B21:B22"/>
    <mergeCell ref="C21:C22"/>
    <mergeCell ref="A23:A24"/>
    <mergeCell ref="B23:B24"/>
    <mergeCell ref="C23:C24"/>
    <mergeCell ref="B28:C28"/>
    <mergeCell ref="A35:A36"/>
    <mergeCell ref="B35:B36"/>
    <mergeCell ref="C35:C36"/>
    <mergeCell ref="A37:A38"/>
    <mergeCell ref="B37:B38"/>
    <mergeCell ref="C37:C38"/>
    <mergeCell ref="A31:A32"/>
    <mergeCell ref="B31:B32"/>
    <mergeCell ref="C31:C32"/>
    <mergeCell ref="A33:A34"/>
    <mergeCell ref="B33:B34"/>
    <mergeCell ref="C33:C34"/>
    <mergeCell ref="A43:A44"/>
    <mergeCell ref="B43:B44"/>
    <mergeCell ref="C43:C44"/>
    <mergeCell ref="A45:A46"/>
    <mergeCell ref="B45:B46"/>
    <mergeCell ref="C45:C46"/>
    <mergeCell ref="A39:A40"/>
    <mergeCell ref="B39:B40"/>
    <mergeCell ref="C39:C40"/>
    <mergeCell ref="A41:A42"/>
    <mergeCell ref="B41:B42"/>
    <mergeCell ref="C41:C42"/>
    <mergeCell ref="A51:A52"/>
    <mergeCell ref="B51:B52"/>
    <mergeCell ref="C51:C52"/>
    <mergeCell ref="A53:A54"/>
    <mergeCell ref="B53:B54"/>
    <mergeCell ref="C53:C54"/>
    <mergeCell ref="A47:A48"/>
    <mergeCell ref="B47:B48"/>
    <mergeCell ref="C47:C48"/>
    <mergeCell ref="A49:A50"/>
    <mergeCell ref="B49:B50"/>
    <mergeCell ref="C49:C50"/>
    <mergeCell ref="A59:A60"/>
    <mergeCell ref="B59:B60"/>
    <mergeCell ref="C59:C60"/>
    <mergeCell ref="A61:A62"/>
    <mergeCell ref="B61:B62"/>
    <mergeCell ref="C61:C62"/>
    <mergeCell ref="A55:A56"/>
    <mergeCell ref="B55:B56"/>
    <mergeCell ref="C55:C56"/>
    <mergeCell ref="A57:A58"/>
    <mergeCell ref="B57:B58"/>
    <mergeCell ref="C57:C58"/>
    <mergeCell ref="A67:A68"/>
    <mergeCell ref="B67:B68"/>
    <mergeCell ref="C67:C68"/>
    <mergeCell ref="A69:A70"/>
    <mergeCell ref="B69:B70"/>
    <mergeCell ref="C69:C70"/>
    <mergeCell ref="A63:A64"/>
    <mergeCell ref="B63:B64"/>
    <mergeCell ref="C63:C64"/>
    <mergeCell ref="A65:A66"/>
    <mergeCell ref="B65:B66"/>
    <mergeCell ref="C65:C66"/>
    <mergeCell ref="A75:A76"/>
    <mergeCell ref="B75:B76"/>
    <mergeCell ref="C75:C76"/>
    <mergeCell ref="A77:A78"/>
    <mergeCell ref="B77:B78"/>
    <mergeCell ref="C77:C78"/>
    <mergeCell ref="A71:A72"/>
    <mergeCell ref="B71:B72"/>
    <mergeCell ref="C71:C72"/>
    <mergeCell ref="A73:A74"/>
    <mergeCell ref="B73:B74"/>
    <mergeCell ref="C73:C74"/>
    <mergeCell ref="A83:A84"/>
    <mergeCell ref="B83:B84"/>
    <mergeCell ref="C83:C84"/>
    <mergeCell ref="A85:A86"/>
    <mergeCell ref="B85:B86"/>
    <mergeCell ref="C85:C86"/>
    <mergeCell ref="A79:A80"/>
    <mergeCell ref="B79:B80"/>
    <mergeCell ref="C79:C80"/>
    <mergeCell ref="A81:A82"/>
    <mergeCell ref="B81:B82"/>
    <mergeCell ref="C81:C82"/>
    <mergeCell ref="A89:A90"/>
    <mergeCell ref="B89:B90"/>
    <mergeCell ref="C89:C90"/>
    <mergeCell ref="A91:A92"/>
    <mergeCell ref="B91:B92"/>
    <mergeCell ref="C91:C92"/>
    <mergeCell ref="A87:A88"/>
    <mergeCell ref="B87:B88"/>
    <mergeCell ref="C87:C88"/>
    <mergeCell ref="A97:A98"/>
    <mergeCell ref="B97:B98"/>
    <mergeCell ref="C97:C98"/>
    <mergeCell ref="A99:A100"/>
    <mergeCell ref="B99:B100"/>
    <mergeCell ref="C99:C100"/>
    <mergeCell ref="A93:A94"/>
    <mergeCell ref="B93:B94"/>
    <mergeCell ref="C93:C94"/>
    <mergeCell ref="A95:A96"/>
    <mergeCell ref="B95:B96"/>
    <mergeCell ref="C95:C96"/>
    <mergeCell ref="A105:A106"/>
    <mergeCell ref="B105:B106"/>
    <mergeCell ref="C105:C106"/>
    <mergeCell ref="A107:A108"/>
    <mergeCell ref="B107:B108"/>
    <mergeCell ref="C107:C108"/>
    <mergeCell ref="A101:A102"/>
    <mergeCell ref="B101:B102"/>
    <mergeCell ref="C101:C102"/>
    <mergeCell ref="A103:A104"/>
    <mergeCell ref="B103:B104"/>
    <mergeCell ref="C103:C104"/>
    <mergeCell ref="A137:AA137"/>
    <mergeCell ref="A135:AA135"/>
    <mergeCell ref="A136:AA136"/>
    <mergeCell ref="A115:B115"/>
    <mergeCell ref="A113:A114"/>
    <mergeCell ref="B113:B114"/>
    <mergeCell ref="C113:C114"/>
    <mergeCell ref="A109:A110"/>
    <mergeCell ref="B109:B110"/>
    <mergeCell ref="C109:C110"/>
    <mergeCell ref="A111:A112"/>
    <mergeCell ref="B111:B112"/>
    <mergeCell ref="C111:C112"/>
    <mergeCell ref="Q116:R116"/>
    <mergeCell ref="A123:C123"/>
    <mergeCell ref="D127:D129"/>
    <mergeCell ref="D130:D132"/>
    <mergeCell ref="D133:E133"/>
    <mergeCell ref="D126:E126"/>
  </mergeCells>
  <dataValidations count="3">
    <dataValidation type="list" allowBlank="1" showInputMessage="1" showErrorMessage="1" sqref="F28 F8" xr:uid="{00000000-0002-0000-0600-000000000000}">
      <formula1>Управление</formula1>
    </dataValidation>
    <dataValidation type="list" allowBlank="1" showInputMessage="1" showErrorMessage="1" sqref="P9:P26 P29:P114" xr:uid="{00000000-0002-0000-0600-000001000000}">
      <formula1>"ДИТ,ГО не ДИТ,КГМК,ЗФ,Чита"</formula1>
    </dataValidation>
    <dataValidation type="list" allowBlank="1" showInputMessage="1" showErrorMessage="1" sqref="O9:O26 O29:O114" xr:uid="{00000000-0002-0000-0600-000002000000}">
      <mc:AlternateContent xmlns:x12ac="http://schemas.microsoft.com/office/spreadsheetml/2011/1/ac" xmlns:mc="http://schemas.openxmlformats.org/markup-compatibility/2006">
        <mc:Choice Requires="x12ac">
          <x12ac:list>1,"1,18","1,1"</x12ac:list>
        </mc:Choice>
        <mc:Fallback>
          <formula1>"1,1,18,1,1"</formula1>
        </mc:Fallback>
      </mc:AlternateContent>
    </dataValidation>
  </dataValidations>
  <pageMargins left="0.7" right="0.7" top="0.75" bottom="0.75" header="0.3" footer="0.3"/>
  <pageSetup paperSize="8" scale="20" fitToHeight="0" orientation="landscape" r:id="rId1"/>
  <drawing r:id="rId2"/>
  <legacyDrawing r:id="rId3"/>
  <controls>
    <mc:AlternateContent xmlns:mc="http://schemas.openxmlformats.org/markup-compatibility/2006">
      <mc:Choice Requires="x14">
        <control shapeId="70660" r:id="rId4" name="CommandButton2">
          <controlPr autoLine="0" autoPict="0" r:id="rId5">
            <anchor moveWithCells="1">
              <from>
                <xdr:col>2</xdr:col>
                <xdr:colOff>3076575</xdr:colOff>
                <xdr:row>0</xdr:row>
                <xdr:rowOff>76200</xdr:rowOff>
              </from>
              <to>
                <xdr:col>2</xdr:col>
                <xdr:colOff>4533900</xdr:colOff>
                <xdr:row>2</xdr:row>
                <xdr:rowOff>123825</xdr:rowOff>
              </to>
            </anchor>
          </controlPr>
        </control>
      </mc:Choice>
      <mc:Fallback>
        <control shapeId="70660" r:id="rId4" name="CommandButton2"/>
      </mc:Fallback>
    </mc:AlternateContent>
    <mc:AlternateContent xmlns:mc="http://schemas.openxmlformats.org/markup-compatibility/2006">
      <mc:Choice Requires="x14">
        <control shapeId="70659" r:id="rId6" name="CommandButton1">
          <controlPr autoLine="0" autoPict="0" r:id="rId7">
            <anchor moveWithCells="1">
              <from>
                <xdr:col>2</xdr:col>
                <xdr:colOff>1190625</xdr:colOff>
                <xdr:row>0</xdr:row>
                <xdr:rowOff>95250</xdr:rowOff>
              </from>
              <to>
                <xdr:col>2</xdr:col>
                <xdr:colOff>2628900</xdr:colOff>
                <xdr:row>2</xdr:row>
                <xdr:rowOff>123825</xdr:rowOff>
              </to>
            </anchor>
          </controlPr>
        </control>
      </mc:Choice>
      <mc:Fallback>
        <control shapeId="70659" r:id="rId6"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3000000}">
          <x14:formula1>
            <xm:f>OFFSET(справочник!$A$3,,,COUNTA(справочник!$A:$A))</xm:f>
          </x14:formula1>
          <xm:sqref>H8 H115</xm:sqref>
        </x14:dataValidation>
        <x14:dataValidation type="list" allowBlank="1" showInputMessage="1" showErrorMessage="1" xr:uid="{00000000-0002-0000-0600-000004000000}">
          <x14:formula1>
            <xm:f>OFFSET(справочник!$E$3,,,COUNTA(справочник!$E:$E))</xm:f>
          </x14:formula1>
          <xm:sqref>R9:R114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9">
    <tabColor theme="7" tint="0.59999389629810485"/>
    <pageSetUpPr fitToPage="1"/>
  </sheetPr>
  <dimension ref="A1:BY60"/>
  <sheetViews>
    <sheetView zoomScale="80" zoomScaleNormal="80" workbookViewId="0">
      <pane xSplit="9" ySplit="5" topLeftCell="BV6" activePane="bottomRight" state="frozen"/>
      <selection pane="topRight" activeCell="H1" sqref="H1"/>
      <selection pane="bottomLeft" activeCell="A6" sqref="A6"/>
      <selection pane="bottomRight" activeCell="AK5" sqref="AK5:AK11"/>
    </sheetView>
  </sheetViews>
  <sheetFormatPr defaultColWidth="9.140625" defaultRowHeight="15.75"/>
  <cols>
    <col min="1" max="1" width="9.140625" style="1"/>
    <col min="2" max="2" width="15.28515625" style="1" customWidth="1"/>
    <col min="3" max="10" width="18.140625" style="1" customWidth="1"/>
    <col min="11" max="11" width="23" style="1" customWidth="1"/>
    <col min="12" max="14" width="11.28515625" style="1" customWidth="1"/>
    <col min="15" max="15" width="12.5703125" style="1" customWidth="1"/>
    <col min="16" max="19" width="11.28515625" style="1" customWidth="1"/>
    <col min="20" max="20" width="12.42578125" style="1" customWidth="1"/>
    <col min="21" max="23" width="11.28515625" style="1" customWidth="1"/>
    <col min="24" max="24" width="14.7109375" style="1" customWidth="1"/>
    <col min="25" max="36" width="11.28515625" style="1" customWidth="1"/>
    <col min="37" max="37" width="18.140625" style="1" customWidth="1"/>
    <col min="38" max="49" width="11.28515625" style="1" customWidth="1"/>
    <col min="50" max="50" width="18.140625" style="1" customWidth="1"/>
    <col min="51" max="62" width="11.28515625" style="1" customWidth="1"/>
    <col min="63" max="63" width="18.140625" style="1" customWidth="1"/>
    <col min="64" max="70" width="11.28515625" style="1" customWidth="1"/>
    <col min="71" max="71" width="12.5703125" style="1" customWidth="1"/>
    <col min="72" max="72" width="13.28515625" style="1" customWidth="1"/>
    <col min="73" max="75" width="11.28515625" style="1" customWidth="1"/>
    <col min="76" max="77" width="18.140625" style="1" customWidth="1"/>
    <col min="78" max="16384" width="9.140625" style="1"/>
  </cols>
  <sheetData>
    <row r="1" spans="1:77" ht="12" customHeight="1">
      <c r="B1" s="3"/>
    </row>
    <row r="3" spans="1:77" ht="16.5" thickBot="1"/>
    <row r="4" spans="1:77" s="320" customFormat="1" ht="21.75" thickBot="1">
      <c r="B4" s="643" t="s">
        <v>1999</v>
      </c>
      <c r="C4" s="644"/>
      <c r="D4" s="645"/>
      <c r="E4" s="645"/>
      <c r="F4" s="645"/>
      <c r="G4" s="645"/>
      <c r="H4" s="645"/>
      <c r="I4" s="646"/>
      <c r="J4" s="646"/>
      <c r="K4" s="647">
        <v>2016</v>
      </c>
      <c r="L4" s="1111">
        <v>2017</v>
      </c>
      <c r="M4" s="1111"/>
      <c r="N4" s="1111"/>
      <c r="O4" s="1111"/>
      <c r="P4" s="1111"/>
      <c r="Q4" s="1111"/>
      <c r="R4" s="1111"/>
      <c r="S4" s="1111"/>
      <c r="T4" s="1111"/>
      <c r="U4" s="1111"/>
      <c r="V4" s="1111"/>
      <c r="W4" s="1111"/>
      <c r="X4" s="1112"/>
      <c r="Y4" s="1113">
        <v>2018</v>
      </c>
      <c r="Z4" s="1111"/>
      <c r="AA4" s="1111"/>
      <c r="AB4" s="1111"/>
      <c r="AC4" s="1111"/>
      <c r="AD4" s="1111"/>
      <c r="AE4" s="1111"/>
      <c r="AF4" s="1111"/>
      <c r="AG4" s="1111"/>
      <c r="AH4" s="1111"/>
      <c r="AI4" s="1111"/>
      <c r="AJ4" s="1111"/>
      <c r="AK4" s="1112"/>
      <c r="AL4" s="1113">
        <v>2019</v>
      </c>
      <c r="AM4" s="1111"/>
      <c r="AN4" s="1111"/>
      <c r="AO4" s="1111"/>
      <c r="AP4" s="1111"/>
      <c r="AQ4" s="1111"/>
      <c r="AR4" s="1111"/>
      <c r="AS4" s="1111"/>
      <c r="AT4" s="1111"/>
      <c r="AU4" s="1111"/>
      <c r="AV4" s="1111"/>
      <c r="AW4" s="1111"/>
      <c r="AX4" s="1112"/>
      <c r="AY4" s="1113">
        <v>2020</v>
      </c>
      <c r="AZ4" s="1111"/>
      <c r="BA4" s="1111"/>
      <c r="BB4" s="1111"/>
      <c r="BC4" s="1111"/>
      <c r="BD4" s="1111"/>
      <c r="BE4" s="1111"/>
      <c r="BF4" s="1111"/>
      <c r="BG4" s="1111"/>
      <c r="BH4" s="1111"/>
      <c r="BI4" s="1111"/>
      <c r="BJ4" s="1111"/>
      <c r="BK4" s="1112"/>
      <c r="BL4" s="1113">
        <v>2021</v>
      </c>
      <c r="BM4" s="1111"/>
      <c r="BN4" s="1111"/>
      <c r="BO4" s="1111"/>
      <c r="BP4" s="1111"/>
      <c r="BQ4" s="1111"/>
      <c r="BR4" s="1111"/>
      <c r="BS4" s="1111"/>
      <c r="BT4" s="1111"/>
      <c r="BU4" s="1111"/>
      <c r="BV4" s="1111"/>
      <c r="BW4" s="1111"/>
      <c r="BX4" s="1111"/>
      <c r="BY4" s="648"/>
    </row>
    <row r="5" spans="1:77" s="7" customFormat="1" ht="45" thickBot="1">
      <c r="B5" s="679" t="s">
        <v>1761</v>
      </c>
      <c r="C5" s="664" t="s">
        <v>1691</v>
      </c>
      <c r="D5" s="662" t="s">
        <v>30</v>
      </c>
      <c r="E5" s="662" t="s">
        <v>1756</v>
      </c>
      <c r="F5" s="663" t="s">
        <v>1961</v>
      </c>
      <c r="G5" s="663" t="s">
        <v>1991</v>
      </c>
      <c r="H5" s="665" t="s">
        <v>1727</v>
      </c>
      <c r="I5" s="666" t="s">
        <v>1962</v>
      </c>
      <c r="J5" s="684" t="s">
        <v>1989</v>
      </c>
      <c r="K5" s="758">
        <v>42735</v>
      </c>
      <c r="L5" s="649">
        <v>42736</v>
      </c>
      <c r="M5" s="649">
        <v>42767</v>
      </c>
      <c r="N5" s="649">
        <v>42795</v>
      </c>
      <c r="O5" s="649">
        <v>42826</v>
      </c>
      <c r="P5" s="649">
        <v>42856</v>
      </c>
      <c r="Q5" s="649">
        <v>42887</v>
      </c>
      <c r="R5" s="649">
        <v>42917</v>
      </c>
      <c r="S5" s="649">
        <v>42948</v>
      </c>
      <c r="T5" s="649">
        <v>42979</v>
      </c>
      <c r="U5" s="649">
        <v>43009</v>
      </c>
      <c r="V5" s="649">
        <v>43040</v>
      </c>
      <c r="W5" s="649">
        <v>43070</v>
      </c>
      <c r="X5" s="651" t="s">
        <v>1526</v>
      </c>
      <c r="Y5" s="650">
        <v>43101</v>
      </c>
      <c r="Z5" s="650">
        <v>43132</v>
      </c>
      <c r="AA5" s="650">
        <v>43160</v>
      </c>
      <c r="AB5" s="650">
        <v>43191</v>
      </c>
      <c r="AC5" s="650">
        <v>43221</v>
      </c>
      <c r="AD5" s="650">
        <v>43252</v>
      </c>
      <c r="AE5" s="650">
        <v>43282</v>
      </c>
      <c r="AF5" s="650">
        <v>43313</v>
      </c>
      <c r="AG5" s="650">
        <v>43344</v>
      </c>
      <c r="AH5" s="650">
        <v>43374</v>
      </c>
      <c r="AI5" s="650">
        <v>43405</v>
      </c>
      <c r="AJ5" s="650">
        <v>43435</v>
      </c>
      <c r="AK5" s="651" t="s">
        <v>1527</v>
      </c>
      <c r="AL5" s="650">
        <v>43466</v>
      </c>
      <c r="AM5" s="650">
        <v>43497</v>
      </c>
      <c r="AN5" s="650">
        <v>43525</v>
      </c>
      <c r="AO5" s="650">
        <v>43556</v>
      </c>
      <c r="AP5" s="650">
        <v>43586</v>
      </c>
      <c r="AQ5" s="650">
        <v>43617</v>
      </c>
      <c r="AR5" s="650">
        <v>43647</v>
      </c>
      <c r="AS5" s="650">
        <v>43678</v>
      </c>
      <c r="AT5" s="650">
        <v>43709</v>
      </c>
      <c r="AU5" s="650">
        <v>43739</v>
      </c>
      <c r="AV5" s="650">
        <v>43770</v>
      </c>
      <c r="AW5" s="650">
        <v>43800</v>
      </c>
      <c r="AX5" s="651" t="s">
        <v>1750</v>
      </c>
      <c r="AY5" s="650">
        <v>43831</v>
      </c>
      <c r="AZ5" s="650">
        <v>43862</v>
      </c>
      <c r="BA5" s="650">
        <v>43891</v>
      </c>
      <c r="BB5" s="650">
        <v>43922</v>
      </c>
      <c r="BC5" s="650">
        <v>43952</v>
      </c>
      <c r="BD5" s="650">
        <v>43983</v>
      </c>
      <c r="BE5" s="650">
        <v>44013</v>
      </c>
      <c r="BF5" s="650">
        <v>44044</v>
      </c>
      <c r="BG5" s="650">
        <v>44075</v>
      </c>
      <c r="BH5" s="650">
        <v>44105</v>
      </c>
      <c r="BI5" s="650">
        <v>44136</v>
      </c>
      <c r="BJ5" s="650">
        <v>44166</v>
      </c>
      <c r="BK5" s="651" t="s">
        <v>1754</v>
      </c>
      <c r="BL5" s="650">
        <v>44197</v>
      </c>
      <c r="BM5" s="650">
        <v>44228</v>
      </c>
      <c r="BN5" s="650">
        <v>44256</v>
      </c>
      <c r="BO5" s="650">
        <v>44287</v>
      </c>
      <c r="BP5" s="650">
        <v>44317</v>
      </c>
      <c r="BQ5" s="650">
        <v>44348</v>
      </c>
      <c r="BR5" s="650">
        <v>44378</v>
      </c>
      <c r="BS5" s="650">
        <v>44409</v>
      </c>
      <c r="BT5" s="650">
        <v>44440</v>
      </c>
      <c r="BU5" s="650">
        <v>44470</v>
      </c>
      <c r="BV5" s="650">
        <v>44501</v>
      </c>
      <c r="BW5" s="650">
        <v>44531</v>
      </c>
      <c r="BX5" s="651" t="s">
        <v>1755</v>
      </c>
      <c r="BY5" s="661" t="s">
        <v>1803</v>
      </c>
    </row>
    <row r="6" spans="1:77" s="670" customFormat="1" thickBot="1">
      <c r="A6" s="675" t="str">
        <f>IF(LEFT(B6,1)="4","CAPEX","OPEX")</f>
        <v>CAPEX</v>
      </c>
      <c r="B6" s="724" t="s">
        <v>1984</v>
      </c>
      <c r="C6" s="677" t="s">
        <v>1700</v>
      </c>
      <c r="D6" s="677"/>
      <c r="E6" s="677"/>
      <c r="F6" s="674"/>
      <c r="G6" s="709"/>
      <c r="H6" s="674" t="s">
        <v>1729</v>
      </c>
      <c r="I6" s="674">
        <v>1.18</v>
      </c>
      <c r="J6" s="674" t="s">
        <v>1990</v>
      </c>
      <c r="K6" s="726"/>
      <c r="L6" s="673"/>
      <c r="M6" s="673"/>
      <c r="N6" s="673"/>
      <c r="O6" s="673"/>
      <c r="P6" s="673"/>
      <c r="Q6" s="673"/>
      <c r="R6" s="673"/>
      <c r="S6" s="673"/>
      <c r="T6" s="673"/>
      <c r="U6" s="673"/>
      <c r="V6" s="673"/>
      <c r="W6" s="673"/>
      <c r="X6" s="669">
        <f t="shared" ref="X6:X14" si="0">SUM(L6:W6)</f>
        <v>0</v>
      </c>
      <c r="Y6" s="674"/>
      <c r="Z6" s="674"/>
      <c r="AA6" s="674"/>
      <c r="AB6" s="674"/>
      <c r="AC6" s="674"/>
      <c r="AD6" s="674"/>
      <c r="AE6" s="674"/>
      <c r="AF6" s="674"/>
      <c r="AG6" s="674"/>
      <c r="AH6" s="674"/>
      <c r="AI6" s="674"/>
      <c r="AJ6" s="674">
        <v>350000</v>
      </c>
      <c r="AK6" s="669">
        <f t="shared" ref="AK6:AK14" si="1">SUM(Y6:AJ6)</f>
        <v>350000</v>
      </c>
      <c r="AL6" s="674"/>
      <c r="AM6" s="674"/>
      <c r="AN6" s="674"/>
      <c r="AO6" s="674"/>
      <c r="AP6" s="674"/>
      <c r="AQ6" s="674"/>
      <c r="AR6" s="674"/>
      <c r="AS6" s="674"/>
      <c r="AT6" s="674"/>
      <c r="AU6" s="674"/>
      <c r="AV6" s="674"/>
      <c r="AW6" s="674"/>
      <c r="AX6" s="669">
        <f t="shared" ref="AX6:AX14" si="2">SUM(AL6:AW6)</f>
        <v>0</v>
      </c>
      <c r="AY6" s="674"/>
      <c r="AZ6" s="674"/>
      <c r="BA6" s="674"/>
      <c r="BB6" s="674"/>
      <c r="BC6" s="674"/>
      <c r="BD6" s="674"/>
      <c r="BE6" s="674"/>
      <c r="BF6" s="674"/>
      <c r="BG6" s="674"/>
      <c r="BH6" s="674"/>
      <c r="BI6" s="674"/>
      <c r="BJ6" s="674"/>
      <c r="BK6" s="669">
        <f t="shared" ref="BK6:BK14" si="3">SUM(AY6:BJ6)</f>
        <v>0</v>
      </c>
      <c r="BL6" s="674"/>
      <c r="BM6" s="674"/>
      <c r="BN6" s="674"/>
      <c r="BO6" s="674"/>
      <c r="BP6" s="674"/>
      <c r="BQ6" s="674"/>
      <c r="BR6" s="674"/>
      <c r="BS6" s="674"/>
      <c r="BT6" s="674"/>
      <c r="BU6" s="674"/>
      <c r="BV6" s="674"/>
      <c r="BW6" s="674"/>
      <c r="BX6" s="651">
        <f t="shared" ref="BX6:BX7" si="4">SUM(BL6:BW6)</f>
        <v>0</v>
      </c>
      <c r="BY6" s="661">
        <f t="shared" ref="BY6:BY7" si="5">BX6+BK6+AX6+AK6+X6+K6</f>
        <v>350000</v>
      </c>
    </row>
    <row r="7" spans="1:77" s="670" customFormat="1" thickBot="1">
      <c r="A7" s="675" t="str">
        <f>IF(LEFT(B7,1)="4","CAPEX","OPEX")</f>
        <v>CAPEX</v>
      </c>
      <c r="B7" s="724" t="s">
        <v>1984</v>
      </c>
      <c r="C7" s="677" t="s">
        <v>1706</v>
      </c>
      <c r="D7" s="677"/>
      <c r="E7" s="677"/>
      <c r="F7" s="674"/>
      <c r="G7" s="709"/>
      <c r="H7" s="674"/>
      <c r="I7" s="674">
        <v>1.18</v>
      </c>
      <c r="J7" s="674" t="s">
        <v>1990</v>
      </c>
      <c r="K7" s="682"/>
      <c r="L7" s="673"/>
      <c r="M7" s="673"/>
      <c r="N7" s="673"/>
      <c r="O7" s="673"/>
      <c r="P7" s="673"/>
      <c r="Q7" s="673"/>
      <c r="R7" s="673"/>
      <c r="S7" s="673"/>
      <c r="T7" s="673"/>
      <c r="U7" s="673"/>
      <c r="V7" s="673"/>
      <c r="W7" s="673"/>
      <c r="X7" s="669">
        <f t="shared" si="0"/>
        <v>0</v>
      </c>
      <c r="Y7" s="674"/>
      <c r="Z7" s="674"/>
      <c r="AA7" s="674"/>
      <c r="AB7" s="674"/>
      <c r="AC7" s="674"/>
      <c r="AD7" s="674"/>
      <c r="AE7" s="674"/>
      <c r="AF7" s="674"/>
      <c r="AG7" s="674"/>
      <c r="AH7" s="674"/>
      <c r="AI7" s="674"/>
      <c r="AJ7" s="674">
        <v>700000</v>
      </c>
      <c r="AK7" s="669">
        <f t="shared" si="1"/>
        <v>700000</v>
      </c>
      <c r="AL7" s="674"/>
      <c r="AM7" s="674"/>
      <c r="AN7" s="674"/>
      <c r="AO7" s="674"/>
      <c r="AP7" s="674"/>
      <c r="AQ7" s="674"/>
      <c r="AR7" s="674"/>
      <c r="AS7" s="674"/>
      <c r="AT7" s="674"/>
      <c r="AU7" s="674"/>
      <c r="AV7" s="674"/>
      <c r="AW7" s="674"/>
      <c r="AX7" s="669">
        <f t="shared" si="2"/>
        <v>0</v>
      </c>
      <c r="AY7" s="674"/>
      <c r="AZ7" s="674"/>
      <c r="BA7" s="674"/>
      <c r="BB7" s="674"/>
      <c r="BC7" s="674"/>
      <c r="BD7" s="674"/>
      <c r="BE7" s="674"/>
      <c r="BF7" s="674"/>
      <c r="BG7" s="674"/>
      <c r="BH7" s="674"/>
      <c r="BI7" s="674"/>
      <c r="BJ7" s="674"/>
      <c r="BK7" s="669">
        <f t="shared" si="3"/>
        <v>0</v>
      </c>
      <c r="BL7" s="674"/>
      <c r="BM7" s="674"/>
      <c r="BN7" s="674"/>
      <c r="BO7" s="674"/>
      <c r="BP7" s="674"/>
      <c r="BQ7" s="674"/>
      <c r="BR7" s="674"/>
      <c r="BS7" s="674"/>
      <c r="BT7" s="674"/>
      <c r="BU7" s="674"/>
      <c r="BV7" s="674"/>
      <c r="BW7" s="674"/>
      <c r="BX7" s="651">
        <f t="shared" si="4"/>
        <v>0</v>
      </c>
      <c r="BY7" s="661">
        <f t="shared" si="5"/>
        <v>700000</v>
      </c>
    </row>
    <row r="8" spans="1:77" s="675" customFormat="1" thickBot="1">
      <c r="A8" s="675" t="str">
        <f t="shared" ref="A8:A10" si="6">IF(LEFT(B8,1)="4","CAPEX","OPEX")</f>
        <v>CAPEX</v>
      </c>
      <c r="B8" s="724" t="s">
        <v>1984</v>
      </c>
      <c r="C8" s="677" t="s">
        <v>1706</v>
      </c>
      <c r="D8" s="677"/>
      <c r="E8" s="677"/>
      <c r="F8" s="674"/>
      <c r="G8" s="709"/>
      <c r="H8" s="674"/>
      <c r="I8" s="674">
        <v>1.18</v>
      </c>
      <c r="J8" s="674" t="s">
        <v>1990</v>
      </c>
      <c r="K8" s="681"/>
      <c r="L8" s="673"/>
      <c r="M8" s="673"/>
      <c r="N8" s="673"/>
      <c r="O8" s="673"/>
      <c r="P8" s="673"/>
      <c r="Q8" s="673"/>
      <c r="R8" s="673"/>
      <c r="S8" s="673"/>
      <c r="T8" s="673"/>
      <c r="U8" s="673"/>
      <c r="V8" s="673"/>
      <c r="W8" s="673"/>
      <c r="X8" s="669">
        <f t="shared" si="0"/>
        <v>0</v>
      </c>
      <c r="Y8" s="674"/>
      <c r="Z8" s="674"/>
      <c r="AA8" s="674"/>
      <c r="AB8" s="674"/>
      <c r="AC8" s="674"/>
      <c r="AD8" s="674"/>
      <c r="AE8" s="674"/>
      <c r="AF8" s="674"/>
      <c r="AG8" s="674"/>
      <c r="AH8" s="674"/>
      <c r="AI8" s="674"/>
      <c r="AJ8" s="674">
        <v>800000</v>
      </c>
      <c r="AK8" s="669">
        <f t="shared" si="1"/>
        <v>800000</v>
      </c>
      <c r="AL8" s="674"/>
      <c r="AM8" s="674"/>
      <c r="AN8" s="674"/>
      <c r="AO8" s="674"/>
      <c r="AP8" s="674"/>
      <c r="AQ8" s="674"/>
      <c r="AR8" s="674"/>
      <c r="AS8" s="674"/>
      <c r="AT8" s="674"/>
      <c r="AU8" s="674"/>
      <c r="AV8" s="674"/>
      <c r="AW8" s="674"/>
      <c r="AX8" s="669">
        <f t="shared" si="2"/>
        <v>0</v>
      </c>
      <c r="AY8" s="674"/>
      <c r="AZ8" s="674"/>
      <c r="BA8" s="674"/>
      <c r="BB8" s="674"/>
      <c r="BC8" s="674"/>
      <c r="BD8" s="674"/>
      <c r="BE8" s="674"/>
      <c r="BF8" s="674"/>
      <c r="BG8" s="674"/>
      <c r="BH8" s="674"/>
      <c r="BI8" s="674"/>
      <c r="BJ8" s="674"/>
      <c r="BK8" s="669">
        <f t="shared" si="3"/>
        <v>0</v>
      </c>
      <c r="BL8" s="674"/>
      <c r="BM8" s="674"/>
      <c r="BN8" s="674"/>
      <c r="BO8" s="674"/>
      <c r="BP8" s="674"/>
      <c r="BQ8" s="674"/>
      <c r="BR8" s="674"/>
      <c r="BS8" s="674"/>
      <c r="BT8" s="674"/>
      <c r="BU8" s="674"/>
      <c r="BV8" s="674"/>
      <c r="BW8" s="674"/>
      <c r="BX8" s="651">
        <f t="shared" ref="BX8:BX14" si="7">SUM(BL8:BW8)</f>
        <v>0</v>
      </c>
      <c r="BY8" s="661">
        <f t="shared" ref="BY8:BY14" si="8">BX8+BK8+AX8+AK8+X8+K8</f>
        <v>800000</v>
      </c>
    </row>
    <row r="9" spans="1:77" s="675" customFormat="1" thickBot="1">
      <c r="A9" s="675" t="str">
        <f t="shared" si="6"/>
        <v>CAPEX</v>
      </c>
      <c r="B9" s="724" t="s">
        <v>1983</v>
      </c>
      <c r="C9" s="677" t="s">
        <v>1706</v>
      </c>
      <c r="D9" s="677"/>
      <c r="E9" s="677"/>
      <c r="F9" s="674"/>
      <c r="G9" s="709"/>
      <c r="H9" s="674"/>
      <c r="I9" s="674">
        <v>1</v>
      </c>
      <c r="J9" s="674" t="s">
        <v>1990</v>
      </c>
      <c r="K9" s="682"/>
      <c r="L9" s="673"/>
      <c r="M9" s="673"/>
      <c r="N9" s="673"/>
      <c r="O9" s="673"/>
      <c r="P9" s="673"/>
      <c r="Q9" s="673"/>
      <c r="R9" s="673"/>
      <c r="S9" s="673"/>
      <c r="T9" s="673"/>
      <c r="U9" s="673"/>
      <c r="V9" s="673"/>
      <c r="W9" s="673"/>
      <c r="X9" s="669">
        <f t="shared" si="0"/>
        <v>0</v>
      </c>
      <c r="Y9" s="674"/>
      <c r="Z9" s="674"/>
      <c r="AA9" s="674"/>
      <c r="AB9" s="674"/>
      <c r="AC9" s="674"/>
      <c r="AD9" s="674"/>
      <c r="AE9" s="674"/>
      <c r="AF9" s="674"/>
      <c r="AG9" s="674"/>
      <c r="AH9" s="674"/>
      <c r="AI9" s="674"/>
      <c r="AJ9" s="674">
        <v>10200000</v>
      </c>
      <c r="AK9" s="669">
        <f t="shared" si="1"/>
        <v>10200000</v>
      </c>
      <c r="AL9" s="674"/>
      <c r="AM9" s="674"/>
      <c r="AN9" s="674"/>
      <c r="AO9" s="674"/>
      <c r="AP9" s="674"/>
      <c r="AQ9" s="674"/>
      <c r="AR9" s="674"/>
      <c r="AS9" s="674"/>
      <c r="AT9" s="674"/>
      <c r="AU9" s="674"/>
      <c r="AV9" s="674"/>
      <c r="AW9" s="674"/>
      <c r="AX9" s="669">
        <f t="shared" si="2"/>
        <v>0</v>
      </c>
      <c r="AY9" s="674"/>
      <c r="AZ9" s="674"/>
      <c r="BA9" s="674"/>
      <c r="BB9" s="674"/>
      <c r="BC9" s="674"/>
      <c r="BD9" s="674"/>
      <c r="BE9" s="674"/>
      <c r="BF9" s="674"/>
      <c r="BG9" s="674"/>
      <c r="BH9" s="674"/>
      <c r="BI9" s="674"/>
      <c r="BJ9" s="674"/>
      <c r="BK9" s="669">
        <f t="shared" si="3"/>
        <v>0</v>
      </c>
      <c r="BL9" s="674"/>
      <c r="BM9" s="674"/>
      <c r="BN9" s="674"/>
      <c r="BO9" s="674"/>
      <c r="BP9" s="674"/>
      <c r="BQ9" s="674"/>
      <c r="BR9" s="674"/>
      <c r="BS9" s="674"/>
      <c r="BT9" s="674"/>
      <c r="BU9" s="674"/>
      <c r="BV9" s="674"/>
      <c r="BW9" s="674"/>
      <c r="BX9" s="651">
        <f t="shared" si="7"/>
        <v>0</v>
      </c>
      <c r="BY9" s="661">
        <f t="shared" si="8"/>
        <v>10200000</v>
      </c>
    </row>
    <row r="10" spans="1:77" s="675" customFormat="1" thickBot="1">
      <c r="A10" s="675" t="str">
        <f t="shared" si="6"/>
        <v>CAPEX</v>
      </c>
      <c r="B10" s="724" t="s">
        <v>1983</v>
      </c>
      <c r="C10" s="677" t="s">
        <v>1706</v>
      </c>
      <c r="D10" s="677"/>
      <c r="E10" s="677"/>
      <c r="F10" s="674"/>
      <c r="G10" s="709"/>
      <c r="H10" s="674"/>
      <c r="I10" s="674">
        <v>1</v>
      </c>
      <c r="J10" s="674" t="s">
        <v>1990</v>
      </c>
      <c r="K10" s="682"/>
      <c r="L10" s="673"/>
      <c r="M10" s="673"/>
      <c r="N10" s="673"/>
      <c r="O10" s="673"/>
      <c r="P10" s="673"/>
      <c r="Q10" s="673"/>
      <c r="R10" s="673"/>
      <c r="S10" s="673"/>
      <c r="T10" s="673"/>
      <c r="U10" s="673"/>
      <c r="V10" s="673"/>
      <c r="W10" s="673"/>
      <c r="X10" s="669">
        <f t="shared" si="0"/>
        <v>0</v>
      </c>
      <c r="Y10" s="674"/>
      <c r="Z10" s="674"/>
      <c r="AA10" s="674"/>
      <c r="AB10" s="674"/>
      <c r="AC10" s="674"/>
      <c r="AD10" s="674"/>
      <c r="AE10" s="674"/>
      <c r="AF10" s="674"/>
      <c r="AG10" s="674"/>
      <c r="AH10" s="674"/>
      <c r="AI10" s="674"/>
      <c r="AJ10" s="674"/>
      <c r="AK10" s="669">
        <f t="shared" si="1"/>
        <v>0</v>
      </c>
      <c r="AL10" s="674"/>
      <c r="AM10" s="674"/>
      <c r="AN10" s="674"/>
      <c r="AO10" s="674"/>
      <c r="AP10" s="674"/>
      <c r="AQ10" s="674"/>
      <c r="AR10" s="674"/>
      <c r="AS10" s="674"/>
      <c r="AT10" s="674"/>
      <c r="AU10" s="674"/>
      <c r="AV10" s="674"/>
      <c r="AW10" s="674">
        <v>2160000</v>
      </c>
      <c r="AX10" s="669">
        <f t="shared" si="2"/>
        <v>2160000</v>
      </c>
      <c r="AY10" s="674"/>
      <c r="AZ10" s="674"/>
      <c r="BA10" s="674"/>
      <c r="BB10" s="674"/>
      <c r="BC10" s="674"/>
      <c r="BD10" s="674"/>
      <c r="BE10" s="674"/>
      <c r="BF10" s="674"/>
      <c r="BG10" s="674"/>
      <c r="BH10" s="674"/>
      <c r="BI10" s="674"/>
      <c r="BJ10" s="674"/>
      <c r="BK10" s="669">
        <f t="shared" si="3"/>
        <v>0</v>
      </c>
      <c r="BL10" s="674"/>
      <c r="BM10" s="674"/>
      <c r="BN10" s="674"/>
      <c r="BO10" s="674"/>
      <c r="BP10" s="674"/>
      <c r="BQ10" s="674"/>
      <c r="BR10" s="674"/>
      <c r="BS10" s="674"/>
      <c r="BT10" s="674"/>
      <c r="BU10" s="674"/>
      <c r="BV10" s="674"/>
      <c r="BW10" s="674"/>
      <c r="BX10" s="651">
        <f t="shared" si="7"/>
        <v>0</v>
      </c>
      <c r="BY10" s="661">
        <f t="shared" si="8"/>
        <v>2160000</v>
      </c>
    </row>
    <row r="11" spans="1:77" s="675" customFormat="1" thickBot="1">
      <c r="A11" s="675" t="str">
        <f>IF(LEFT(B11,1)="4","CAPEX","OPEX")</f>
        <v>CAPEX</v>
      </c>
      <c r="B11" s="724" t="s">
        <v>1983</v>
      </c>
      <c r="C11" s="677" t="s">
        <v>1706</v>
      </c>
      <c r="D11" s="677"/>
      <c r="E11" s="677"/>
      <c r="F11" s="674"/>
      <c r="G11" s="709"/>
      <c r="H11" s="674"/>
      <c r="I11" s="674">
        <v>1</v>
      </c>
      <c r="J11" s="674" t="s">
        <v>1990</v>
      </c>
      <c r="K11" s="683"/>
      <c r="L11" s="673"/>
      <c r="M11" s="673"/>
      <c r="N11" s="673"/>
      <c r="O11" s="673"/>
      <c r="P11" s="673"/>
      <c r="Q11" s="673"/>
      <c r="R11" s="673"/>
      <c r="S11" s="673"/>
      <c r="T11" s="673"/>
      <c r="U11" s="673"/>
      <c r="V11" s="673"/>
      <c r="W11" s="673"/>
      <c r="X11" s="669">
        <f t="shared" si="0"/>
        <v>0</v>
      </c>
      <c r="Y11" s="674"/>
      <c r="Z11" s="674"/>
      <c r="AA11" s="674"/>
      <c r="AB11" s="674"/>
      <c r="AC11" s="674"/>
      <c r="AD11" s="674"/>
      <c r="AE11" s="674"/>
      <c r="AF11" s="674"/>
      <c r="AG11" s="674"/>
      <c r="AH11" s="674"/>
      <c r="AI11" s="674"/>
      <c r="AJ11" s="674"/>
      <c r="AK11" s="669">
        <f t="shared" si="1"/>
        <v>0</v>
      </c>
      <c r="AL11" s="674"/>
      <c r="AM11" s="674"/>
      <c r="AN11" s="674"/>
      <c r="AO11" s="674"/>
      <c r="AP11" s="674"/>
      <c r="AQ11" s="674"/>
      <c r="AR11" s="674"/>
      <c r="AS11" s="674"/>
      <c r="AT11" s="674"/>
      <c r="AU11" s="674"/>
      <c r="AV11" s="674"/>
      <c r="AW11" s="674">
        <v>500000</v>
      </c>
      <c r="AX11" s="669">
        <f t="shared" si="2"/>
        <v>500000</v>
      </c>
      <c r="AY11" s="674"/>
      <c r="AZ11" s="674"/>
      <c r="BA11" s="674"/>
      <c r="BB11" s="674"/>
      <c r="BC11" s="674"/>
      <c r="BD11" s="674"/>
      <c r="BE11" s="674"/>
      <c r="BF11" s="674"/>
      <c r="BG11" s="674"/>
      <c r="BH11" s="674"/>
      <c r="BI11" s="674"/>
      <c r="BJ11" s="674"/>
      <c r="BK11" s="669">
        <f t="shared" si="3"/>
        <v>0</v>
      </c>
      <c r="BL11" s="674"/>
      <c r="BM11" s="674"/>
      <c r="BN11" s="674"/>
      <c r="BO11" s="674"/>
      <c r="BP11" s="674"/>
      <c r="BQ11" s="674"/>
      <c r="BR11" s="674"/>
      <c r="BS11" s="674"/>
      <c r="BT11" s="674"/>
      <c r="BU11" s="674"/>
      <c r="BV11" s="674"/>
      <c r="BW11" s="674"/>
      <c r="BX11" s="651">
        <f t="shared" si="7"/>
        <v>0</v>
      </c>
      <c r="BY11" s="661">
        <f t="shared" si="8"/>
        <v>500000</v>
      </c>
    </row>
    <row r="12" spans="1:77" s="675" customFormat="1" thickBot="1">
      <c r="A12" s="675" t="str">
        <f>IF(LEFT(B12,1)="4","CAPEX","OPEX")</f>
        <v>CAPEX</v>
      </c>
      <c r="B12" s="724" t="s">
        <v>1983</v>
      </c>
      <c r="C12" s="677" t="s">
        <v>1706</v>
      </c>
      <c r="D12" s="677"/>
      <c r="E12" s="677"/>
      <c r="F12" s="674"/>
      <c r="G12" s="709"/>
      <c r="H12" s="674"/>
      <c r="I12" s="674">
        <v>1</v>
      </c>
      <c r="J12" s="674" t="s">
        <v>1990</v>
      </c>
      <c r="K12" s="683"/>
      <c r="L12" s="673"/>
      <c r="M12" s="673"/>
      <c r="N12" s="673"/>
      <c r="O12" s="673"/>
      <c r="P12" s="673"/>
      <c r="Q12" s="673"/>
      <c r="R12" s="673"/>
      <c r="S12" s="673"/>
      <c r="T12" s="673"/>
      <c r="U12" s="673"/>
      <c r="V12" s="673"/>
      <c r="W12" s="673"/>
      <c r="X12" s="669">
        <f t="shared" si="0"/>
        <v>0</v>
      </c>
      <c r="Y12" s="674"/>
      <c r="Z12" s="674"/>
      <c r="AA12" s="674"/>
      <c r="AB12" s="674"/>
      <c r="AC12" s="674"/>
      <c r="AD12" s="674"/>
      <c r="AE12" s="674"/>
      <c r="AF12" s="674"/>
      <c r="AG12" s="674"/>
      <c r="AH12" s="674"/>
      <c r="AI12" s="674"/>
      <c r="AJ12" s="674"/>
      <c r="AK12" s="669">
        <f t="shared" si="1"/>
        <v>0</v>
      </c>
      <c r="AL12" s="674"/>
      <c r="AM12" s="674"/>
      <c r="AN12" s="674"/>
      <c r="AO12" s="674"/>
      <c r="AP12" s="674"/>
      <c r="AQ12" s="674"/>
      <c r="AR12" s="674"/>
      <c r="AS12" s="674"/>
      <c r="AT12" s="674"/>
      <c r="AU12" s="674"/>
      <c r="AV12" s="674"/>
      <c r="AW12" s="674">
        <v>500000</v>
      </c>
      <c r="AX12" s="669">
        <f t="shared" si="2"/>
        <v>500000</v>
      </c>
      <c r="AY12" s="674"/>
      <c r="AZ12" s="674"/>
      <c r="BA12" s="674"/>
      <c r="BB12" s="674"/>
      <c r="BC12" s="674"/>
      <c r="BD12" s="674"/>
      <c r="BE12" s="674"/>
      <c r="BF12" s="674"/>
      <c r="BG12" s="674"/>
      <c r="BH12" s="674"/>
      <c r="BI12" s="674"/>
      <c r="BJ12" s="674"/>
      <c r="BK12" s="669">
        <f t="shared" si="3"/>
        <v>0</v>
      </c>
      <c r="BL12" s="674"/>
      <c r="BM12" s="674"/>
      <c r="BN12" s="674"/>
      <c r="BO12" s="674"/>
      <c r="BP12" s="674"/>
      <c r="BQ12" s="674"/>
      <c r="BR12" s="674"/>
      <c r="BS12" s="674"/>
      <c r="BT12" s="674"/>
      <c r="BU12" s="674"/>
      <c r="BV12" s="674"/>
      <c r="BW12" s="674"/>
      <c r="BX12" s="651">
        <f t="shared" si="7"/>
        <v>0</v>
      </c>
      <c r="BY12" s="661">
        <f t="shared" si="8"/>
        <v>500000</v>
      </c>
    </row>
    <row r="13" spans="1:77" s="675" customFormat="1" thickBot="1">
      <c r="A13" s="675" t="str">
        <f>IF(LEFT(B13,1)="4","CAPEX","OPEX")</f>
        <v>OPEX</v>
      </c>
      <c r="B13" s="724" t="s">
        <v>2034</v>
      </c>
      <c r="C13" s="677" t="s">
        <v>1714</v>
      </c>
      <c r="D13" s="677"/>
      <c r="E13" s="677"/>
      <c r="F13" s="674"/>
      <c r="G13" s="709"/>
      <c r="H13" s="674"/>
      <c r="I13" s="674">
        <v>1</v>
      </c>
      <c r="J13" s="674" t="s">
        <v>1990</v>
      </c>
      <c r="K13" s="683"/>
      <c r="L13" s="673"/>
      <c r="M13" s="673"/>
      <c r="N13" s="673"/>
      <c r="O13" s="673"/>
      <c r="P13" s="673"/>
      <c r="Q13" s="673"/>
      <c r="R13" s="673"/>
      <c r="S13" s="673"/>
      <c r="T13" s="673"/>
      <c r="U13" s="673"/>
      <c r="V13" s="673"/>
      <c r="W13" s="673"/>
      <c r="X13" s="669">
        <f t="shared" si="0"/>
        <v>0</v>
      </c>
      <c r="Y13" s="674"/>
      <c r="Z13" s="674"/>
      <c r="AA13" s="674"/>
      <c r="AB13" s="674"/>
      <c r="AC13" s="674"/>
      <c r="AD13" s="674"/>
      <c r="AE13" s="674"/>
      <c r="AF13" s="674"/>
      <c r="AG13" s="674"/>
      <c r="AH13" s="674"/>
      <c r="AI13" s="674"/>
      <c r="AJ13" s="674"/>
      <c r="AK13" s="669">
        <f t="shared" si="1"/>
        <v>0</v>
      </c>
      <c r="AL13" s="674"/>
      <c r="AM13" s="674"/>
      <c r="AN13" s="674"/>
      <c r="AO13" s="674"/>
      <c r="AP13" s="674"/>
      <c r="AQ13" s="674"/>
      <c r="AR13" s="674"/>
      <c r="AS13" s="674"/>
      <c r="AT13" s="674"/>
      <c r="AU13" s="674"/>
      <c r="AV13" s="674"/>
      <c r="AW13" s="674">
        <v>4000000</v>
      </c>
      <c r="AX13" s="669">
        <f t="shared" si="2"/>
        <v>4000000</v>
      </c>
      <c r="AY13" s="674"/>
      <c r="AZ13" s="674"/>
      <c r="BA13" s="674"/>
      <c r="BB13" s="674"/>
      <c r="BC13" s="674"/>
      <c r="BD13" s="674"/>
      <c r="BE13" s="674"/>
      <c r="BF13" s="674"/>
      <c r="BG13" s="674"/>
      <c r="BH13" s="674"/>
      <c r="BI13" s="674"/>
      <c r="BJ13" s="674"/>
      <c r="BK13" s="669">
        <f t="shared" si="3"/>
        <v>0</v>
      </c>
      <c r="BL13" s="674"/>
      <c r="BM13" s="674"/>
      <c r="BN13" s="674"/>
      <c r="BO13" s="674"/>
      <c r="BP13" s="674"/>
      <c r="BQ13" s="674"/>
      <c r="BR13" s="674"/>
      <c r="BS13" s="674"/>
      <c r="BT13" s="674"/>
      <c r="BU13" s="674"/>
      <c r="BV13" s="674"/>
      <c r="BW13" s="674"/>
      <c r="BX13" s="651">
        <f t="shared" si="7"/>
        <v>0</v>
      </c>
      <c r="BY13" s="661">
        <f t="shared" si="8"/>
        <v>4000000</v>
      </c>
    </row>
    <row r="14" spans="1:77" s="675" customFormat="1" thickBot="1">
      <c r="A14" s="675" t="str">
        <f>IF(LEFT(B14,1)="4","CAPEX","OPEX")</f>
        <v>OPEX</v>
      </c>
      <c r="B14" s="724" t="s">
        <v>2035</v>
      </c>
      <c r="C14" s="677" t="s">
        <v>1714</v>
      </c>
      <c r="D14" s="677"/>
      <c r="E14" s="677"/>
      <c r="F14" s="674"/>
      <c r="G14" s="709"/>
      <c r="H14" s="674"/>
      <c r="I14" s="674">
        <v>1.18</v>
      </c>
      <c r="J14" s="674" t="s">
        <v>1990</v>
      </c>
      <c r="K14" s="683"/>
      <c r="L14" s="673"/>
      <c r="M14" s="673"/>
      <c r="N14" s="673"/>
      <c r="O14" s="673"/>
      <c r="P14" s="673"/>
      <c r="Q14" s="673"/>
      <c r="R14" s="673"/>
      <c r="S14" s="673"/>
      <c r="T14" s="673"/>
      <c r="U14" s="673"/>
      <c r="V14" s="673"/>
      <c r="W14" s="673"/>
      <c r="X14" s="669">
        <f t="shared" si="0"/>
        <v>0</v>
      </c>
      <c r="Y14" s="674"/>
      <c r="Z14" s="674"/>
      <c r="AA14" s="674"/>
      <c r="AB14" s="674"/>
      <c r="AC14" s="674"/>
      <c r="AD14" s="674"/>
      <c r="AE14" s="674"/>
      <c r="AF14" s="674"/>
      <c r="AG14" s="674"/>
      <c r="AH14" s="674"/>
      <c r="AI14" s="674"/>
      <c r="AJ14" s="674"/>
      <c r="AK14" s="669">
        <f t="shared" si="1"/>
        <v>0</v>
      </c>
      <c r="AL14" s="674"/>
      <c r="AM14" s="674"/>
      <c r="AN14" s="674"/>
      <c r="AO14" s="674"/>
      <c r="AP14" s="674"/>
      <c r="AQ14" s="674"/>
      <c r="AR14" s="674"/>
      <c r="AS14" s="674"/>
      <c r="AT14" s="674"/>
      <c r="AU14" s="674"/>
      <c r="AV14" s="674"/>
      <c r="AW14" s="674">
        <v>1600000</v>
      </c>
      <c r="AX14" s="669">
        <f t="shared" si="2"/>
        <v>1600000</v>
      </c>
      <c r="AY14" s="674"/>
      <c r="AZ14" s="674"/>
      <c r="BA14" s="674"/>
      <c r="BB14" s="674"/>
      <c r="BC14" s="674"/>
      <c r="BD14" s="674"/>
      <c r="BE14" s="674"/>
      <c r="BF14" s="674"/>
      <c r="BG14" s="674"/>
      <c r="BH14" s="674"/>
      <c r="BI14" s="674"/>
      <c r="BJ14" s="674"/>
      <c r="BK14" s="669">
        <f t="shared" si="3"/>
        <v>0</v>
      </c>
      <c r="BL14" s="674"/>
      <c r="BM14" s="674"/>
      <c r="BN14" s="674"/>
      <c r="BO14" s="674"/>
      <c r="BP14" s="674"/>
      <c r="BQ14" s="674"/>
      <c r="BR14" s="674"/>
      <c r="BS14" s="674"/>
      <c r="BT14" s="674"/>
      <c r="BU14" s="674"/>
      <c r="BV14" s="674"/>
      <c r="BW14" s="674"/>
      <c r="BX14" s="651">
        <f t="shared" si="7"/>
        <v>0</v>
      </c>
      <c r="BY14" s="661">
        <f t="shared" si="8"/>
        <v>1600000</v>
      </c>
    </row>
    <row r="15" spans="1:77" s="7" customFormat="1" ht="19.5" customHeight="1" thickBot="1">
      <c r="A15" s="678"/>
      <c r="B15" s="678"/>
      <c r="C15" s="678"/>
      <c r="D15" s="678"/>
      <c r="E15" s="678"/>
      <c r="F15" s="678"/>
      <c r="G15" s="678"/>
      <c r="H15" s="678"/>
      <c r="I15" s="678" t="s">
        <v>1783</v>
      </c>
      <c r="J15" s="685"/>
      <c r="K15" s="667">
        <f t="shared" ref="K15:AP15" si="9">SUM(K6:K11)</f>
        <v>0</v>
      </c>
      <c r="L15" s="654">
        <f t="shared" si="9"/>
        <v>0</v>
      </c>
      <c r="M15" s="654">
        <f t="shared" si="9"/>
        <v>0</v>
      </c>
      <c r="N15" s="654">
        <f t="shared" si="9"/>
        <v>0</v>
      </c>
      <c r="O15" s="654">
        <f t="shared" si="9"/>
        <v>0</v>
      </c>
      <c r="P15" s="654">
        <f t="shared" si="9"/>
        <v>0</v>
      </c>
      <c r="Q15" s="654">
        <f t="shared" si="9"/>
        <v>0</v>
      </c>
      <c r="R15" s="654">
        <f t="shared" si="9"/>
        <v>0</v>
      </c>
      <c r="S15" s="654">
        <f t="shared" si="9"/>
        <v>0</v>
      </c>
      <c r="T15" s="654">
        <f t="shared" si="9"/>
        <v>0</v>
      </c>
      <c r="U15" s="654">
        <f t="shared" si="9"/>
        <v>0</v>
      </c>
      <c r="V15" s="654">
        <f t="shared" si="9"/>
        <v>0</v>
      </c>
      <c r="W15" s="654">
        <f t="shared" si="9"/>
        <v>0</v>
      </c>
      <c r="X15" s="660">
        <f t="shared" si="9"/>
        <v>0</v>
      </c>
      <c r="Y15" s="654">
        <f t="shared" si="9"/>
        <v>0</v>
      </c>
      <c r="Z15" s="654">
        <f t="shared" si="9"/>
        <v>0</v>
      </c>
      <c r="AA15" s="654">
        <f t="shared" si="9"/>
        <v>0</v>
      </c>
      <c r="AB15" s="654">
        <f t="shared" si="9"/>
        <v>0</v>
      </c>
      <c r="AC15" s="654">
        <f t="shared" si="9"/>
        <v>0</v>
      </c>
      <c r="AD15" s="654">
        <f t="shared" si="9"/>
        <v>0</v>
      </c>
      <c r="AE15" s="654">
        <f t="shared" si="9"/>
        <v>0</v>
      </c>
      <c r="AF15" s="654">
        <f t="shared" si="9"/>
        <v>0</v>
      </c>
      <c r="AG15" s="654">
        <f t="shared" si="9"/>
        <v>0</v>
      </c>
      <c r="AH15" s="654">
        <f t="shared" si="9"/>
        <v>0</v>
      </c>
      <c r="AI15" s="654">
        <f t="shared" si="9"/>
        <v>0</v>
      </c>
      <c r="AJ15" s="654">
        <f t="shared" si="9"/>
        <v>12050000</v>
      </c>
      <c r="AK15" s="660">
        <f t="shared" si="9"/>
        <v>12050000</v>
      </c>
      <c r="AL15" s="654">
        <f t="shared" si="9"/>
        <v>0</v>
      </c>
      <c r="AM15" s="654">
        <f t="shared" si="9"/>
        <v>0</v>
      </c>
      <c r="AN15" s="654">
        <f t="shared" si="9"/>
        <v>0</v>
      </c>
      <c r="AO15" s="654">
        <f t="shared" si="9"/>
        <v>0</v>
      </c>
      <c r="AP15" s="654">
        <f t="shared" si="9"/>
        <v>0</v>
      </c>
      <c r="AQ15" s="654">
        <f t="shared" ref="AQ15:BY15" si="10">SUM(AQ6:AQ11)</f>
        <v>0</v>
      </c>
      <c r="AR15" s="654">
        <f t="shared" si="10"/>
        <v>0</v>
      </c>
      <c r="AS15" s="654">
        <f t="shared" si="10"/>
        <v>0</v>
      </c>
      <c r="AT15" s="654">
        <f t="shared" si="10"/>
        <v>0</v>
      </c>
      <c r="AU15" s="654">
        <f t="shared" si="10"/>
        <v>0</v>
      </c>
      <c r="AV15" s="654">
        <f t="shared" si="10"/>
        <v>0</v>
      </c>
      <c r="AW15" s="654">
        <f t="shared" si="10"/>
        <v>2660000</v>
      </c>
      <c r="AX15" s="660">
        <f t="shared" si="10"/>
        <v>2660000</v>
      </c>
      <c r="AY15" s="654">
        <f t="shared" si="10"/>
        <v>0</v>
      </c>
      <c r="AZ15" s="654">
        <f t="shared" si="10"/>
        <v>0</v>
      </c>
      <c r="BA15" s="654">
        <f t="shared" si="10"/>
        <v>0</v>
      </c>
      <c r="BB15" s="654">
        <f t="shared" si="10"/>
        <v>0</v>
      </c>
      <c r="BC15" s="654">
        <f t="shared" si="10"/>
        <v>0</v>
      </c>
      <c r="BD15" s="654">
        <f t="shared" si="10"/>
        <v>0</v>
      </c>
      <c r="BE15" s="654">
        <f t="shared" si="10"/>
        <v>0</v>
      </c>
      <c r="BF15" s="654">
        <f t="shared" si="10"/>
        <v>0</v>
      </c>
      <c r="BG15" s="654">
        <f t="shared" si="10"/>
        <v>0</v>
      </c>
      <c r="BH15" s="654">
        <f t="shared" si="10"/>
        <v>0</v>
      </c>
      <c r="BI15" s="654">
        <f t="shared" si="10"/>
        <v>0</v>
      </c>
      <c r="BJ15" s="654">
        <f t="shared" si="10"/>
        <v>0</v>
      </c>
      <c r="BK15" s="676">
        <f t="shared" si="10"/>
        <v>0</v>
      </c>
      <c r="BL15" s="754">
        <f t="shared" si="10"/>
        <v>0</v>
      </c>
      <c r="BM15" s="654">
        <f t="shared" si="10"/>
        <v>0</v>
      </c>
      <c r="BN15" s="654">
        <f t="shared" si="10"/>
        <v>0</v>
      </c>
      <c r="BO15" s="654">
        <f t="shared" si="10"/>
        <v>0</v>
      </c>
      <c r="BP15" s="654">
        <f t="shared" si="10"/>
        <v>0</v>
      </c>
      <c r="BQ15" s="654">
        <f t="shared" si="10"/>
        <v>0</v>
      </c>
      <c r="BR15" s="654">
        <f t="shared" si="10"/>
        <v>0</v>
      </c>
      <c r="BS15" s="654">
        <f t="shared" si="10"/>
        <v>0</v>
      </c>
      <c r="BT15" s="654">
        <f t="shared" si="10"/>
        <v>0</v>
      </c>
      <c r="BU15" s="654">
        <f t="shared" si="10"/>
        <v>0</v>
      </c>
      <c r="BV15" s="654">
        <f t="shared" si="10"/>
        <v>0</v>
      </c>
      <c r="BW15" s="654">
        <f t="shared" si="10"/>
        <v>0</v>
      </c>
      <c r="BX15" s="676">
        <f t="shared" si="10"/>
        <v>0</v>
      </c>
      <c r="BY15" s="676">
        <f t="shared" si="10"/>
        <v>14710000</v>
      </c>
    </row>
    <row r="16" spans="1:77" s="7" customFormat="1" ht="23.25" customHeight="1">
      <c r="I16" s="398" t="s">
        <v>1987</v>
      </c>
      <c r="J16" s="398"/>
      <c r="K16" s="680">
        <f t="shared" ref="K16:AP16" si="11">SUMIF($A5:$A11,$I$16,K5:K11)</f>
        <v>0</v>
      </c>
      <c r="L16" s="680">
        <f t="shared" si="11"/>
        <v>0</v>
      </c>
      <c r="M16" s="680">
        <f t="shared" si="11"/>
        <v>0</v>
      </c>
      <c r="N16" s="680">
        <f t="shared" si="11"/>
        <v>0</v>
      </c>
      <c r="O16" s="680">
        <f t="shared" si="11"/>
        <v>0</v>
      </c>
      <c r="P16" s="680">
        <f t="shared" si="11"/>
        <v>0</v>
      </c>
      <c r="Q16" s="680">
        <f t="shared" si="11"/>
        <v>0</v>
      </c>
      <c r="R16" s="680">
        <f t="shared" si="11"/>
        <v>0</v>
      </c>
      <c r="S16" s="680">
        <f t="shared" si="11"/>
        <v>0</v>
      </c>
      <c r="T16" s="680">
        <f t="shared" si="11"/>
        <v>0</v>
      </c>
      <c r="U16" s="680">
        <f t="shared" si="11"/>
        <v>0</v>
      </c>
      <c r="V16" s="680">
        <f t="shared" si="11"/>
        <v>0</v>
      </c>
      <c r="W16" s="680">
        <f t="shared" si="11"/>
        <v>0</v>
      </c>
      <c r="X16" s="680">
        <f t="shared" si="11"/>
        <v>0</v>
      </c>
      <c r="Y16" s="680">
        <f t="shared" si="11"/>
        <v>0</v>
      </c>
      <c r="Z16" s="680">
        <f t="shared" si="11"/>
        <v>0</v>
      </c>
      <c r="AA16" s="680">
        <f t="shared" si="11"/>
        <v>0</v>
      </c>
      <c r="AB16" s="680">
        <f t="shared" si="11"/>
        <v>0</v>
      </c>
      <c r="AC16" s="680">
        <f t="shared" si="11"/>
        <v>0</v>
      </c>
      <c r="AD16" s="680">
        <f t="shared" si="11"/>
        <v>0</v>
      </c>
      <c r="AE16" s="680">
        <f t="shared" si="11"/>
        <v>0</v>
      </c>
      <c r="AF16" s="680">
        <f t="shared" si="11"/>
        <v>0</v>
      </c>
      <c r="AG16" s="680">
        <f t="shared" si="11"/>
        <v>0</v>
      </c>
      <c r="AH16" s="680">
        <f t="shared" si="11"/>
        <v>0</v>
      </c>
      <c r="AI16" s="680">
        <f t="shared" si="11"/>
        <v>0</v>
      </c>
      <c r="AJ16" s="680">
        <f t="shared" si="11"/>
        <v>0</v>
      </c>
      <c r="AK16" s="680">
        <f t="shared" si="11"/>
        <v>0</v>
      </c>
      <c r="AL16" s="680">
        <f t="shared" si="11"/>
        <v>0</v>
      </c>
      <c r="AM16" s="680">
        <f t="shared" si="11"/>
        <v>0</v>
      </c>
      <c r="AN16" s="680">
        <f t="shared" si="11"/>
        <v>0</v>
      </c>
      <c r="AO16" s="680">
        <f t="shared" si="11"/>
        <v>0</v>
      </c>
      <c r="AP16" s="680">
        <f t="shared" si="11"/>
        <v>0</v>
      </c>
      <c r="AQ16" s="680">
        <f t="shared" ref="AQ16:BY16" si="12">SUMIF($A5:$A11,$I$16,AQ5:AQ11)</f>
        <v>0</v>
      </c>
      <c r="AR16" s="680">
        <f t="shared" si="12"/>
        <v>0</v>
      </c>
      <c r="AS16" s="680">
        <f t="shared" si="12"/>
        <v>0</v>
      </c>
      <c r="AT16" s="680">
        <f t="shared" si="12"/>
        <v>0</v>
      </c>
      <c r="AU16" s="680">
        <f t="shared" si="12"/>
        <v>0</v>
      </c>
      <c r="AV16" s="680">
        <f t="shared" si="12"/>
        <v>0</v>
      </c>
      <c r="AW16" s="680">
        <f t="shared" si="12"/>
        <v>0</v>
      </c>
      <c r="AX16" s="680">
        <f t="shared" si="12"/>
        <v>0</v>
      </c>
      <c r="AY16" s="680">
        <f t="shared" si="12"/>
        <v>0</v>
      </c>
      <c r="AZ16" s="680">
        <f t="shared" si="12"/>
        <v>0</v>
      </c>
      <c r="BA16" s="680">
        <f t="shared" si="12"/>
        <v>0</v>
      </c>
      <c r="BB16" s="680">
        <f t="shared" si="12"/>
        <v>0</v>
      </c>
      <c r="BC16" s="680">
        <f t="shared" si="12"/>
        <v>0</v>
      </c>
      <c r="BD16" s="680">
        <f t="shared" si="12"/>
        <v>0</v>
      </c>
      <c r="BE16" s="680">
        <f t="shared" si="12"/>
        <v>0</v>
      </c>
      <c r="BF16" s="680">
        <f t="shared" si="12"/>
        <v>0</v>
      </c>
      <c r="BG16" s="680">
        <f t="shared" si="12"/>
        <v>0</v>
      </c>
      <c r="BH16" s="680">
        <f t="shared" si="12"/>
        <v>0</v>
      </c>
      <c r="BI16" s="680">
        <f t="shared" si="12"/>
        <v>0</v>
      </c>
      <c r="BJ16" s="680">
        <f t="shared" si="12"/>
        <v>0</v>
      </c>
      <c r="BK16" s="680">
        <f t="shared" si="12"/>
        <v>0</v>
      </c>
      <c r="BL16" s="680">
        <f t="shared" si="12"/>
        <v>0</v>
      </c>
      <c r="BM16" s="680">
        <f t="shared" si="12"/>
        <v>0</v>
      </c>
      <c r="BN16" s="680">
        <f t="shared" si="12"/>
        <v>0</v>
      </c>
      <c r="BO16" s="680">
        <f t="shared" si="12"/>
        <v>0</v>
      </c>
      <c r="BP16" s="680">
        <f t="shared" si="12"/>
        <v>0</v>
      </c>
      <c r="BQ16" s="680">
        <f t="shared" si="12"/>
        <v>0</v>
      </c>
      <c r="BR16" s="680">
        <f t="shared" si="12"/>
        <v>0</v>
      </c>
      <c r="BS16" s="680">
        <f t="shared" si="12"/>
        <v>0</v>
      </c>
      <c r="BT16" s="680">
        <f t="shared" si="12"/>
        <v>0</v>
      </c>
      <c r="BU16" s="680">
        <f t="shared" si="12"/>
        <v>0</v>
      </c>
      <c r="BV16" s="680">
        <f t="shared" si="12"/>
        <v>0</v>
      </c>
      <c r="BW16" s="680">
        <f t="shared" si="12"/>
        <v>0</v>
      </c>
      <c r="BX16" s="680">
        <f t="shared" si="12"/>
        <v>0</v>
      </c>
      <c r="BY16" s="680">
        <f t="shared" si="12"/>
        <v>0</v>
      </c>
    </row>
    <row r="17" spans="2:77" s="7" customFormat="1" ht="23.25" customHeight="1">
      <c r="I17" s="398" t="s">
        <v>1988</v>
      </c>
      <c r="J17" s="398"/>
      <c r="K17" s="680">
        <f t="shared" ref="K17:AP17" si="13">SUMIF($A5:$A11,$I$17,K5:K11)</f>
        <v>0</v>
      </c>
      <c r="L17" s="680">
        <f t="shared" si="13"/>
        <v>0</v>
      </c>
      <c r="M17" s="680">
        <f t="shared" si="13"/>
        <v>0</v>
      </c>
      <c r="N17" s="680">
        <f t="shared" si="13"/>
        <v>0</v>
      </c>
      <c r="O17" s="680">
        <f t="shared" si="13"/>
        <v>0</v>
      </c>
      <c r="P17" s="680">
        <f t="shared" si="13"/>
        <v>0</v>
      </c>
      <c r="Q17" s="680">
        <f t="shared" si="13"/>
        <v>0</v>
      </c>
      <c r="R17" s="680">
        <f t="shared" si="13"/>
        <v>0</v>
      </c>
      <c r="S17" s="680">
        <f t="shared" si="13"/>
        <v>0</v>
      </c>
      <c r="T17" s="680">
        <f t="shared" si="13"/>
        <v>0</v>
      </c>
      <c r="U17" s="680">
        <f t="shared" si="13"/>
        <v>0</v>
      </c>
      <c r="V17" s="680">
        <f t="shared" si="13"/>
        <v>0</v>
      </c>
      <c r="W17" s="680">
        <f t="shared" si="13"/>
        <v>0</v>
      </c>
      <c r="X17" s="680">
        <f t="shared" si="13"/>
        <v>0</v>
      </c>
      <c r="Y17" s="680">
        <f t="shared" si="13"/>
        <v>0</v>
      </c>
      <c r="Z17" s="680">
        <f t="shared" si="13"/>
        <v>0</v>
      </c>
      <c r="AA17" s="680">
        <f t="shared" si="13"/>
        <v>0</v>
      </c>
      <c r="AB17" s="680">
        <f t="shared" si="13"/>
        <v>0</v>
      </c>
      <c r="AC17" s="680">
        <f t="shared" si="13"/>
        <v>0</v>
      </c>
      <c r="AD17" s="680">
        <f t="shared" si="13"/>
        <v>0</v>
      </c>
      <c r="AE17" s="680">
        <f t="shared" si="13"/>
        <v>0</v>
      </c>
      <c r="AF17" s="680">
        <f t="shared" si="13"/>
        <v>0</v>
      </c>
      <c r="AG17" s="680">
        <f t="shared" si="13"/>
        <v>0</v>
      </c>
      <c r="AH17" s="680">
        <f t="shared" si="13"/>
        <v>0</v>
      </c>
      <c r="AI17" s="680">
        <f t="shared" si="13"/>
        <v>0</v>
      </c>
      <c r="AJ17" s="680">
        <f t="shared" si="13"/>
        <v>12050000</v>
      </c>
      <c r="AK17" s="680">
        <f t="shared" si="13"/>
        <v>12050000</v>
      </c>
      <c r="AL17" s="680">
        <f t="shared" si="13"/>
        <v>0</v>
      </c>
      <c r="AM17" s="680">
        <f t="shared" si="13"/>
        <v>0</v>
      </c>
      <c r="AN17" s="680">
        <f t="shared" si="13"/>
        <v>0</v>
      </c>
      <c r="AO17" s="680">
        <f t="shared" si="13"/>
        <v>0</v>
      </c>
      <c r="AP17" s="680">
        <f t="shared" si="13"/>
        <v>0</v>
      </c>
      <c r="AQ17" s="680">
        <f t="shared" ref="AQ17:BY17" si="14">SUMIF($A5:$A11,$I$17,AQ5:AQ11)</f>
        <v>0</v>
      </c>
      <c r="AR17" s="680">
        <f t="shared" si="14"/>
        <v>0</v>
      </c>
      <c r="AS17" s="680">
        <f t="shared" si="14"/>
        <v>0</v>
      </c>
      <c r="AT17" s="680">
        <f t="shared" si="14"/>
        <v>0</v>
      </c>
      <c r="AU17" s="680">
        <f t="shared" si="14"/>
        <v>0</v>
      </c>
      <c r="AV17" s="680">
        <f t="shared" si="14"/>
        <v>0</v>
      </c>
      <c r="AW17" s="680">
        <f t="shared" si="14"/>
        <v>2660000</v>
      </c>
      <c r="AX17" s="680">
        <f t="shared" si="14"/>
        <v>2660000</v>
      </c>
      <c r="AY17" s="680">
        <f t="shared" si="14"/>
        <v>0</v>
      </c>
      <c r="AZ17" s="680">
        <f t="shared" si="14"/>
        <v>0</v>
      </c>
      <c r="BA17" s="680">
        <f t="shared" si="14"/>
        <v>0</v>
      </c>
      <c r="BB17" s="680">
        <f t="shared" si="14"/>
        <v>0</v>
      </c>
      <c r="BC17" s="680">
        <f t="shared" si="14"/>
        <v>0</v>
      </c>
      <c r="BD17" s="680">
        <f t="shared" si="14"/>
        <v>0</v>
      </c>
      <c r="BE17" s="680">
        <f t="shared" si="14"/>
        <v>0</v>
      </c>
      <c r="BF17" s="680">
        <f t="shared" si="14"/>
        <v>0</v>
      </c>
      <c r="BG17" s="680">
        <f t="shared" si="14"/>
        <v>0</v>
      </c>
      <c r="BH17" s="680">
        <f t="shared" si="14"/>
        <v>0</v>
      </c>
      <c r="BI17" s="680">
        <f t="shared" si="14"/>
        <v>0</v>
      </c>
      <c r="BJ17" s="680">
        <f t="shared" si="14"/>
        <v>0</v>
      </c>
      <c r="BK17" s="680">
        <f t="shared" si="14"/>
        <v>0</v>
      </c>
      <c r="BL17" s="680">
        <f t="shared" si="14"/>
        <v>0</v>
      </c>
      <c r="BM17" s="680">
        <f t="shared" si="14"/>
        <v>0</v>
      </c>
      <c r="BN17" s="680">
        <f t="shared" si="14"/>
        <v>0</v>
      </c>
      <c r="BO17" s="680">
        <f t="shared" si="14"/>
        <v>0</v>
      </c>
      <c r="BP17" s="680">
        <f t="shared" si="14"/>
        <v>0</v>
      </c>
      <c r="BQ17" s="680">
        <f t="shared" si="14"/>
        <v>0</v>
      </c>
      <c r="BR17" s="680">
        <f t="shared" si="14"/>
        <v>0</v>
      </c>
      <c r="BS17" s="680">
        <f t="shared" si="14"/>
        <v>0</v>
      </c>
      <c r="BT17" s="680">
        <f t="shared" si="14"/>
        <v>0</v>
      </c>
      <c r="BU17" s="680">
        <f t="shared" si="14"/>
        <v>0</v>
      </c>
      <c r="BV17" s="680">
        <f t="shared" si="14"/>
        <v>0</v>
      </c>
      <c r="BW17" s="680">
        <f t="shared" si="14"/>
        <v>0</v>
      </c>
      <c r="BX17" s="680">
        <f t="shared" si="14"/>
        <v>0</v>
      </c>
      <c r="BY17" s="680">
        <f t="shared" si="14"/>
        <v>14710000</v>
      </c>
    </row>
    <row r="18" spans="2:77" s="7" customFormat="1" ht="19.5" customHeight="1">
      <c r="I18" s="2"/>
      <c r="J18" s="2"/>
    </row>
    <row r="19" spans="2:77" s="9" customFormat="1" ht="20.25" customHeight="1">
      <c r="H19" s="7"/>
      <c r="I19" s="672"/>
      <c r="J19" s="672"/>
    </row>
    <row r="20" spans="2:77" s="9" customFormat="1" ht="20.25" customHeight="1">
      <c r="H20" s="7"/>
      <c r="I20" s="677"/>
      <c r="J20" s="677"/>
    </row>
    <row r="21" spans="2:77" s="9" customFormat="1" ht="20.25" customHeight="1">
      <c r="H21" s="7"/>
      <c r="I21" s="672"/>
      <c r="J21" s="672"/>
    </row>
    <row r="22" spans="2:77" s="9" customFormat="1" ht="20.25" customHeight="1">
      <c r="H22" s="2"/>
      <c r="I22" s="672"/>
      <c r="J22" s="672"/>
    </row>
    <row r="23" spans="2:77" s="7" customFormat="1" ht="19.5" customHeight="1">
      <c r="H23" s="2"/>
      <c r="I23" s="677"/>
      <c r="J23" s="677"/>
    </row>
    <row r="24" spans="2:77" s="7" customFormat="1" ht="23.25" customHeight="1">
      <c r="H24" s="2"/>
      <c r="I24" s="672"/>
      <c r="J24" s="672"/>
    </row>
    <row r="25" spans="2:77" s="9" customFormat="1" ht="17.25" customHeight="1"/>
    <row r="26" spans="2:77" s="7" customFormat="1" ht="18" customHeight="1"/>
    <row r="27" spans="2:77" s="7" customFormat="1" ht="19.5" customHeight="1"/>
    <row r="28" spans="2:77" s="12" customFormat="1" ht="20.25" customHeight="1"/>
    <row r="30" spans="2:77" ht="16.5" hidden="1" customHeight="1" thickBot="1"/>
    <row r="31" spans="2:77" ht="15.75" hidden="1" customHeight="1">
      <c r="B31" s="9"/>
    </row>
    <row r="32" spans="2:77" ht="15.75" hidden="1" customHeight="1">
      <c r="B32" s="9"/>
    </row>
    <row r="33" spans="2:2" ht="15.75" hidden="1" customHeight="1">
      <c r="B33" s="9"/>
    </row>
    <row r="34" spans="2:2" ht="15.75" customHeight="1">
      <c r="B34" s="9"/>
    </row>
    <row r="35" spans="2:2" ht="15.75" customHeight="1">
      <c r="B35" s="9"/>
    </row>
    <row r="36" spans="2:2" ht="15.75" customHeight="1">
      <c r="B36" s="9"/>
    </row>
    <row r="37" spans="2:2" ht="15.75" customHeight="1">
      <c r="B37" s="9"/>
    </row>
    <row r="38" spans="2:2" ht="15.75" customHeight="1">
      <c r="B38" s="9"/>
    </row>
    <row r="42" spans="2:2" s="320" customFormat="1"/>
    <row r="43" spans="2:2" s="7" customFormat="1" ht="23.25" customHeight="1"/>
    <row r="46" spans="2:2" s="7" customFormat="1" ht="19.5" customHeight="1"/>
    <row r="47" spans="2:2" s="7" customFormat="1" ht="23.25" customHeight="1"/>
    <row r="50" s="7" customFormat="1" ht="19.5" customHeight="1"/>
    <row r="51" s="7" customFormat="1" ht="23.25" customHeight="1"/>
    <row r="54" s="7" customFormat="1" ht="19.5" customHeight="1"/>
    <row r="55" s="12" customFormat="1" ht="15"/>
    <row r="57" ht="15.75" hidden="1" customHeight="1"/>
    <row r="58" ht="15.75" hidden="1" customHeight="1"/>
    <row r="59" ht="15.75" hidden="1" customHeight="1"/>
    <row r="60" ht="15.75" hidden="1" customHeight="1"/>
  </sheetData>
  <autoFilter ref="B5:BY5" xr:uid="{00000000-0009-0000-0000-000007000000}"/>
  <dataConsolidate/>
  <mergeCells count="5">
    <mergeCell ref="L4:X4"/>
    <mergeCell ref="Y4:AK4"/>
    <mergeCell ref="AL4:AX4"/>
    <mergeCell ref="AY4:BK4"/>
    <mergeCell ref="BL4:BX4"/>
  </mergeCells>
  <dataValidations count="3">
    <dataValidation type="list" allowBlank="1" showInputMessage="1" showErrorMessage="1" sqref="C6:C14" xr:uid="{00000000-0002-0000-0700-000000000000}">
      <formula1>"НН-ОЦО,ПРОЧВНЕШ,ЗАРУБЕЖ"</formula1>
    </dataValidation>
    <dataValidation type="list" allowBlank="1" showInputMessage="1" showErrorMessage="1" sqref="I6:I14" xr:uid="{00000000-0002-0000-0700-000001000000}">
      <mc:AlternateContent xmlns:x12ac="http://schemas.microsoft.com/office/spreadsheetml/2011/1/ac" xmlns:mc="http://schemas.openxmlformats.org/markup-compatibility/2006">
        <mc:Choice Requires="x12ac">
          <x12ac:list>1,"1,18","1,1"</x12ac:list>
        </mc:Choice>
        <mc:Fallback>
          <formula1>"1,1,18,1,1"</formula1>
        </mc:Fallback>
      </mc:AlternateContent>
    </dataValidation>
    <dataValidation type="list" allowBlank="1" showInputMessage="1" showErrorMessage="1" sqref="J6:J14" xr:uid="{00000000-0002-0000-0700-000002000000}">
      <formula1>"ДИТ,ГО не ДИТ,КГМК,ЗФ,Чита"</formula1>
    </dataValidation>
  </dataValidations>
  <pageMargins left="0.7" right="0.7" top="0.75" bottom="0.75" header="0.3" footer="0.3"/>
  <pageSetup paperSize="8" scale="21" orientation="landscape" r:id="rId1"/>
  <drawing r:id="rId2"/>
  <legacyDrawing r:id="rId3"/>
  <controls>
    <mc:AlternateContent xmlns:mc="http://schemas.openxmlformats.org/markup-compatibility/2006">
      <mc:Choice Requires="x14">
        <control shapeId="71682" r:id="rId4" name="CommandButton1">
          <controlPr autoLine="0" autoPict="0" r:id="rId5">
            <anchor moveWithCells="1">
              <from>
                <xdr:col>1</xdr:col>
                <xdr:colOff>0</xdr:colOff>
                <xdr:row>0</xdr:row>
                <xdr:rowOff>19050</xdr:rowOff>
              </from>
              <to>
                <xdr:col>2</xdr:col>
                <xdr:colOff>9525</xdr:colOff>
                <xdr:row>1</xdr:row>
                <xdr:rowOff>180975</xdr:rowOff>
              </to>
            </anchor>
          </controlPr>
        </control>
      </mc:Choice>
      <mc:Fallback>
        <control shapeId="71682" r:id="rId4" name="CommandButton1"/>
      </mc:Fallback>
    </mc:AlternateContent>
    <mc:AlternateContent xmlns:mc="http://schemas.openxmlformats.org/markup-compatibility/2006">
      <mc:Choice Requires="x14">
        <control shapeId="71683" r:id="rId6" name="CommandButton2">
          <controlPr autoLine="0" autoPict="0" r:id="rId7">
            <anchor moveWithCells="1">
              <from>
                <xdr:col>3</xdr:col>
                <xdr:colOff>0</xdr:colOff>
                <xdr:row>0</xdr:row>
                <xdr:rowOff>28575</xdr:rowOff>
              </from>
              <to>
                <xdr:col>4</xdr:col>
                <xdr:colOff>9525</xdr:colOff>
                <xdr:row>1</xdr:row>
                <xdr:rowOff>180975</xdr:rowOff>
              </to>
            </anchor>
          </controlPr>
        </control>
      </mc:Choice>
      <mc:Fallback>
        <control shapeId="71683" r:id="rId6" name="CommandButton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OFFSET(СДЗ!$A$2,,,COUNTA(СДЗ!$A:$A))</xm:f>
          </x14:formula1>
          <xm:sqref>B6:B14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20">
    <pageSetUpPr fitToPage="1"/>
  </sheetPr>
  <dimension ref="A1:R40"/>
  <sheetViews>
    <sheetView workbookViewId="0">
      <selection activeCell="H31" sqref="H31"/>
    </sheetView>
  </sheetViews>
  <sheetFormatPr defaultRowHeight="12.75"/>
  <cols>
    <col min="1" max="1" width="29" style="8" customWidth="1"/>
    <col min="2" max="2" width="18.28515625" customWidth="1"/>
    <col min="3" max="4" width="11.7109375" customWidth="1"/>
    <col min="5" max="5" width="11" customWidth="1"/>
    <col min="6" max="6" width="10.42578125" customWidth="1"/>
    <col min="7" max="7" width="12.5703125" customWidth="1"/>
    <col min="8" max="8" width="13.140625" customWidth="1"/>
    <col min="9" max="9" width="16" customWidth="1"/>
    <col min="10" max="15" width="13.140625" customWidth="1"/>
    <col min="16" max="16" width="19.140625" customWidth="1"/>
    <col min="18" max="18" width="11.7109375" style="508" bestFit="1" customWidth="1"/>
  </cols>
  <sheetData>
    <row r="1" spans="1:18" s="8" customFormat="1" ht="24" customHeight="1">
      <c r="A1" s="446" t="s">
        <v>1836</v>
      </c>
      <c r="R1" s="508"/>
    </row>
    <row r="2" spans="1:18" s="8" customFormat="1" ht="21" customHeight="1" thickBot="1">
      <c r="A2" s="446"/>
      <c r="R2" s="508"/>
    </row>
    <row r="3" spans="1:18" s="8" customFormat="1" ht="15.75" thickBot="1">
      <c r="B3" s="447" t="s">
        <v>1736</v>
      </c>
      <c r="C3" s="1114" t="s">
        <v>1801</v>
      </c>
      <c r="D3" s="1115"/>
      <c r="E3" s="1115"/>
      <c r="F3" s="1115"/>
      <c r="G3" s="1115"/>
      <c r="H3" s="1115"/>
      <c r="I3" s="1116"/>
      <c r="J3" s="1114" t="s">
        <v>1802</v>
      </c>
      <c r="K3" s="1115"/>
      <c r="L3" s="1115"/>
      <c r="M3" s="1115"/>
      <c r="N3" s="1115"/>
      <c r="O3" s="1115"/>
      <c r="P3" s="1116"/>
      <c r="R3" s="508"/>
    </row>
    <row r="4" spans="1:18" s="456" customFormat="1" ht="12" thickBot="1">
      <c r="B4" s="965" t="s">
        <v>74</v>
      </c>
      <c r="C4" s="973" t="s">
        <v>1787</v>
      </c>
      <c r="D4" s="967" t="s">
        <v>1788</v>
      </c>
      <c r="E4" s="967" t="s">
        <v>1789</v>
      </c>
      <c r="F4" s="967" t="s">
        <v>1790</v>
      </c>
      <c r="G4" s="967" t="s">
        <v>1791</v>
      </c>
      <c r="H4" s="967" t="s">
        <v>1792</v>
      </c>
      <c r="I4" s="989" t="s">
        <v>1529</v>
      </c>
      <c r="J4" s="967" t="s">
        <v>1793</v>
      </c>
      <c r="K4" s="967" t="s">
        <v>1794</v>
      </c>
      <c r="L4" s="967" t="s">
        <v>1795</v>
      </c>
      <c r="M4" s="967" t="s">
        <v>1796</v>
      </c>
      <c r="N4" s="967" t="s">
        <v>1797</v>
      </c>
      <c r="O4" s="967" t="s">
        <v>1798</v>
      </c>
      <c r="P4" s="989" t="s">
        <v>1530</v>
      </c>
      <c r="R4" s="508"/>
    </row>
    <row r="5" spans="1:18" s="456" customFormat="1" ht="11.25">
      <c r="B5" s="969" t="s">
        <v>107</v>
      </c>
      <c r="C5" s="970">
        <v>0</v>
      </c>
      <c r="D5" s="971">
        <v>0</v>
      </c>
      <c r="E5" s="971">
        <v>19769970</v>
      </c>
      <c r="F5" s="971">
        <v>14276660</v>
      </c>
      <c r="G5" s="971">
        <v>0</v>
      </c>
      <c r="H5" s="971">
        <v>31860</v>
      </c>
      <c r="I5" s="994">
        <v>34078490</v>
      </c>
      <c r="J5" s="971">
        <v>0</v>
      </c>
      <c r="K5" s="971">
        <v>0</v>
      </c>
      <c r="L5" s="971">
        <v>23328564.599999998</v>
      </c>
      <c r="M5" s="971">
        <v>16846458.800000001</v>
      </c>
      <c r="N5" s="971">
        <v>0</v>
      </c>
      <c r="O5" s="971">
        <v>37594.799999999996</v>
      </c>
      <c r="P5" s="994">
        <v>40212618.199999996</v>
      </c>
      <c r="R5" s="508"/>
    </row>
    <row r="6" spans="1:18" s="456" customFormat="1" ht="12" thickBot="1">
      <c r="B6" s="966" t="s">
        <v>106</v>
      </c>
      <c r="C6" s="970">
        <v>0</v>
      </c>
      <c r="D6" s="971">
        <v>0</v>
      </c>
      <c r="E6" s="971">
        <v>2628360</v>
      </c>
      <c r="F6" s="971">
        <v>9669980</v>
      </c>
      <c r="G6" s="971">
        <v>0</v>
      </c>
      <c r="H6" s="971">
        <v>0</v>
      </c>
      <c r="I6" s="994">
        <v>12298340</v>
      </c>
      <c r="J6" s="971">
        <v>0</v>
      </c>
      <c r="K6" s="971">
        <v>0</v>
      </c>
      <c r="L6" s="971">
        <v>3101464.8</v>
      </c>
      <c r="M6" s="971">
        <v>11410576.399999999</v>
      </c>
      <c r="N6" s="971">
        <v>0</v>
      </c>
      <c r="O6" s="971">
        <v>0</v>
      </c>
      <c r="P6" s="994">
        <v>14512041.199999999</v>
      </c>
      <c r="R6" s="508"/>
    </row>
    <row r="7" spans="1:18" s="13" customFormat="1" ht="13.5" thickBot="1">
      <c r="B7" s="974" t="s">
        <v>1525</v>
      </c>
      <c r="C7" s="975">
        <v>0</v>
      </c>
      <c r="D7" s="976">
        <v>0</v>
      </c>
      <c r="E7" s="976">
        <v>22398330</v>
      </c>
      <c r="F7" s="976">
        <v>23946640</v>
      </c>
      <c r="G7" s="976">
        <v>0</v>
      </c>
      <c r="H7" s="976">
        <v>31860</v>
      </c>
      <c r="I7" s="995">
        <v>46376830</v>
      </c>
      <c r="J7" s="976">
        <v>0</v>
      </c>
      <c r="K7" s="976">
        <v>0</v>
      </c>
      <c r="L7" s="976">
        <v>26430029.399999999</v>
      </c>
      <c r="M7" s="976">
        <v>28257035.199999999</v>
      </c>
      <c r="N7" s="976">
        <v>0</v>
      </c>
      <c r="O7" s="976">
        <v>37594.799999999996</v>
      </c>
      <c r="P7" s="995">
        <v>54724659.399999999</v>
      </c>
      <c r="R7" s="508"/>
    </row>
    <row r="9" spans="1:18" s="8" customFormat="1">
      <c r="R9" s="508"/>
    </row>
    <row r="10" spans="1:18" s="8" customFormat="1" ht="13.5" thickBot="1">
      <c r="R10" s="508"/>
    </row>
    <row r="11" spans="1:18" s="8" customFormat="1" ht="15.75" thickBot="1">
      <c r="B11" s="447" t="s">
        <v>1693</v>
      </c>
      <c r="C11" s="1115" t="s">
        <v>1799</v>
      </c>
      <c r="D11" s="1115"/>
      <c r="E11" s="1115"/>
      <c r="F11" s="1115"/>
      <c r="G11" s="1115"/>
      <c r="H11" s="1115"/>
      <c r="I11" s="1116"/>
      <c r="J11" s="1114" t="s">
        <v>1800</v>
      </c>
      <c r="K11" s="1115"/>
      <c r="L11" s="1115"/>
      <c r="M11" s="1115"/>
      <c r="N11" s="1115"/>
      <c r="O11" s="1115"/>
      <c r="P11" s="1116"/>
      <c r="R11" s="508"/>
    </row>
    <row r="12" spans="1:18" s="458" customFormat="1" ht="13.5" thickBot="1">
      <c r="B12" s="978" t="s">
        <v>1524</v>
      </c>
      <c r="C12" s="967" t="s">
        <v>1788</v>
      </c>
      <c r="D12" s="967" t="s">
        <v>1789</v>
      </c>
      <c r="E12" s="967" t="s">
        <v>1790</v>
      </c>
      <c r="F12" s="967" t="s">
        <v>1791</v>
      </c>
      <c r="G12" s="967" t="s">
        <v>1792</v>
      </c>
      <c r="H12" s="989" t="s">
        <v>1529</v>
      </c>
      <c r="I12" s="967" t="s">
        <v>1793</v>
      </c>
      <c r="J12" s="967" t="s">
        <v>1794</v>
      </c>
      <c r="K12" s="967" t="s">
        <v>1795</v>
      </c>
      <c r="L12" s="967" t="s">
        <v>1796</v>
      </c>
      <c r="M12" s="967" t="s">
        <v>1797</v>
      </c>
      <c r="N12" s="996" t="s">
        <v>1798</v>
      </c>
      <c r="O12" s="996" t="s">
        <v>1830</v>
      </c>
      <c r="P12"/>
      <c r="Q12"/>
      <c r="R12" s="509"/>
    </row>
    <row r="13" spans="1:18" s="457" customFormat="1" ht="13.5" thickBot="1">
      <c r="B13" s="998">
        <v>0</v>
      </c>
      <c r="C13" s="971">
        <v>0</v>
      </c>
      <c r="D13" s="971">
        <v>0</v>
      </c>
      <c r="E13" s="971">
        <v>0</v>
      </c>
      <c r="F13" s="971">
        <v>0</v>
      </c>
      <c r="G13" s="971">
        <v>0</v>
      </c>
      <c r="H13" s="994">
        <v>0</v>
      </c>
      <c r="I13" s="971" t="e">
        <v>#NAME?</v>
      </c>
      <c r="J13" s="971">
        <v>0</v>
      </c>
      <c r="K13" s="971">
        <v>0</v>
      </c>
      <c r="L13" s="971">
        <v>0</v>
      </c>
      <c r="M13" s="971">
        <v>0</v>
      </c>
      <c r="N13" s="972">
        <v>0</v>
      </c>
      <c r="O13" s="972">
        <v>0</v>
      </c>
      <c r="P13"/>
      <c r="Q13"/>
      <c r="R13" s="508"/>
    </row>
    <row r="14" spans="1:18" s="457" customFormat="1" ht="13.5" thickBot="1">
      <c r="B14" s="979" t="s">
        <v>1525</v>
      </c>
      <c r="C14" s="964">
        <v>0</v>
      </c>
      <c r="D14" s="964">
        <v>0</v>
      </c>
      <c r="E14" s="964">
        <v>0</v>
      </c>
      <c r="F14" s="964">
        <v>0</v>
      </c>
      <c r="G14" s="964">
        <v>0</v>
      </c>
      <c r="H14" s="984">
        <v>0</v>
      </c>
      <c r="I14" s="964" t="e">
        <v>#NAME?</v>
      </c>
      <c r="J14" s="964">
        <v>0</v>
      </c>
      <c r="K14" s="964">
        <v>0</v>
      </c>
      <c r="L14" s="964">
        <v>0</v>
      </c>
      <c r="M14" s="964">
        <v>0</v>
      </c>
      <c r="N14" s="997">
        <v>0</v>
      </c>
      <c r="O14" s="997">
        <v>0</v>
      </c>
      <c r="P14"/>
      <c r="Q14"/>
      <c r="R14" s="508"/>
    </row>
    <row r="15" spans="1:18" s="183" customFormat="1">
      <c r="B15"/>
      <c r="C15"/>
      <c r="D15"/>
      <c r="E15"/>
      <c r="F15"/>
      <c r="G15"/>
      <c r="H15"/>
      <c r="I15"/>
      <c r="J15"/>
      <c r="K15"/>
      <c r="L15"/>
      <c r="M15"/>
      <c r="N15"/>
      <c r="O15"/>
      <c r="P15"/>
      <c r="Q15"/>
      <c r="R15" s="508"/>
    </row>
    <row r="18" spans="1:16" ht="13.5" thickBot="1">
      <c r="A18"/>
    </row>
    <row r="19" spans="1:16" ht="15.75" thickBot="1">
      <c r="B19" s="447" t="s">
        <v>1738</v>
      </c>
      <c r="C19" s="1117" t="s">
        <v>1799</v>
      </c>
      <c r="D19" s="1117"/>
      <c r="E19" s="1117"/>
      <c r="F19" s="1117"/>
      <c r="G19" s="1117"/>
      <c r="H19" s="1117"/>
      <c r="I19" s="1118"/>
      <c r="J19" s="1114" t="s">
        <v>1800</v>
      </c>
      <c r="K19" s="1115"/>
      <c r="L19" s="1115"/>
      <c r="M19" s="1115"/>
      <c r="N19" s="1115"/>
      <c r="O19" s="1115"/>
      <c r="P19" s="1116"/>
    </row>
    <row r="20" spans="1:16" ht="13.5" thickBot="1">
      <c r="A20" s="953" t="s">
        <v>1727</v>
      </c>
      <c r="B20" s="985" t="s">
        <v>74</v>
      </c>
      <c r="C20" s="980" t="s">
        <v>1787</v>
      </c>
      <c r="D20" s="981" t="s">
        <v>1788</v>
      </c>
      <c r="E20" s="981" t="s">
        <v>1790</v>
      </c>
      <c r="F20" s="981" t="s">
        <v>1791</v>
      </c>
      <c r="G20" s="981" t="s">
        <v>1789</v>
      </c>
      <c r="H20" s="982" t="s">
        <v>1792</v>
      </c>
      <c r="I20" s="993" t="s">
        <v>1831</v>
      </c>
      <c r="J20" s="968" t="s">
        <v>1793</v>
      </c>
      <c r="K20" s="967" t="s">
        <v>1794</v>
      </c>
      <c r="L20" s="967" t="s">
        <v>1795</v>
      </c>
      <c r="M20" s="967" t="s">
        <v>1796</v>
      </c>
      <c r="N20" s="967" t="s">
        <v>1797</v>
      </c>
      <c r="O20" s="996" t="s">
        <v>1798</v>
      </c>
      <c r="P20" s="989" t="s">
        <v>1530</v>
      </c>
    </row>
    <row r="21" spans="1:16">
      <c r="A21" s="951" t="s">
        <v>1735</v>
      </c>
      <c r="B21" s="987" t="s">
        <v>107</v>
      </c>
      <c r="C21" s="990">
        <v>0</v>
      </c>
      <c r="D21" s="991">
        <v>0</v>
      </c>
      <c r="E21" s="991">
        <v>5338153.8600000003</v>
      </c>
      <c r="F21" s="991">
        <v>0</v>
      </c>
      <c r="G21" s="991">
        <v>13448000</v>
      </c>
      <c r="H21" s="992">
        <v>0</v>
      </c>
      <c r="I21" s="992">
        <v>18786153.859999992</v>
      </c>
      <c r="J21" s="971">
        <v>0</v>
      </c>
      <c r="K21" s="971">
        <v>0</v>
      </c>
      <c r="L21" s="971">
        <v>15868640</v>
      </c>
      <c r="M21" s="971">
        <v>6299021.5548</v>
      </c>
      <c r="N21" s="971">
        <v>0</v>
      </c>
      <c r="O21" s="972">
        <v>0</v>
      </c>
      <c r="P21" s="983" t="e">
        <v>#NAME?</v>
      </c>
    </row>
    <row r="22" spans="1:16" ht="13.5" thickBot="1">
      <c r="A22"/>
      <c r="B22" s="988" t="s">
        <v>106</v>
      </c>
      <c r="C22" s="970">
        <v>0</v>
      </c>
      <c r="D22" s="971">
        <v>0</v>
      </c>
      <c r="E22" s="971">
        <v>2407384.62</v>
      </c>
      <c r="F22" s="971">
        <v>0</v>
      </c>
      <c r="G22" s="971">
        <v>0</v>
      </c>
      <c r="H22" s="972">
        <v>0</v>
      </c>
      <c r="I22" s="972">
        <v>2407384.62</v>
      </c>
      <c r="J22" s="971">
        <v>0</v>
      </c>
      <c r="K22" s="971">
        <v>0</v>
      </c>
      <c r="L22" s="971">
        <v>0</v>
      </c>
      <c r="M22" s="971">
        <v>2840713.8516000002</v>
      </c>
      <c r="N22" s="971">
        <v>0</v>
      </c>
      <c r="O22" s="972">
        <v>0</v>
      </c>
      <c r="P22" s="983" t="e">
        <v>#NAME?</v>
      </c>
    </row>
    <row r="23" spans="1:16" ht="13.5" thickBot="1">
      <c r="A23" s="955" t="s">
        <v>1737</v>
      </c>
      <c r="B23" s="986"/>
      <c r="C23" s="970">
        <v>0</v>
      </c>
      <c r="D23" s="971">
        <v>0</v>
      </c>
      <c r="E23" s="971">
        <v>7745538.4800000004</v>
      </c>
      <c r="F23" s="971">
        <v>0</v>
      </c>
      <c r="G23" s="971">
        <v>13448000</v>
      </c>
      <c r="H23" s="972">
        <v>0</v>
      </c>
      <c r="I23" s="972">
        <v>21193538.479999993</v>
      </c>
      <c r="J23" s="971">
        <v>0</v>
      </c>
      <c r="K23" s="971">
        <v>0</v>
      </c>
      <c r="L23" s="971">
        <v>15868640</v>
      </c>
      <c r="M23" s="971">
        <v>9139735.4064000007</v>
      </c>
      <c r="N23" s="971">
        <v>0</v>
      </c>
      <c r="O23" s="972">
        <v>0</v>
      </c>
      <c r="P23" s="983" t="e">
        <v>#NAME?</v>
      </c>
    </row>
    <row r="24" spans="1:16" ht="13.5" thickBot="1">
      <c r="A24" s="955" t="s">
        <v>1525</v>
      </c>
      <c r="B24" s="986"/>
      <c r="C24" s="975">
        <v>0</v>
      </c>
      <c r="D24" s="976">
        <v>0</v>
      </c>
      <c r="E24" s="976">
        <v>7745538.4800000004</v>
      </c>
      <c r="F24" s="976">
        <v>0</v>
      </c>
      <c r="G24" s="976">
        <v>13448000</v>
      </c>
      <c r="H24" s="977">
        <v>0</v>
      </c>
      <c r="I24" s="977">
        <v>21193538.479999993</v>
      </c>
      <c r="J24" s="976">
        <v>0</v>
      </c>
      <c r="K24" s="976">
        <v>0</v>
      </c>
      <c r="L24" s="976">
        <v>15868640</v>
      </c>
      <c r="M24" s="976">
        <v>9139735.4064000007</v>
      </c>
      <c r="N24" s="976">
        <v>0</v>
      </c>
      <c r="O24" s="977">
        <v>0</v>
      </c>
      <c r="P24" s="995" t="e">
        <v>#NAME?</v>
      </c>
    </row>
    <row r="25" spans="1:16">
      <c r="A25"/>
    </row>
    <row r="26" spans="1:16" ht="13.5" thickBot="1">
      <c r="A26"/>
    </row>
    <row r="27" spans="1:16" ht="13.5" thickBot="1">
      <c r="A27"/>
    </row>
    <row r="28" spans="1:16" ht="28.5" customHeight="1">
      <c r="A28"/>
      <c r="B28" s="953" t="s">
        <v>1524</v>
      </c>
      <c r="C28" s="668" t="s">
        <v>1978</v>
      </c>
      <c r="D28" s="668" t="s">
        <v>1979</v>
      </c>
      <c r="E28" s="668" t="s">
        <v>1980</v>
      </c>
      <c r="F28" s="668" t="s">
        <v>1981</v>
      </c>
      <c r="G28" s="668" t="s">
        <v>1982</v>
      </c>
    </row>
    <row r="29" spans="1:16">
      <c r="A29"/>
      <c r="B29" s="952" t="s">
        <v>1984</v>
      </c>
      <c r="C29" s="954">
        <v>0</v>
      </c>
      <c r="D29" s="954">
        <v>350000</v>
      </c>
      <c r="E29" s="954">
        <v>0</v>
      </c>
      <c r="F29" s="954">
        <v>0</v>
      </c>
      <c r="G29" s="954">
        <v>0</v>
      </c>
    </row>
    <row r="30" spans="1:16">
      <c r="A30"/>
      <c r="B30" s="952" t="s">
        <v>1525</v>
      </c>
      <c r="C30" s="954">
        <v>0</v>
      </c>
      <c r="D30" s="954">
        <v>350000</v>
      </c>
      <c r="E30" s="954">
        <v>0</v>
      </c>
      <c r="F30" s="954">
        <v>0</v>
      </c>
      <c r="G30" s="954">
        <v>0</v>
      </c>
    </row>
    <row r="31" spans="1:16">
      <c r="A31"/>
    </row>
    <row r="32" spans="1:16">
      <c r="E32" s="8"/>
      <c r="F32" s="8"/>
      <c r="G32" s="8"/>
      <c r="H32" s="8"/>
      <c r="I32" s="8"/>
      <c r="J32" s="8"/>
      <c r="K32" s="8"/>
      <c r="L32" s="8"/>
      <c r="M32" s="8"/>
      <c r="N32" s="8"/>
      <c r="O32" s="8"/>
    </row>
    <row r="33" spans="1:18">
      <c r="E33" s="164"/>
      <c r="F33" s="164"/>
      <c r="G33" s="164"/>
      <c r="H33" s="183"/>
      <c r="I33" s="183"/>
      <c r="J33" s="183"/>
      <c r="K33" s="164"/>
      <c r="L33" s="164"/>
      <c r="M33" s="164"/>
      <c r="N33" s="164"/>
    </row>
    <row r="36" spans="1:18" s="8" customFormat="1">
      <c r="B36"/>
      <c r="C36"/>
      <c r="D36"/>
      <c r="E36" s="183"/>
      <c r="F36" s="183"/>
      <c r="G36" s="183"/>
      <c r="H36" s="183"/>
      <c r="R36" s="508"/>
    </row>
    <row r="37" spans="1:18" s="8" customFormat="1">
      <c r="B37"/>
      <c r="C37"/>
      <c r="D37"/>
      <c r="E37" s="183"/>
      <c r="F37" s="183"/>
      <c r="G37" s="183"/>
      <c r="H37" s="183"/>
      <c r="R37" s="508"/>
    </row>
    <row r="38" spans="1:18">
      <c r="A38"/>
    </row>
    <row r="39" spans="1:18">
      <c r="A39"/>
    </row>
    <row r="40" spans="1:18">
      <c r="A40"/>
    </row>
  </sheetData>
  <mergeCells count="6">
    <mergeCell ref="J11:P11"/>
    <mergeCell ref="C19:I19"/>
    <mergeCell ref="J19:P19"/>
    <mergeCell ref="C3:I3"/>
    <mergeCell ref="J3:P3"/>
    <mergeCell ref="C11:I11"/>
  </mergeCells>
  <pageMargins left="0.7" right="0.7" top="0.75" bottom="0.75" header="0.3" footer="0.3"/>
  <pageSetup paperSize="8" scale="77" fitToHeight="0" orientation="landscape"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12"/>
  <dimension ref="A1:C9"/>
  <sheetViews>
    <sheetView workbookViewId="0">
      <selection activeCell="F28" sqref="F28"/>
    </sheetView>
  </sheetViews>
  <sheetFormatPr defaultRowHeight="12.75"/>
  <cols>
    <col min="1" max="1" width="34.42578125" customWidth="1"/>
    <col min="2" max="2" width="22" customWidth="1"/>
    <col min="3" max="3" width="11.7109375" bestFit="1" customWidth="1"/>
    <col min="4" max="8" width="11.7109375" customWidth="1"/>
    <col min="9" max="10" width="12.7109375" customWidth="1"/>
    <col min="11" max="11" width="12.7109375" bestFit="1" customWidth="1"/>
  </cols>
  <sheetData>
    <row r="1" spans="1:3" s="8" customFormat="1"/>
    <row r="2" spans="1:3" ht="20.25">
      <c r="A2" s="446" t="s">
        <v>1839</v>
      </c>
    </row>
    <row r="4" spans="1:3">
      <c r="A4" s="953" t="s">
        <v>1835</v>
      </c>
      <c r="B4" s="953" t="s">
        <v>1834</v>
      </c>
    </row>
    <row r="5" spans="1:3">
      <c r="A5" s="953" t="s">
        <v>1524</v>
      </c>
      <c r="B5" s="951" t="s">
        <v>1448</v>
      </c>
      <c r="C5" s="951" t="s">
        <v>1525</v>
      </c>
    </row>
    <row r="6" spans="1:3">
      <c r="A6" s="952" t="s">
        <v>1735</v>
      </c>
      <c r="B6" s="999">
        <v>0</v>
      </c>
      <c r="C6" s="999">
        <v>0</v>
      </c>
    </row>
    <row r="7" spans="1:3">
      <c r="A7" s="963" t="s">
        <v>107</v>
      </c>
      <c r="B7" s="999">
        <v>0</v>
      </c>
      <c r="C7" s="999">
        <v>0</v>
      </c>
    </row>
    <row r="8" spans="1:3">
      <c r="A8" s="963" t="s">
        <v>106</v>
      </c>
      <c r="B8" s="999">
        <v>0</v>
      </c>
      <c r="C8" s="999">
        <v>0</v>
      </c>
    </row>
    <row r="9" spans="1:3">
      <c r="A9" s="952" t="s">
        <v>1525</v>
      </c>
      <c r="B9" s="999">
        <v>0</v>
      </c>
      <c r="C9" s="999">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10"/>
  <dimension ref="A1:U37"/>
  <sheetViews>
    <sheetView workbookViewId="0">
      <pane ySplit="1" topLeftCell="A2" activePane="bottomLeft" state="frozen"/>
      <selection pane="bottomLeft" activeCell="A2" sqref="A2:S20000"/>
    </sheetView>
  </sheetViews>
  <sheetFormatPr defaultRowHeight="12.75"/>
  <cols>
    <col min="2" max="2" width="18.28515625" customWidth="1"/>
    <col min="3" max="5" width="18.28515625" style="8" customWidth="1"/>
    <col min="19" max="19" width="11.5703125" style="183" bestFit="1" customWidth="1"/>
  </cols>
  <sheetData>
    <row r="1" spans="1:21" ht="44.25">
      <c r="A1" s="151" t="s">
        <v>1743</v>
      </c>
      <c r="B1" s="151" t="s">
        <v>1532</v>
      </c>
      <c r="C1" s="395" t="s">
        <v>74</v>
      </c>
      <c r="D1" s="395" t="s">
        <v>76</v>
      </c>
      <c r="E1" s="395" t="s">
        <v>1745</v>
      </c>
      <c r="F1" s="155">
        <v>42736</v>
      </c>
      <c r="G1" s="155">
        <v>42767</v>
      </c>
      <c r="H1" s="155">
        <v>42795</v>
      </c>
      <c r="I1" s="155">
        <v>42826</v>
      </c>
      <c r="J1" s="155">
        <v>42856</v>
      </c>
      <c r="K1" s="155">
        <v>42887</v>
      </c>
      <c r="L1" s="155">
        <v>42917</v>
      </c>
      <c r="M1" s="155">
        <v>42948</v>
      </c>
      <c r="N1" s="155">
        <v>42979</v>
      </c>
      <c r="O1" s="155">
        <v>43009</v>
      </c>
      <c r="P1" s="155">
        <v>43040</v>
      </c>
      <c r="Q1" s="155">
        <v>43070</v>
      </c>
      <c r="R1" s="395" t="s">
        <v>1746</v>
      </c>
      <c r="S1" s="459" t="s">
        <v>1747</v>
      </c>
      <c r="U1">
        <v>2018</v>
      </c>
    </row>
    <row r="2" spans="1:21" ht="13.5" customHeight="1">
      <c r="A2" t="s">
        <v>2018</v>
      </c>
      <c r="B2" t="s">
        <v>1576</v>
      </c>
      <c r="C2" s="8" t="s">
        <v>107</v>
      </c>
      <c r="D2" s="8" t="s">
        <v>61</v>
      </c>
      <c r="E2" s="8">
        <v>15930</v>
      </c>
      <c r="H2">
        <v>20</v>
      </c>
      <c r="I2">
        <v>21</v>
      </c>
      <c r="J2">
        <v>20</v>
      </c>
      <c r="K2">
        <v>20</v>
      </c>
      <c r="L2">
        <v>22</v>
      </c>
      <c r="M2">
        <v>23</v>
      </c>
      <c r="N2">
        <v>20</v>
      </c>
      <c r="O2">
        <v>23</v>
      </c>
      <c r="P2">
        <v>21</v>
      </c>
      <c r="Q2">
        <v>21</v>
      </c>
      <c r="R2">
        <v>2018</v>
      </c>
      <c r="S2" s="183">
        <v>3361230</v>
      </c>
    </row>
    <row r="3" spans="1:21">
      <c r="A3" t="s">
        <v>2018</v>
      </c>
      <c r="B3" t="s">
        <v>1753</v>
      </c>
      <c r="C3" s="8" t="s">
        <v>107</v>
      </c>
      <c r="D3" s="8" t="s">
        <v>60</v>
      </c>
      <c r="E3" s="8">
        <v>11900</v>
      </c>
      <c r="H3">
        <v>20</v>
      </c>
      <c r="I3">
        <v>21</v>
      </c>
      <c r="J3">
        <v>20</v>
      </c>
      <c r="K3">
        <v>20</v>
      </c>
      <c r="L3">
        <v>22</v>
      </c>
      <c r="M3">
        <v>23</v>
      </c>
      <c r="N3">
        <v>20</v>
      </c>
      <c r="O3">
        <v>23</v>
      </c>
      <c r="P3">
        <v>21</v>
      </c>
      <c r="Q3">
        <v>21</v>
      </c>
      <c r="R3">
        <v>2018</v>
      </c>
      <c r="S3" s="183">
        <v>2510900</v>
      </c>
    </row>
    <row r="4" spans="1:21">
      <c r="A4" t="s">
        <v>2018</v>
      </c>
      <c r="B4" t="s">
        <v>1578</v>
      </c>
      <c r="C4" s="8" t="s">
        <v>107</v>
      </c>
      <c r="D4" s="8" t="s">
        <v>1453</v>
      </c>
      <c r="E4" s="8">
        <v>21520</v>
      </c>
      <c r="F4">
        <v>0</v>
      </c>
      <c r="G4">
        <v>19</v>
      </c>
      <c r="H4">
        <v>35</v>
      </c>
      <c r="I4">
        <v>36</v>
      </c>
      <c r="J4">
        <v>30</v>
      </c>
      <c r="K4">
        <v>20</v>
      </c>
      <c r="L4">
        <v>0</v>
      </c>
      <c r="M4">
        <v>0</v>
      </c>
      <c r="N4">
        <v>0</v>
      </c>
      <c r="O4">
        <v>0</v>
      </c>
      <c r="P4">
        <v>0</v>
      </c>
      <c r="Q4">
        <v>0</v>
      </c>
      <c r="R4">
        <v>2018</v>
      </c>
      <c r="S4" s="183">
        <v>3012800</v>
      </c>
    </row>
    <row r="5" spans="1:21">
      <c r="A5" t="s">
        <v>2018</v>
      </c>
      <c r="B5" t="s">
        <v>1579</v>
      </c>
      <c r="C5" s="8" t="s">
        <v>107</v>
      </c>
      <c r="D5" s="8" t="s">
        <v>1453</v>
      </c>
      <c r="E5" s="8">
        <v>21520</v>
      </c>
      <c r="F5">
        <v>0</v>
      </c>
      <c r="G5">
        <v>0</v>
      </c>
      <c r="H5">
        <v>5</v>
      </c>
      <c r="I5">
        <v>6</v>
      </c>
      <c r="J5">
        <v>5</v>
      </c>
      <c r="K5">
        <v>10</v>
      </c>
      <c r="L5">
        <v>0</v>
      </c>
      <c r="M5">
        <v>0</v>
      </c>
      <c r="N5">
        <v>0</v>
      </c>
      <c r="O5">
        <v>0</v>
      </c>
      <c r="P5">
        <v>0</v>
      </c>
      <c r="Q5">
        <v>0</v>
      </c>
      <c r="R5">
        <v>2018</v>
      </c>
      <c r="S5" s="183">
        <v>559520</v>
      </c>
    </row>
    <row r="6" spans="1:21">
      <c r="A6" t="s">
        <v>2018</v>
      </c>
      <c r="B6" t="s">
        <v>1580</v>
      </c>
      <c r="C6" s="8" t="s">
        <v>107</v>
      </c>
      <c r="D6" s="8" t="s">
        <v>1453</v>
      </c>
      <c r="E6" s="8">
        <v>21520</v>
      </c>
      <c r="F6">
        <v>0</v>
      </c>
      <c r="G6">
        <v>0</v>
      </c>
      <c r="H6">
        <v>5</v>
      </c>
      <c r="I6">
        <v>5</v>
      </c>
      <c r="J6">
        <v>5</v>
      </c>
      <c r="K6">
        <v>10</v>
      </c>
      <c r="L6">
        <v>0</v>
      </c>
      <c r="M6">
        <v>0</v>
      </c>
      <c r="N6">
        <v>0</v>
      </c>
      <c r="O6">
        <v>0</v>
      </c>
      <c r="P6">
        <v>0</v>
      </c>
      <c r="Q6">
        <v>0</v>
      </c>
      <c r="R6">
        <v>2018</v>
      </c>
      <c r="S6" s="183">
        <v>538000</v>
      </c>
    </row>
    <row r="7" spans="1:21">
      <c r="A7" t="s">
        <v>2018</v>
      </c>
      <c r="B7" t="s">
        <v>1580</v>
      </c>
      <c r="C7" s="8" t="s">
        <v>107</v>
      </c>
      <c r="D7" s="8" t="s">
        <v>60</v>
      </c>
      <c r="E7" s="8">
        <v>11900</v>
      </c>
      <c r="J7">
        <v>10</v>
      </c>
      <c r="K7">
        <v>5</v>
      </c>
      <c r="O7">
        <v>2</v>
      </c>
      <c r="R7">
        <v>2018</v>
      </c>
      <c r="S7" s="183">
        <v>202300</v>
      </c>
    </row>
    <row r="8" spans="1:21">
      <c r="A8" t="s">
        <v>2018</v>
      </c>
      <c r="B8" t="s">
        <v>1580</v>
      </c>
      <c r="C8" s="8" t="s">
        <v>107</v>
      </c>
      <c r="D8" s="8" t="s">
        <v>61</v>
      </c>
      <c r="E8" s="8">
        <v>15930</v>
      </c>
      <c r="J8">
        <v>1</v>
      </c>
      <c r="O8">
        <v>1</v>
      </c>
      <c r="R8">
        <v>2018</v>
      </c>
      <c r="S8" s="183">
        <v>31860</v>
      </c>
    </row>
    <row r="9" spans="1:21">
      <c r="A9" t="s">
        <v>2018</v>
      </c>
      <c r="B9" t="s">
        <v>1582</v>
      </c>
      <c r="C9" s="8" t="s">
        <v>107</v>
      </c>
      <c r="D9" s="8" t="s">
        <v>1453</v>
      </c>
      <c r="E9" s="8">
        <v>21520</v>
      </c>
      <c r="K9">
        <v>5</v>
      </c>
      <c r="R9">
        <v>2018</v>
      </c>
      <c r="S9" s="183">
        <v>107600</v>
      </c>
    </row>
    <row r="10" spans="1:21">
      <c r="A10" t="s">
        <v>2018</v>
      </c>
      <c r="B10" t="s">
        <v>1583</v>
      </c>
      <c r="C10" s="8" t="s">
        <v>107</v>
      </c>
      <c r="D10" s="8" t="s">
        <v>61</v>
      </c>
      <c r="E10" s="8">
        <v>15930</v>
      </c>
      <c r="F10">
        <v>0</v>
      </c>
      <c r="G10">
        <v>0</v>
      </c>
      <c r="H10">
        <v>0</v>
      </c>
      <c r="I10">
        <v>0</v>
      </c>
      <c r="J10">
        <v>0</v>
      </c>
      <c r="K10">
        <v>0</v>
      </c>
      <c r="L10">
        <v>45</v>
      </c>
      <c r="M10">
        <v>21</v>
      </c>
      <c r="N10">
        <v>11</v>
      </c>
      <c r="O10">
        <v>8</v>
      </c>
      <c r="P10">
        <v>0</v>
      </c>
      <c r="Q10">
        <v>0</v>
      </c>
      <c r="R10">
        <v>2018</v>
      </c>
      <c r="S10" s="183">
        <v>1354050</v>
      </c>
    </row>
    <row r="11" spans="1:21">
      <c r="A11" t="s">
        <v>2018</v>
      </c>
      <c r="B11" t="s">
        <v>1583</v>
      </c>
      <c r="C11" s="8" t="s">
        <v>107</v>
      </c>
      <c r="D11" s="8" t="s">
        <v>1453</v>
      </c>
      <c r="E11" s="8">
        <v>21520</v>
      </c>
      <c r="L11">
        <v>5</v>
      </c>
      <c r="M11">
        <v>5</v>
      </c>
      <c r="N11">
        <v>5</v>
      </c>
      <c r="O11">
        <v>2</v>
      </c>
      <c r="R11">
        <v>2018</v>
      </c>
      <c r="S11" s="183">
        <v>365840</v>
      </c>
    </row>
    <row r="12" spans="1:21">
      <c r="A12" t="s">
        <v>2018</v>
      </c>
      <c r="B12" t="s">
        <v>1584</v>
      </c>
      <c r="C12" s="8" t="s">
        <v>107</v>
      </c>
      <c r="D12" s="8" t="s">
        <v>1453</v>
      </c>
      <c r="E12" s="8">
        <v>21520</v>
      </c>
      <c r="N12">
        <v>2</v>
      </c>
      <c r="O12">
        <v>3</v>
      </c>
      <c r="P12">
        <v>2</v>
      </c>
      <c r="R12">
        <v>2018</v>
      </c>
      <c r="S12" s="183">
        <v>150640</v>
      </c>
    </row>
    <row r="13" spans="1:21">
      <c r="A13" t="s">
        <v>2018</v>
      </c>
      <c r="B13" t="s">
        <v>1584</v>
      </c>
      <c r="C13" s="8" t="s">
        <v>107</v>
      </c>
      <c r="D13" s="8" t="s">
        <v>61</v>
      </c>
      <c r="E13" s="8">
        <v>15930</v>
      </c>
      <c r="F13">
        <v>0</v>
      </c>
      <c r="G13">
        <v>0</v>
      </c>
      <c r="H13">
        <v>0</v>
      </c>
      <c r="I13">
        <v>0</v>
      </c>
      <c r="J13">
        <v>0</v>
      </c>
      <c r="K13">
        <v>0</v>
      </c>
      <c r="L13">
        <v>0</v>
      </c>
      <c r="M13">
        <v>0</v>
      </c>
      <c r="N13">
        <v>0</v>
      </c>
      <c r="O13">
        <v>20</v>
      </c>
      <c r="P13">
        <v>20</v>
      </c>
      <c r="Q13">
        <v>20</v>
      </c>
      <c r="R13">
        <v>2018</v>
      </c>
      <c r="S13" s="183">
        <v>955800</v>
      </c>
    </row>
    <row r="14" spans="1:21">
      <c r="A14" t="s">
        <v>2018</v>
      </c>
      <c r="B14" t="s">
        <v>127</v>
      </c>
      <c r="C14" s="8" t="s">
        <v>107</v>
      </c>
      <c r="D14" s="8" t="s">
        <v>1453</v>
      </c>
      <c r="E14" s="8">
        <v>21520</v>
      </c>
      <c r="O14">
        <v>3</v>
      </c>
      <c r="Q14">
        <v>5</v>
      </c>
      <c r="R14">
        <v>2018</v>
      </c>
      <c r="S14" s="183">
        <v>172160</v>
      </c>
    </row>
    <row r="15" spans="1:21">
      <c r="A15" t="s">
        <v>2018</v>
      </c>
      <c r="B15" t="s">
        <v>129</v>
      </c>
      <c r="C15" s="8" t="s">
        <v>107</v>
      </c>
      <c r="D15" s="8" t="s">
        <v>58</v>
      </c>
      <c r="E15" s="8">
        <v>6980</v>
      </c>
      <c r="F15">
        <v>0</v>
      </c>
      <c r="G15">
        <v>0</v>
      </c>
      <c r="H15">
        <v>0</v>
      </c>
      <c r="I15">
        <v>0</v>
      </c>
      <c r="J15">
        <v>0</v>
      </c>
      <c r="K15">
        <v>0</v>
      </c>
      <c r="L15">
        <v>0</v>
      </c>
      <c r="M15">
        <v>0</v>
      </c>
      <c r="N15">
        <v>40</v>
      </c>
      <c r="O15">
        <v>40</v>
      </c>
      <c r="P15">
        <v>0</v>
      </c>
      <c r="Q15">
        <v>0</v>
      </c>
      <c r="R15">
        <v>2018</v>
      </c>
      <c r="S15" s="183">
        <v>558400</v>
      </c>
    </row>
    <row r="16" spans="1:21">
      <c r="A16" t="s">
        <v>2018</v>
      </c>
      <c r="B16" t="s">
        <v>130</v>
      </c>
      <c r="C16" s="8" t="s">
        <v>107</v>
      </c>
      <c r="D16" s="8" t="s">
        <v>58</v>
      </c>
      <c r="E16" s="8">
        <v>6980</v>
      </c>
      <c r="F16">
        <v>0</v>
      </c>
      <c r="G16">
        <v>0</v>
      </c>
      <c r="H16">
        <v>0</v>
      </c>
      <c r="I16">
        <v>0</v>
      </c>
      <c r="J16">
        <v>0</v>
      </c>
      <c r="K16">
        <v>0</v>
      </c>
      <c r="L16">
        <v>0</v>
      </c>
      <c r="M16">
        <v>0</v>
      </c>
      <c r="N16">
        <v>0</v>
      </c>
      <c r="O16">
        <v>6</v>
      </c>
      <c r="P16">
        <v>0</v>
      </c>
      <c r="Q16">
        <v>0</v>
      </c>
      <c r="R16">
        <v>2018</v>
      </c>
      <c r="S16" s="183">
        <v>41880</v>
      </c>
    </row>
    <row r="17" spans="1:19">
      <c r="A17" t="s">
        <v>2018</v>
      </c>
      <c r="B17" t="s">
        <v>130</v>
      </c>
      <c r="C17" s="8" t="s">
        <v>107</v>
      </c>
      <c r="D17" s="8" t="s">
        <v>61</v>
      </c>
      <c r="E17" s="8">
        <v>15930</v>
      </c>
      <c r="O17">
        <v>2</v>
      </c>
      <c r="R17">
        <v>2018</v>
      </c>
      <c r="S17" s="183">
        <v>31860</v>
      </c>
    </row>
    <row r="18" spans="1:19">
      <c r="A18" t="s">
        <v>2018</v>
      </c>
      <c r="B18" t="s">
        <v>131</v>
      </c>
      <c r="C18" s="8" t="s">
        <v>107</v>
      </c>
      <c r="D18" s="8" t="s">
        <v>58</v>
      </c>
      <c r="E18" s="8">
        <v>6980</v>
      </c>
      <c r="F18">
        <v>0</v>
      </c>
      <c r="G18">
        <v>0</v>
      </c>
      <c r="H18">
        <v>0</v>
      </c>
      <c r="I18">
        <v>0</v>
      </c>
      <c r="J18">
        <v>0</v>
      </c>
      <c r="K18">
        <v>0</v>
      </c>
      <c r="L18">
        <v>0</v>
      </c>
      <c r="M18">
        <v>0</v>
      </c>
      <c r="N18">
        <v>0</v>
      </c>
      <c r="O18">
        <v>0</v>
      </c>
      <c r="P18">
        <v>20</v>
      </c>
      <c r="Q18">
        <v>10</v>
      </c>
      <c r="R18">
        <v>2018</v>
      </c>
      <c r="S18" s="183">
        <v>209400</v>
      </c>
    </row>
    <row r="19" spans="1:19">
      <c r="A19" t="s">
        <v>2018</v>
      </c>
      <c r="B19" t="s">
        <v>135</v>
      </c>
      <c r="C19" s="8" t="s">
        <v>107</v>
      </c>
      <c r="D19" s="8" t="s">
        <v>61</v>
      </c>
      <c r="E19" s="8">
        <v>15930</v>
      </c>
      <c r="F19">
        <v>0</v>
      </c>
      <c r="G19">
        <v>0</v>
      </c>
      <c r="H19">
        <v>0</v>
      </c>
      <c r="I19">
        <v>0</v>
      </c>
      <c r="J19">
        <v>0</v>
      </c>
      <c r="K19">
        <v>0</v>
      </c>
      <c r="L19">
        <v>0</v>
      </c>
      <c r="M19">
        <v>0</v>
      </c>
      <c r="N19">
        <v>0</v>
      </c>
      <c r="O19">
        <v>0</v>
      </c>
      <c r="P19">
        <v>16</v>
      </c>
      <c r="Q19">
        <v>22</v>
      </c>
      <c r="R19">
        <v>2018</v>
      </c>
      <c r="S19" s="183">
        <v>605340</v>
      </c>
    </row>
    <row r="20" spans="1:19">
      <c r="A20" t="s">
        <v>2018</v>
      </c>
      <c r="B20" t="s">
        <v>135</v>
      </c>
      <c r="C20" s="8" t="s">
        <v>107</v>
      </c>
      <c r="D20" s="8" t="s">
        <v>58</v>
      </c>
      <c r="E20" s="8">
        <v>6980</v>
      </c>
      <c r="F20">
        <v>0</v>
      </c>
      <c r="G20">
        <v>0</v>
      </c>
      <c r="H20">
        <v>0</v>
      </c>
      <c r="I20">
        <v>0</v>
      </c>
      <c r="J20">
        <v>0</v>
      </c>
      <c r="K20">
        <v>0</v>
      </c>
      <c r="L20">
        <v>0</v>
      </c>
      <c r="M20">
        <v>0</v>
      </c>
      <c r="N20">
        <v>0</v>
      </c>
      <c r="O20">
        <v>0</v>
      </c>
      <c r="P20">
        <v>22</v>
      </c>
      <c r="Q20">
        <v>10</v>
      </c>
      <c r="R20">
        <v>2018</v>
      </c>
      <c r="S20" s="183">
        <v>223360</v>
      </c>
    </row>
    <row r="21" spans="1:19">
      <c r="A21" t="s">
        <v>2018</v>
      </c>
      <c r="B21" t="s">
        <v>137</v>
      </c>
      <c r="C21" s="8" t="s">
        <v>107</v>
      </c>
      <c r="D21" s="8" t="s">
        <v>61</v>
      </c>
      <c r="E21" s="8">
        <v>15930</v>
      </c>
      <c r="F21">
        <v>0</v>
      </c>
      <c r="G21">
        <v>0</v>
      </c>
      <c r="H21">
        <v>0</v>
      </c>
      <c r="I21">
        <v>0</v>
      </c>
      <c r="J21">
        <v>0</v>
      </c>
      <c r="K21">
        <v>0</v>
      </c>
      <c r="L21">
        <v>0</v>
      </c>
      <c r="M21">
        <v>26</v>
      </c>
      <c r="N21">
        <v>20</v>
      </c>
      <c r="O21">
        <v>0</v>
      </c>
      <c r="P21">
        <v>0</v>
      </c>
      <c r="Q21">
        <v>0</v>
      </c>
      <c r="R21">
        <v>2018</v>
      </c>
      <c r="S21" s="183">
        <v>732780</v>
      </c>
    </row>
    <row r="22" spans="1:19">
      <c r="A22" t="s">
        <v>2018</v>
      </c>
      <c r="B22" t="s">
        <v>139</v>
      </c>
      <c r="C22" s="8" t="s">
        <v>107</v>
      </c>
      <c r="D22" s="8" t="s">
        <v>1453</v>
      </c>
      <c r="E22" s="8">
        <v>21520</v>
      </c>
      <c r="N22">
        <v>10</v>
      </c>
      <c r="O22">
        <v>10</v>
      </c>
      <c r="R22">
        <v>2018</v>
      </c>
      <c r="S22" s="183">
        <v>430400</v>
      </c>
    </row>
    <row r="23" spans="1:19">
      <c r="A23" t="s">
        <v>2018</v>
      </c>
      <c r="B23" t="s">
        <v>139</v>
      </c>
      <c r="C23" s="8" t="s">
        <v>107</v>
      </c>
      <c r="D23" s="8" t="s">
        <v>61</v>
      </c>
      <c r="E23" s="8">
        <v>15930</v>
      </c>
      <c r="F23">
        <v>0</v>
      </c>
      <c r="G23">
        <v>0</v>
      </c>
      <c r="H23">
        <v>0</v>
      </c>
      <c r="I23">
        <v>0</v>
      </c>
      <c r="J23">
        <v>0</v>
      </c>
      <c r="K23">
        <v>0</v>
      </c>
      <c r="L23">
        <v>0</v>
      </c>
      <c r="M23">
        <v>0</v>
      </c>
      <c r="N23">
        <v>10</v>
      </c>
      <c r="O23">
        <v>20</v>
      </c>
      <c r="P23">
        <v>0</v>
      </c>
      <c r="Q23">
        <v>0</v>
      </c>
      <c r="R23">
        <v>2018</v>
      </c>
      <c r="S23" s="183">
        <v>477900</v>
      </c>
    </row>
    <row r="24" spans="1:19">
      <c r="A24" t="s">
        <v>2018</v>
      </c>
      <c r="B24" t="s">
        <v>141</v>
      </c>
      <c r="C24" s="8" t="s">
        <v>107</v>
      </c>
      <c r="D24" s="8" t="s">
        <v>61</v>
      </c>
      <c r="E24" s="8">
        <v>15930</v>
      </c>
      <c r="F24">
        <v>0</v>
      </c>
      <c r="G24">
        <v>0</v>
      </c>
      <c r="H24">
        <v>0</v>
      </c>
      <c r="I24">
        <v>12</v>
      </c>
      <c r="J24">
        <v>0</v>
      </c>
      <c r="K24">
        <v>0</v>
      </c>
      <c r="L24">
        <v>0</v>
      </c>
      <c r="M24">
        <v>0</v>
      </c>
      <c r="N24">
        <v>0</v>
      </c>
      <c r="O24">
        <v>0</v>
      </c>
      <c r="P24">
        <v>6</v>
      </c>
      <c r="Q24">
        <v>0</v>
      </c>
      <c r="R24">
        <v>2018</v>
      </c>
      <c r="S24" s="183">
        <v>286740</v>
      </c>
    </row>
    <row r="25" spans="1:19">
      <c r="A25" t="s">
        <v>2018</v>
      </c>
      <c r="B25" t="s">
        <v>142</v>
      </c>
      <c r="C25" s="8" t="s">
        <v>107</v>
      </c>
      <c r="D25" s="8" t="s">
        <v>61</v>
      </c>
      <c r="E25" s="8">
        <v>15930</v>
      </c>
      <c r="F25">
        <v>0</v>
      </c>
      <c r="G25">
        <v>0</v>
      </c>
      <c r="H25">
        <v>20</v>
      </c>
      <c r="I25">
        <v>0</v>
      </c>
      <c r="J25">
        <v>0</v>
      </c>
      <c r="K25">
        <v>0</v>
      </c>
      <c r="L25">
        <v>0</v>
      </c>
      <c r="M25">
        <v>0</v>
      </c>
      <c r="N25">
        <v>0</v>
      </c>
      <c r="O25">
        <v>0</v>
      </c>
      <c r="P25">
        <v>0</v>
      </c>
      <c r="Q25">
        <v>0</v>
      </c>
      <c r="R25">
        <v>2018</v>
      </c>
      <c r="S25" s="183">
        <v>318600</v>
      </c>
    </row>
    <row r="26" spans="1:19">
      <c r="A26" t="s">
        <v>2018</v>
      </c>
      <c r="B26" t="s">
        <v>142</v>
      </c>
      <c r="C26" s="8" t="s">
        <v>107</v>
      </c>
      <c r="D26" s="8" t="s">
        <v>59</v>
      </c>
      <c r="E26" s="8">
        <v>9050</v>
      </c>
      <c r="G26">
        <v>5</v>
      </c>
      <c r="H26">
        <v>10</v>
      </c>
      <c r="R26">
        <v>2018</v>
      </c>
      <c r="S26" s="183">
        <v>135750</v>
      </c>
    </row>
    <row r="27" spans="1:19">
      <c r="A27" t="s">
        <v>2018</v>
      </c>
      <c r="B27" t="s">
        <v>143</v>
      </c>
      <c r="C27" s="8" t="s">
        <v>107</v>
      </c>
      <c r="D27" s="8" t="s">
        <v>61</v>
      </c>
      <c r="E27" s="8">
        <v>15930</v>
      </c>
      <c r="F27">
        <v>0</v>
      </c>
      <c r="G27">
        <v>0</v>
      </c>
      <c r="H27">
        <v>20</v>
      </c>
      <c r="I27">
        <v>30</v>
      </c>
      <c r="J27">
        <v>0</v>
      </c>
      <c r="K27">
        <v>0</v>
      </c>
      <c r="L27">
        <v>0</v>
      </c>
      <c r="M27">
        <v>0</v>
      </c>
      <c r="N27">
        <v>0</v>
      </c>
      <c r="O27">
        <v>0</v>
      </c>
      <c r="P27">
        <v>0</v>
      </c>
      <c r="Q27">
        <v>0</v>
      </c>
      <c r="R27">
        <v>2018</v>
      </c>
      <c r="S27" s="183">
        <v>796500</v>
      </c>
    </row>
    <row r="28" spans="1:19">
      <c r="A28" t="s">
        <v>2018</v>
      </c>
      <c r="B28" t="s">
        <v>144</v>
      </c>
      <c r="C28" s="8" t="s">
        <v>107</v>
      </c>
      <c r="D28" s="8" t="s">
        <v>59</v>
      </c>
      <c r="E28" s="8">
        <v>9050</v>
      </c>
      <c r="I28">
        <v>14</v>
      </c>
      <c r="R28">
        <v>2018</v>
      </c>
      <c r="S28" s="183">
        <v>126700</v>
      </c>
    </row>
    <row r="29" spans="1:19">
      <c r="A29" t="s">
        <v>2018</v>
      </c>
      <c r="B29" t="s">
        <v>144</v>
      </c>
      <c r="C29" s="8" t="s">
        <v>107</v>
      </c>
      <c r="D29" s="8" t="s">
        <v>61</v>
      </c>
      <c r="E29" s="8">
        <v>15930</v>
      </c>
      <c r="J29">
        <v>3</v>
      </c>
      <c r="R29">
        <v>2018</v>
      </c>
      <c r="S29" s="183">
        <v>47790</v>
      </c>
    </row>
    <row r="30" spans="1:19">
      <c r="A30" t="s">
        <v>2018</v>
      </c>
      <c r="B30" t="s">
        <v>145</v>
      </c>
      <c r="C30" s="8" t="s">
        <v>107</v>
      </c>
      <c r="D30" s="8" t="s">
        <v>59</v>
      </c>
      <c r="E30" s="8">
        <v>9050</v>
      </c>
      <c r="J30">
        <v>5</v>
      </c>
      <c r="R30">
        <v>2018</v>
      </c>
      <c r="S30" s="183">
        <v>45250</v>
      </c>
    </row>
    <row r="31" spans="1:19">
      <c r="A31" t="s">
        <v>2018</v>
      </c>
      <c r="B31" t="s">
        <v>145</v>
      </c>
      <c r="C31" s="8" t="s">
        <v>107</v>
      </c>
      <c r="D31" s="8" t="s">
        <v>61</v>
      </c>
      <c r="E31" s="8">
        <v>15930</v>
      </c>
      <c r="F31">
        <v>0</v>
      </c>
      <c r="G31">
        <v>0</v>
      </c>
      <c r="H31">
        <v>0</v>
      </c>
      <c r="I31">
        <v>0</v>
      </c>
      <c r="J31">
        <v>43</v>
      </c>
      <c r="K31">
        <v>20</v>
      </c>
      <c r="L31">
        <v>0</v>
      </c>
      <c r="M31">
        <v>0</v>
      </c>
      <c r="N31">
        <v>0</v>
      </c>
      <c r="O31">
        <v>0</v>
      </c>
      <c r="P31">
        <v>0</v>
      </c>
      <c r="Q31">
        <v>0</v>
      </c>
      <c r="R31">
        <v>2018</v>
      </c>
      <c r="S31" s="183">
        <v>1003590</v>
      </c>
    </row>
    <row r="32" spans="1:19">
      <c r="A32" t="s">
        <v>2018</v>
      </c>
      <c r="B32" t="s">
        <v>146</v>
      </c>
      <c r="C32" s="8" t="s">
        <v>107</v>
      </c>
      <c r="D32" s="8" t="s">
        <v>59</v>
      </c>
      <c r="E32" s="8">
        <v>9050</v>
      </c>
      <c r="I32">
        <v>5</v>
      </c>
      <c r="R32">
        <v>2018</v>
      </c>
      <c r="S32" s="183">
        <v>45250</v>
      </c>
    </row>
    <row r="33" spans="1:19">
      <c r="A33" t="s">
        <v>2018</v>
      </c>
      <c r="B33" t="s">
        <v>146</v>
      </c>
      <c r="C33" s="8" t="s">
        <v>107</v>
      </c>
      <c r="D33" s="8" t="s">
        <v>61</v>
      </c>
      <c r="E33" s="8">
        <v>15930</v>
      </c>
      <c r="F33">
        <v>0</v>
      </c>
      <c r="G33">
        <v>0</v>
      </c>
      <c r="H33">
        <v>0</v>
      </c>
      <c r="I33">
        <v>0</v>
      </c>
      <c r="J33">
        <v>0</v>
      </c>
      <c r="K33">
        <v>20</v>
      </c>
      <c r="L33">
        <v>0</v>
      </c>
      <c r="M33">
        <v>0</v>
      </c>
      <c r="N33">
        <v>0</v>
      </c>
      <c r="O33">
        <v>0</v>
      </c>
      <c r="P33">
        <v>0</v>
      </c>
      <c r="Q33">
        <v>0</v>
      </c>
      <c r="R33">
        <v>2018</v>
      </c>
      <c r="S33" s="183">
        <v>318600</v>
      </c>
    </row>
    <row r="34" spans="1:19">
      <c r="A34" t="s">
        <v>2018</v>
      </c>
      <c r="B34" t="s">
        <v>147</v>
      </c>
      <c r="C34" s="8" t="s">
        <v>106</v>
      </c>
      <c r="D34" s="8" t="s">
        <v>1453</v>
      </c>
      <c r="E34" s="8">
        <v>21520</v>
      </c>
      <c r="K34">
        <v>5</v>
      </c>
      <c r="L34">
        <v>5</v>
      </c>
      <c r="R34">
        <v>2018</v>
      </c>
      <c r="S34" s="183">
        <v>215200</v>
      </c>
    </row>
    <row r="35" spans="1:19">
      <c r="A35" t="s">
        <v>2018</v>
      </c>
      <c r="B35" t="s">
        <v>148</v>
      </c>
      <c r="C35" s="8" t="s">
        <v>106</v>
      </c>
      <c r="D35" s="8" t="s">
        <v>1453</v>
      </c>
      <c r="E35" s="8">
        <v>21520</v>
      </c>
      <c r="L35">
        <v>17</v>
      </c>
      <c r="M35">
        <v>23</v>
      </c>
      <c r="N35">
        <v>10</v>
      </c>
      <c r="O35">
        <v>13</v>
      </c>
      <c r="P35">
        <v>10</v>
      </c>
      <c r="R35">
        <v>2018</v>
      </c>
      <c r="S35" s="183">
        <v>1570960</v>
      </c>
    </row>
    <row r="36" spans="1:19">
      <c r="A36" t="s">
        <v>2018</v>
      </c>
      <c r="B36" t="s">
        <v>149</v>
      </c>
      <c r="C36" s="8" t="s">
        <v>106</v>
      </c>
      <c r="D36" s="8" t="s">
        <v>1453</v>
      </c>
      <c r="E36" s="8">
        <v>21520</v>
      </c>
      <c r="P36">
        <v>11</v>
      </c>
      <c r="Q36">
        <v>21</v>
      </c>
      <c r="R36">
        <v>2018</v>
      </c>
      <c r="S36" s="183">
        <v>688640</v>
      </c>
    </row>
    <row r="37" spans="1:19">
      <c r="A37" t="s">
        <v>2018</v>
      </c>
      <c r="B37" t="s">
        <v>138</v>
      </c>
      <c r="C37" s="8" t="s">
        <v>106</v>
      </c>
      <c r="D37" s="8" t="s">
        <v>58</v>
      </c>
      <c r="E37" s="8">
        <v>6980</v>
      </c>
      <c r="F37">
        <v>0</v>
      </c>
      <c r="G37">
        <v>0</v>
      </c>
      <c r="H37">
        <v>0</v>
      </c>
      <c r="I37">
        <v>0</v>
      </c>
      <c r="J37">
        <v>0</v>
      </c>
      <c r="K37">
        <v>0</v>
      </c>
      <c r="L37">
        <v>0</v>
      </c>
      <c r="M37">
        <v>0</v>
      </c>
      <c r="N37">
        <v>0</v>
      </c>
      <c r="O37">
        <v>0</v>
      </c>
      <c r="P37">
        <v>0</v>
      </c>
      <c r="Q37">
        <v>22</v>
      </c>
      <c r="R37">
        <v>2018</v>
      </c>
      <c r="S37" s="183">
        <v>153560</v>
      </c>
    </row>
  </sheetData>
  <autoFilter ref="A1:Q1" xr:uid="{00000000-0009-0000-0000-00000A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3"/>
  <dimension ref="A1:C334"/>
  <sheetViews>
    <sheetView tabSelected="1" zoomScale="80" zoomScaleNormal="80" workbookViewId="0">
      <pane ySplit="1" topLeftCell="A2" activePane="bottomLeft" state="frozen"/>
      <selection pane="bottomLeft" activeCell="D34" sqref="D34"/>
    </sheetView>
  </sheetViews>
  <sheetFormatPr defaultRowHeight="15"/>
  <cols>
    <col min="1" max="1" width="9.140625" style="655"/>
    <col min="2" max="2" width="48.7109375" style="655" customWidth="1"/>
    <col min="3" max="3" width="37.140625" style="655" customWidth="1"/>
    <col min="4" max="16384" width="9.140625" style="655"/>
  </cols>
  <sheetData>
    <row r="1" spans="1:3">
      <c r="B1" s="655" t="s">
        <v>1963</v>
      </c>
      <c r="C1" s="655" t="s">
        <v>1964</v>
      </c>
    </row>
    <row r="2" spans="1:3">
      <c r="A2" s="655" t="str">
        <f t="shared" ref="A2:A4" si="0">LEFT(B2,SEARCH(" ",B2,1)-1)</f>
        <v>2.02.18</v>
      </c>
      <c r="B2" s="656" t="s">
        <v>1709</v>
      </c>
      <c r="C2" s="657" t="s">
        <v>1965</v>
      </c>
    </row>
    <row r="3" spans="1:3">
      <c r="A3" s="655" t="str">
        <f t="shared" si="0"/>
        <v>2.07.01</v>
      </c>
      <c r="B3" s="656" t="s">
        <v>1966</v>
      </c>
      <c r="C3" s="657" t="s">
        <v>1967</v>
      </c>
    </row>
    <row r="4" spans="1:3">
      <c r="A4" s="655" t="str">
        <f t="shared" si="0"/>
        <v>2.16.05</v>
      </c>
      <c r="B4" s="656" t="s">
        <v>1823</v>
      </c>
      <c r="C4" s="657" t="s">
        <v>1968</v>
      </c>
    </row>
    <row r="5" spans="1:3">
      <c r="A5" s="655" t="str">
        <f t="shared" ref="A5" si="1">LEFT(B5,SEARCH(" ",B5,1)-1)</f>
        <v>2.19.10</v>
      </c>
      <c r="B5" s="656" t="s">
        <v>1969</v>
      </c>
      <c r="C5" s="657" t="s">
        <v>1970</v>
      </c>
    </row>
    <row r="6" spans="1:3">
      <c r="A6" s="761" t="s">
        <v>2035</v>
      </c>
      <c r="B6" s="760" t="s">
        <v>2036</v>
      </c>
      <c r="C6" s="759" t="s">
        <v>2037</v>
      </c>
    </row>
    <row r="7" spans="1:3">
      <c r="A7" s="655" t="str">
        <f t="shared" ref="A7" si="2">LEFT(B7,SEARCH(" ",B7,1)-1)</f>
        <v>4.03.02</v>
      </c>
      <c r="B7" s="656" t="s">
        <v>1971</v>
      </c>
      <c r="C7" s="657" t="s">
        <v>1972</v>
      </c>
    </row>
    <row r="8" spans="1:3">
      <c r="A8" s="655" t="str">
        <f t="shared" ref="A8:A10" si="3">LEFT(B8,SEARCH(" ",B8,1)-1)</f>
        <v>4.06.01</v>
      </c>
      <c r="B8" s="656" t="s">
        <v>1973</v>
      </c>
      <c r="C8" s="657" t="s">
        <v>1974</v>
      </c>
    </row>
    <row r="9" spans="1:3">
      <c r="A9" s="655" t="str">
        <f t="shared" si="3"/>
        <v>4.06.02</v>
      </c>
      <c r="B9" s="656" t="s">
        <v>1824</v>
      </c>
      <c r="C9" s="657" t="s">
        <v>1975</v>
      </c>
    </row>
    <row r="10" spans="1:3">
      <c r="A10" s="655" t="str">
        <f t="shared" si="3"/>
        <v>4.06.03</v>
      </c>
      <c r="B10" s="658" t="s">
        <v>1976</v>
      </c>
      <c r="C10" s="659" t="s">
        <v>1977</v>
      </c>
    </row>
    <row r="12" spans="1:3">
      <c r="B12" s="657"/>
    </row>
    <row r="13" spans="1:3">
      <c r="B13" s="657"/>
    </row>
    <row r="14" spans="1:3">
      <c r="B14" s="657"/>
    </row>
    <row r="15" spans="1:3">
      <c r="B15" s="657"/>
    </row>
    <row r="16" spans="1:3">
      <c r="B16" s="657"/>
    </row>
    <row r="17" spans="2:2">
      <c r="B17" s="657"/>
    </row>
    <row r="18" spans="2:2">
      <c r="B18" s="657"/>
    </row>
    <row r="19" spans="2:2">
      <c r="B19" s="657"/>
    </row>
    <row r="20" spans="2:2">
      <c r="B20" s="657"/>
    </row>
    <row r="21" spans="2:2">
      <c r="B21" s="657"/>
    </row>
    <row r="22" spans="2:2">
      <c r="B22" s="657"/>
    </row>
    <row r="23" spans="2:2">
      <c r="B23" s="657"/>
    </row>
    <row r="24" spans="2:2">
      <c r="B24" s="657"/>
    </row>
    <row r="25" spans="2:2">
      <c r="B25" s="657"/>
    </row>
    <row r="26" spans="2:2">
      <c r="B26" s="657"/>
    </row>
    <row r="27" spans="2:2">
      <c r="B27" s="657"/>
    </row>
    <row r="28" spans="2:2">
      <c r="B28" s="657"/>
    </row>
    <row r="29" spans="2:2">
      <c r="B29" s="657"/>
    </row>
    <row r="30" spans="2:2">
      <c r="B30" s="657"/>
    </row>
    <row r="31" spans="2:2">
      <c r="B31" s="657"/>
    </row>
    <row r="32" spans="2:2">
      <c r="B32" s="657"/>
    </row>
    <row r="33" spans="2:2">
      <c r="B33" s="657"/>
    </row>
    <row r="34" spans="2:2">
      <c r="B34" s="657"/>
    </row>
    <row r="35" spans="2:2">
      <c r="B35" s="657"/>
    </row>
    <row r="36" spans="2:2">
      <c r="B36" s="657"/>
    </row>
    <row r="37" spans="2:2">
      <c r="B37" s="657"/>
    </row>
    <row r="38" spans="2:2">
      <c r="B38" s="657"/>
    </row>
    <row r="39" spans="2:2">
      <c r="B39" s="657"/>
    </row>
    <row r="40" spans="2:2">
      <c r="B40" s="657"/>
    </row>
    <row r="41" spans="2:2">
      <c r="B41" s="657"/>
    </row>
    <row r="42" spans="2:2">
      <c r="B42" s="657"/>
    </row>
    <row r="43" spans="2:2">
      <c r="B43" s="657"/>
    </row>
    <row r="44" spans="2:2">
      <c r="B44" s="657"/>
    </row>
    <row r="45" spans="2:2">
      <c r="B45" s="657"/>
    </row>
    <row r="46" spans="2:2">
      <c r="B46" s="657"/>
    </row>
    <row r="47" spans="2:2">
      <c r="B47" s="657"/>
    </row>
    <row r="48" spans="2:2">
      <c r="B48" s="657"/>
    </row>
    <row r="49" spans="2:2">
      <c r="B49" s="657"/>
    </row>
    <row r="50" spans="2:2">
      <c r="B50" s="657"/>
    </row>
    <row r="51" spans="2:2">
      <c r="B51" s="657"/>
    </row>
    <row r="52" spans="2:2">
      <c r="B52" s="657"/>
    </row>
    <row r="53" spans="2:2">
      <c r="B53" s="657"/>
    </row>
    <row r="54" spans="2:2">
      <c r="B54" s="657"/>
    </row>
    <row r="55" spans="2:2">
      <c r="B55" s="657"/>
    </row>
    <row r="56" spans="2:2">
      <c r="B56" s="657"/>
    </row>
    <row r="57" spans="2:2">
      <c r="B57" s="657"/>
    </row>
    <row r="58" spans="2:2">
      <c r="B58" s="657"/>
    </row>
    <row r="59" spans="2:2">
      <c r="B59" s="657"/>
    </row>
    <row r="60" spans="2:2">
      <c r="B60" s="657"/>
    </row>
    <row r="61" spans="2:2">
      <c r="B61" s="657"/>
    </row>
    <row r="62" spans="2:2">
      <c r="B62" s="657"/>
    </row>
    <row r="63" spans="2:2">
      <c r="B63" s="657"/>
    </row>
    <row r="64" spans="2:2">
      <c r="B64" s="657"/>
    </row>
    <row r="65" spans="2:2">
      <c r="B65" s="657"/>
    </row>
    <row r="66" spans="2:2">
      <c r="B66" s="657"/>
    </row>
    <row r="67" spans="2:2">
      <c r="B67" s="657"/>
    </row>
    <row r="68" spans="2:2">
      <c r="B68" s="657"/>
    </row>
    <row r="69" spans="2:2">
      <c r="B69" s="657"/>
    </row>
    <row r="70" spans="2:2">
      <c r="B70" s="657"/>
    </row>
    <row r="71" spans="2:2">
      <c r="B71" s="657"/>
    </row>
    <row r="72" spans="2:2">
      <c r="B72" s="657"/>
    </row>
    <row r="73" spans="2:2">
      <c r="B73" s="657"/>
    </row>
    <row r="74" spans="2:2">
      <c r="B74" s="657"/>
    </row>
    <row r="75" spans="2:2">
      <c r="B75" s="657"/>
    </row>
    <row r="76" spans="2:2">
      <c r="B76" s="657"/>
    </row>
    <row r="77" spans="2:2">
      <c r="B77" s="657"/>
    </row>
    <row r="78" spans="2:2">
      <c r="B78" s="657"/>
    </row>
    <row r="79" spans="2:2">
      <c r="B79" s="657"/>
    </row>
    <row r="80" spans="2:2">
      <c r="B80" s="657"/>
    </row>
    <row r="81" spans="2:2">
      <c r="B81" s="657"/>
    </row>
    <row r="82" spans="2:2">
      <c r="B82" s="657"/>
    </row>
    <row r="83" spans="2:2">
      <c r="B83" s="657"/>
    </row>
    <row r="84" spans="2:2">
      <c r="B84" s="657"/>
    </row>
    <row r="85" spans="2:2">
      <c r="B85" s="657"/>
    </row>
    <row r="86" spans="2:2">
      <c r="B86" s="657"/>
    </row>
    <row r="87" spans="2:2">
      <c r="B87" s="657"/>
    </row>
    <row r="88" spans="2:2">
      <c r="B88" s="657"/>
    </row>
    <row r="89" spans="2:2">
      <c r="B89" s="657"/>
    </row>
    <row r="90" spans="2:2">
      <c r="B90" s="657"/>
    </row>
    <row r="91" spans="2:2">
      <c r="B91" s="657"/>
    </row>
    <row r="92" spans="2:2">
      <c r="B92" s="657"/>
    </row>
    <row r="93" spans="2:2">
      <c r="B93" s="657"/>
    </row>
    <row r="94" spans="2:2">
      <c r="B94" s="657"/>
    </row>
    <row r="95" spans="2:2">
      <c r="B95" s="657"/>
    </row>
    <row r="96" spans="2:2">
      <c r="B96" s="657"/>
    </row>
    <row r="97" spans="2:2">
      <c r="B97" s="657"/>
    </row>
    <row r="98" spans="2:2">
      <c r="B98" s="657"/>
    </row>
    <row r="99" spans="2:2">
      <c r="B99" s="657"/>
    </row>
    <row r="100" spans="2:2">
      <c r="B100" s="657"/>
    </row>
    <row r="101" spans="2:2">
      <c r="B101" s="657"/>
    </row>
    <row r="102" spans="2:2">
      <c r="B102" s="657"/>
    </row>
    <row r="103" spans="2:2">
      <c r="B103" s="657"/>
    </row>
    <row r="104" spans="2:2">
      <c r="B104" s="657"/>
    </row>
    <row r="105" spans="2:2">
      <c r="B105" s="657"/>
    </row>
    <row r="106" spans="2:2">
      <c r="B106" s="657"/>
    </row>
    <row r="107" spans="2:2">
      <c r="B107" s="657"/>
    </row>
    <row r="108" spans="2:2">
      <c r="B108" s="657"/>
    </row>
    <row r="109" spans="2:2">
      <c r="B109" s="657"/>
    </row>
    <row r="110" spans="2:2">
      <c r="B110" s="657"/>
    </row>
    <row r="111" spans="2:2">
      <c r="B111" s="657"/>
    </row>
    <row r="112" spans="2:2">
      <c r="B112" s="657"/>
    </row>
    <row r="113" spans="2:2">
      <c r="B113" s="657"/>
    </row>
    <row r="114" spans="2:2">
      <c r="B114" s="657"/>
    </row>
    <row r="115" spans="2:2">
      <c r="B115" s="657"/>
    </row>
    <row r="116" spans="2:2">
      <c r="B116" s="657"/>
    </row>
    <row r="117" spans="2:2">
      <c r="B117" s="657"/>
    </row>
    <row r="118" spans="2:2">
      <c r="B118" s="657"/>
    </row>
    <row r="119" spans="2:2">
      <c r="B119" s="657"/>
    </row>
    <row r="120" spans="2:2">
      <c r="B120" s="657"/>
    </row>
    <row r="121" spans="2:2">
      <c r="B121" s="657"/>
    </row>
    <row r="122" spans="2:2">
      <c r="B122" s="657"/>
    </row>
    <row r="123" spans="2:2">
      <c r="B123" s="657"/>
    </row>
    <row r="124" spans="2:2">
      <c r="B124" s="657"/>
    </row>
    <row r="125" spans="2:2">
      <c r="B125" s="657"/>
    </row>
    <row r="126" spans="2:2">
      <c r="B126" s="657"/>
    </row>
    <row r="127" spans="2:2">
      <c r="B127" s="657"/>
    </row>
    <row r="128" spans="2:2">
      <c r="B128" s="657"/>
    </row>
    <row r="129" spans="2:2">
      <c r="B129" s="657"/>
    </row>
    <row r="130" spans="2:2">
      <c r="B130" s="657"/>
    </row>
    <row r="131" spans="2:2">
      <c r="B131" s="657"/>
    </row>
    <row r="132" spans="2:2">
      <c r="B132" s="657"/>
    </row>
    <row r="133" spans="2:2">
      <c r="B133" s="657"/>
    </row>
    <row r="134" spans="2:2">
      <c r="B134" s="657"/>
    </row>
    <row r="135" spans="2:2">
      <c r="B135" s="657"/>
    </row>
    <row r="136" spans="2:2">
      <c r="B136" s="657"/>
    </row>
    <row r="137" spans="2:2">
      <c r="B137" s="657"/>
    </row>
    <row r="138" spans="2:2">
      <c r="B138" s="657"/>
    </row>
    <row r="139" spans="2:2">
      <c r="B139" s="657"/>
    </row>
    <row r="140" spans="2:2">
      <c r="B140" s="657"/>
    </row>
    <row r="141" spans="2:2">
      <c r="B141" s="657"/>
    </row>
    <row r="142" spans="2:2">
      <c r="B142" s="657"/>
    </row>
    <row r="143" spans="2:2">
      <c r="B143" s="657"/>
    </row>
    <row r="144" spans="2:2">
      <c r="B144" s="657"/>
    </row>
    <row r="145" spans="2:2">
      <c r="B145" s="657"/>
    </row>
    <row r="146" spans="2:2">
      <c r="B146" s="657"/>
    </row>
    <row r="147" spans="2:2">
      <c r="B147" s="657"/>
    </row>
    <row r="148" spans="2:2">
      <c r="B148" s="657"/>
    </row>
    <row r="149" spans="2:2">
      <c r="B149" s="657"/>
    </row>
    <row r="150" spans="2:2">
      <c r="B150" s="657"/>
    </row>
    <row r="151" spans="2:2">
      <c r="B151" s="657"/>
    </row>
    <row r="152" spans="2:2">
      <c r="B152" s="657"/>
    </row>
    <row r="153" spans="2:2">
      <c r="B153" s="657"/>
    </row>
    <row r="154" spans="2:2">
      <c r="B154" s="657"/>
    </row>
    <row r="155" spans="2:2">
      <c r="B155" s="657"/>
    </row>
    <row r="156" spans="2:2">
      <c r="B156" s="657"/>
    </row>
    <row r="157" spans="2:2">
      <c r="B157" s="657"/>
    </row>
    <row r="158" spans="2:2">
      <c r="B158" s="657"/>
    </row>
    <row r="159" spans="2:2">
      <c r="B159" s="657"/>
    </row>
    <row r="160" spans="2:2">
      <c r="B160" s="657"/>
    </row>
    <row r="161" spans="2:2">
      <c r="B161" s="657"/>
    </row>
    <row r="162" spans="2:2">
      <c r="B162" s="657"/>
    </row>
    <row r="163" spans="2:2">
      <c r="B163" s="657"/>
    </row>
    <row r="164" spans="2:2">
      <c r="B164" s="657"/>
    </row>
    <row r="165" spans="2:2">
      <c r="B165" s="657"/>
    </row>
    <row r="166" spans="2:2">
      <c r="B166" s="657"/>
    </row>
    <row r="167" spans="2:2">
      <c r="B167" s="657"/>
    </row>
    <row r="168" spans="2:2">
      <c r="B168" s="657"/>
    </row>
    <row r="169" spans="2:2">
      <c r="B169" s="657"/>
    </row>
    <row r="170" spans="2:2">
      <c r="B170" s="657"/>
    </row>
    <row r="171" spans="2:2">
      <c r="B171" s="657"/>
    </row>
    <row r="172" spans="2:2">
      <c r="B172" s="657"/>
    </row>
    <row r="173" spans="2:2">
      <c r="B173" s="657"/>
    </row>
    <row r="174" spans="2:2">
      <c r="B174" s="657"/>
    </row>
    <row r="175" spans="2:2">
      <c r="B175" s="657"/>
    </row>
    <row r="176" spans="2:2">
      <c r="B176" s="657"/>
    </row>
    <row r="177" spans="2:2">
      <c r="B177" s="657"/>
    </row>
    <row r="178" spans="2:2">
      <c r="B178" s="657"/>
    </row>
    <row r="179" spans="2:2">
      <c r="B179" s="657"/>
    </row>
    <row r="180" spans="2:2">
      <c r="B180" s="657"/>
    </row>
    <row r="181" spans="2:2">
      <c r="B181" s="657"/>
    </row>
    <row r="182" spans="2:2">
      <c r="B182" s="657"/>
    </row>
    <row r="183" spans="2:2">
      <c r="B183" s="657"/>
    </row>
    <row r="184" spans="2:2">
      <c r="B184" s="657"/>
    </row>
    <row r="185" spans="2:2">
      <c r="B185" s="657"/>
    </row>
    <row r="186" spans="2:2">
      <c r="B186" s="657"/>
    </row>
    <row r="187" spans="2:2">
      <c r="B187" s="657"/>
    </row>
    <row r="188" spans="2:2">
      <c r="B188" s="657"/>
    </row>
    <row r="189" spans="2:2">
      <c r="B189" s="657"/>
    </row>
    <row r="190" spans="2:2">
      <c r="B190" s="657"/>
    </row>
    <row r="191" spans="2:2">
      <c r="B191" s="657"/>
    </row>
    <row r="192" spans="2:2">
      <c r="B192" s="657"/>
    </row>
    <row r="193" spans="2:2">
      <c r="B193" s="657"/>
    </row>
    <row r="194" spans="2:2">
      <c r="B194" s="657"/>
    </row>
    <row r="195" spans="2:2">
      <c r="B195" s="657"/>
    </row>
    <row r="196" spans="2:2">
      <c r="B196" s="657"/>
    </row>
    <row r="197" spans="2:2">
      <c r="B197" s="657"/>
    </row>
    <row r="198" spans="2:2">
      <c r="B198" s="657"/>
    </row>
    <row r="199" spans="2:2">
      <c r="B199" s="657"/>
    </row>
    <row r="200" spans="2:2">
      <c r="B200" s="657"/>
    </row>
    <row r="201" spans="2:2">
      <c r="B201" s="657"/>
    </row>
    <row r="202" spans="2:2">
      <c r="B202" s="657"/>
    </row>
    <row r="203" spans="2:2">
      <c r="B203" s="657"/>
    </row>
    <row r="204" spans="2:2">
      <c r="B204" s="657"/>
    </row>
    <row r="205" spans="2:2">
      <c r="B205" s="657"/>
    </row>
    <row r="206" spans="2:2">
      <c r="B206" s="657"/>
    </row>
    <row r="207" spans="2:2">
      <c r="B207" s="657"/>
    </row>
    <row r="208" spans="2:2">
      <c r="B208" s="657"/>
    </row>
    <row r="209" spans="2:2">
      <c r="B209" s="657"/>
    </row>
    <row r="210" spans="2:2">
      <c r="B210" s="657"/>
    </row>
    <row r="211" spans="2:2">
      <c r="B211" s="657"/>
    </row>
    <row r="212" spans="2:2">
      <c r="B212" s="657"/>
    </row>
    <row r="213" spans="2:2">
      <c r="B213" s="657"/>
    </row>
    <row r="214" spans="2:2">
      <c r="B214" s="657"/>
    </row>
    <row r="215" spans="2:2">
      <c r="B215" s="657"/>
    </row>
    <row r="216" spans="2:2">
      <c r="B216" s="657"/>
    </row>
    <row r="217" spans="2:2">
      <c r="B217" s="657"/>
    </row>
    <row r="218" spans="2:2">
      <c r="B218" s="657"/>
    </row>
    <row r="219" spans="2:2">
      <c r="B219" s="657"/>
    </row>
    <row r="220" spans="2:2">
      <c r="B220" s="657"/>
    </row>
    <row r="221" spans="2:2">
      <c r="B221" s="657"/>
    </row>
    <row r="222" spans="2:2">
      <c r="B222" s="657"/>
    </row>
    <row r="223" spans="2:2">
      <c r="B223" s="657"/>
    </row>
    <row r="224" spans="2:2">
      <c r="B224" s="657"/>
    </row>
    <row r="225" spans="2:2">
      <c r="B225" s="657"/>
    </row>
    <row r="226" spans="2:2">
      <c r="B226" s="657"/>
    </row>
    <row r="227" spans="2:2">
      <c r="B227" s="657"/>
    </row>
    <row r="228" spans="2:2">
      <c r="B228" s="657"/>
    </row>
    <row r="229" spans="2:2">
      <c r="B229" s="657"/>
    </row>
    <row r="230" spans="2:2">
      <c r="B230" s="657"/>
    </row>
    <row r="231" spans="2:2">
      <c r="B231" s="657"/>
    </row>
    <row r="232" spans="2:2">
      <c r="B232" s="657"/>
    </row>
    <row r="233" spans="2:2">
      <c r="B233" s="657"/>
    </row>
    <row r="234" spans="2:2">
      <c r="B234" s="657"/>
    </row>
    <row r="235" spans="2:2">
      <c r="B235" s="657"/>
    </row>
    <row r="236" spans="2:2">
      <c r="B236" s="657"/>
    </row>
    <row r="237" spans="2:2">
      <c r="B237" s="657"/>
    </row>
    <row r="238" spans="2:2">
      <c r="B238" s="657"/>
    </row>
    <row r="239" spans="2:2">
      <c r="B239" s="657"/>
    </row>
    <row r="240" spans="2:2">
      <c r="B240" s="657"/>
    </row>
    <row r="241" spans="2:2">
      <c r="B241" s="657"/>
    </row>
    <row r="242" spans="2:2">
      <c r="B242" s="657"/>
    </row>
    <row r="243" spans="2:2">
      <c r="B243" s="657"/>
    </row>
    <row r="244" spans="2:2">
      <c r="B244" s="657"/>
    </row>
    <row r="245" spans="2:2">
      <c r="B245" s="657"/>
    </row>
    <row r="246" spans="2:2">
      <c r="B246" s="657"/>
    </row>
    <row r="247" spans="2:2">
      <c r="B247" s="657"/>
    </row>
    <row r="248" spans="2:2">
      <c r="B248" s="657"/>
    </row>
    <row r="249" spans="2:2">
      <c r="B249" s="657"/>
    </row>
    <row r="250" spans="2:2">
      <c r="B250" s="657"/>
    </row>
    <row r="251" spans="2:2">
      <c r="B251" s="657"/>
    </row>
    <row r="252" spans="2:2">
      <c r="B252" s="657"/>
    </row>
    <row r="253" spans="2:2">
      <c r="B253" s="657"/>
    </row>
    <row r="254" spans="2:2">
      <c r="B254" s="657"/>
    </row>
    <row r="255" spans="2:2">
      <c r="B255" s="657"/>
    </row>
    <row r="256" spans="2:2">
      <c r="B256" s="657"/>
    </row>
    <row r="257" spans="2:2">
      <c r="B257" s="657"/>
    </row>
    <row r="258" spans="2:2">
      <c r="B258" s="657"/>
    </row>
    <row r="259" spans="2:2">
      <c r="B259" s="657"/>
    </row>
    <row r="260" spans="2:2">
      <c r="B260" s="657"/>
    </row>
    <row r="261" spans="2:2">
      <c r="B261" s="657"/>
    </row>
    <row r="262" spans="2:2">
      <c r="B262" s="657"/>
    </row>
    <row r="263" spans="2:2">
      <c r="B263" s="657"/>
    </row>
    <row r="264" spans="2:2">
      <c r="B264" s="657"/>
    </row>
    <row r="265" spans="2:2">
      <c r="B265" s="657"/>
    </row>
    <row r="266" spans="2:2">
      <c r="B266" s="657"/>
    </row>
    <row r="267" spans="2:2">
      <c r="B267" s="657"/>
    </row>
    <row r="268" spans="2:2">
      <c r="B268" s="657"/>
    </row>
    <row r="269" spans="2:2">
      <c r="B269" s="657"/>
    </row>
    <row r="270" spans="2:2">
      <c r="B270" s="657"/>
    </row>
    <row r="271" spans="2:2">
      <c r="B271" s="657"/>
    </row>
    <row r="272" spans="2:2">
      <c r="B272" s="657"/>
    </row>
    <row r="273" spans="2:2">
      <c r="B273" s="657"/>
    </row>
    <row r="274" spans="2:2">
      <c r="B274" s="657"/>
    </row>
    <row r="275" spans="2:2">
      <c r="B275" s="657"/>
    </row>
    <row r="276" spans="2:2">
      <c r="B276" s="657"/>
    </row>
    <row r="277" spans="2:2">
      <c r="B277" s="657"/>
    </row>
    <row r="278" spans="2:2">
      <c r="B278" s="657"/>
    </row>
    <row r="279" spans="2:2">
      <c r="B279" s="657"/>
    </row>
    <row r="280" spans="2:2">
      <c r="B280" s="657"/>
    </row>
    <row r="281" spans="2:2">
      <c r="B281" s="657"/>
    </row>
    <row r="282" spans="2:2">
      <c r="B282" s="657"/>
    </row>
    <row r="283" spans="2:2">
      <c r="B283" s="657"/>
    </row>
    <row r="284" spans="2:2">
      <c r="B284" s="657"/>
    </row>
    <row r="285" spans="2:2">
      <c r="B285" s="657"/>
    </row>
    <row r="286" spans="2:2">
      <c r="B286" s="657"/>
    </row>
    <row r="287" spans="2:2">
      <c r="B287" s="657"/>
    </row>
    <row r="288" spans="2:2">
      <c r="B288" s="657"/>
    </row>
    <row r="289" spans="2:2">
      <c r="B289" s="657"/>
    </row>
    <row r="290" spans="2:2">
      <c r="B290" s="657"/>
    </row>
    <row r="291" spans="2:2">
      <c r="B291" s="657"/>
    </row>
    <row r="292" spans="2:2">
      <c r="B292" s="657"/>
    </row>
    <row r="293" spans="2:2">
      <c r="B293" s="657"/>
    </row>
    <row r="294" spans="2:2">
      <c r="B294" s="657"/>
    </row>
    <row r="295" spans="2:2">
      <c r="B295" s="657"/>
    </row>
    <row r="296" spans="2:2">
      <c r="B296" s="657"/>
    </row>
    <row r="297" spans="2:2">
      <c r="B297" s="657"/>
    </row>
    <row r="298" spans="2:2">
      <c r="B298" s="657"/>
    </row>
    <row r="299" spans="2:2">
      <c r="B299" s="657"/>
    </row>
    <row r="300" spans="2:2">
      <c r="B300" s="657"/>
    </row>
    <row r="301" spans="2:2">
      <c r="B301" s="657"/>
    </row>
    <row r="302" spans="2:2">
      <c r="B302" s="657"/>
    </row>
    <row r="303" spans="2:2">
      <c r="B303" s="657"/>
    </row>
    <row r="304" spans="2:2">
      <c r="B304" s="657"/>
    </row>
    <row r="305" spans="2:2">
      <c r="B305" s="657"/>
    </row>
    <row r="306" spans="2:2">
      <c r="B306" s="657"/>
    </row>
    <row r="307" spans="2:2">
      <c r="B307" s="657"/>
    </row>
    <row r="308" spans="2:2">
      <c r="B308" s="657"/>
    </row>
    <row r="309" spans="2:2">
      <c r="B309" s="657"/>
    </row>
    <row r="310" spans="2:2">
      <c r="B310" s="657"/>
    </row>
    <row r="311" spans="2:2">
      <c r="B311" s="657"/>
    </row>
    <row r="312" spans="2:2">
      <c r="B312" s="657"/>
    </row>
    <row r="313" spans="2:2">
      <c r="B313" s="657"/>
    </row>
    <row r="314" spans="2:2">
      <c r="B314" s="657"/>
    </row>
    <row r="315" spans="2:2">
      <c r="B315" s="657"/>
    </row>
    <row r="316" spans="2:2">
      <c r="B316" s="657"/>
    </row>
    <row r="317" spans="2:2">
      <c r="B317" s="657"/>
    </row>
    <row r="318" spans="2:2">
      <c r="B318" s="657"/>
    </row>
    <row r="319" spans="2:2">
      <c r="B319" s="657"/>
    </row>
    <row r="320" spans="2:2">
      <c r="B320" s="657"/>
    </row>
    <row r="321" spans="2:2">
      <c r="B321" s="657"/>
    </row>
    <row r="322" spans="2:2">
      <c r="B322" s="657"/>
    </row>
    <row r="323" spans="2:2">
      <c r="B323" s="657"/>
    </row>
    <row r="324" spans="2:2">
      <c r="B324" s="657"/>
    </row>
    <row r="325" spans="2:2">
      <c r="B325" s="657"/>
    </row>
    <row r="326" spans="2:2">
      <c r="B326" s="657"/>
    </row>
    <row r="327" spans="2:2">
      <c r="B327" s="657"/>
    </row>
    <row r="328" spans="2:2">
      <c r="B328" s="657"/>
    </row>
    <row r="329" spans="2:2">
      <c r="B329" s="657"/>
    </row>
    <row r="330" spans="2:2">
      <c r="B330" s="657"/>
    </row>
    <row r="331" spans="2:2">
      <c r="B331" s="657"/>
    </row>
    <row r="332" spans="2:2">
      <c r="B332" s="657"/>
    </row>
    <row r="333" spans="2:2">
      <c r="B333" s="657"/>
    </row>
    <row r="334" spans="2:2">
      <c r="B334" s="657"/>
    </row>
  </sheetData>
  <autoFilter ref="B1:C1" xr:uid="{00000000-0009-0000-0000-00000B000000}"/>
  <conditionalFormatting sqref="B1:B1048576">
    <cfRule type="duplicateValues" dxfId="0" priority="6"/>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14"/>
  <dimension ref="A1:U320"/>
  <sheetViews>
    <sheetView workbookViewId="0">
      <pane ySplit="1" topLeftCell="A303" activePane="bottomLeft" state="frozen"/>
      <selection pane="bottomLeft" activeCell="A3" sqref="A3:A320"/>
    </sheetView>
  </sheetViews>
  <sheetFormatPr defaultRowHeight="12.75"/>
  <cols>
    <col min="1" max="1" width="11.7109375" customWidth="1"/>
    <col min="2" max="2" width="9.5703125" customWidth="1"/>
    <col min="3" max="3" width="27" customWidth="1"/>
    <col min="4" max="4" width="67.85546875" customWidth="1"/>
    <col min="5" max="5" width="27.28515625" customWidth="1"/>
    <col min="6" max="6" width="11.5703125" customWidth="1"/>
    <col min="7" max="7" width="34.28515625" customWidth="1"/>
    <col min="8" max="8" width="13.5703125" customWidth="1"/>
    <col min="9" max="9" width="10.85546875" customWidth="1"/>
    <col min="10" max="10" width="31.5703125" customWidth="1"/>
    <col min="11" max="11" width="13.28515625" customWidth="1"/>
    <col min="12" max="12" width="10.140625" style="707" bestFit="1" customWidth="1"/>
    <col min="15" max="15" width="11" customWidth="1"/>
    <col min="16" max="16" width="36.42578125" customWidth="1"/>
    <col min="18" max="18" width="11" customWidth="1"/>
  </cols>
  <sheetData>
    <row r="1" spans="1:21" ht="51">
      <c r="A1" s="151" t="s">
        <v>1743</v>
      </c>
      <c r="B1" s="151" t="s">
        <v>1532</v>
      </c>
      <c r="C1" s="152" t="s">
        <v>1533</v>
      </c>
      <c r="D1" s="153" t="s">
        <v>1744</v>
      </c>
      <c r="E1" s="153" t="s">
        <v>1740</v>
      </c>
      <c r="F1" s="153" t="s">
        <v>74</v>
      </c>
      <c r="G1" s="153" t="s">
        <v>75</v>
      </c>
      <c r="H1" s="153" t="s">
        <v>3</v>
      </c>
      <c r="I1" s="153" t="s">
        <v>76</v>
      </c>
      <c r="J1" s="153" t="s">
        <v>13</v>
      </c>
      <c r="K1" s="154" t="s">
        <v>1741</v>
      </c>
      <c r="L1" s="699" t="s">
        <v>1992</v>
      </c>
      <c r="M1" s="700" t="s">
        <v>1993</v>
      </c>
      <c r="N1" s="700" t="s">
        <v>1994</v>
      </c>
      <c r="O1" s="700" t="s">
        <v>1995</v>
      </c>
      <c r="P1" s="700" t="s">
        <v>1996</v>
      </c>
      <c r="Q1" s="700" t="s">
        <v>1997</v>
      </c>
      <c r="R1" s="700" t="s">
        <v>1989</v>
      </c>
      <c r="S1" s="700"/>
      <c r="T1" s="700"/>
      <c r="U1" s="700"/>
    </row>
    <row r="2" spans="1:21">
      <c r="A2" t="s">
        <v>2058</v>
      </c>
      <c r="B2" t="s">
        <v>1576</v>
      </c>
      <c r="C2" t="s">
        <v>1480</v>
      </c>
      <c r="D2" t="s">
        <v>1610</v>
      </c>
      <c r="F2" t="s">
        <v>107</v>
      </c>
      <c r="H2" t="s">
        <v>33</v>
      </c>
      <c r="I2" t="s">
        <v>61</v>
      </c>
      <c r="J2" t="s">
        <v>2045</v>
      </c>
      <c r="K2">
        <v>15930</v>
      </c>
      <c r="L2" s="707">
        <v>43160</v>
      </c>
      <c r="M2">
        <v>20</v>
      </c>
      <c r="N2">
        <v>1</v>
      </c>
      <c r="P2" t="s">
        <v>2057</v>
      </c>
      <c r="Q2">
        <v>5</v>
      </c>
      <c r="R2" t="s">
        <v>1990</v>
      </c>
    </row>
    <row r="3" spans="1:21">
      <c r="A3" s="951" t="s">
        <v>2058</v>
      </c>
      <c r="B3" t="s">
        <v>1576</v>
      </c>
      <c r="C3" t="s">
        <v>1480</v>
      </c>
      <c r="D3" t="s">
        <v>1610</v>
      </c>
      <c r="F3" t="s">
        <v>107</v>
      </c>
      <c r="H3" t="s">
        <v>33</v>
      </c>
      <c r="I3" t="s">
        <v>61</v>
      </c>
      <c r="J3" t="s">
        <v>2045</v>
      </c>
      <c r="K3">
        <v>15930</v>
      </c>
      <c r="L3" s="707">
        <v>43191</v>
      </c>
      <c r="M3">
        <v>21</v>
      </c>
      <c r="N3">
        <v>1</v>
      </c>
      <c r="P3" t="s">
        <v>2057</v>
      </c>
      <c r="Q3">
        <v>5</v>
      </c>
      <c r="R3" t="s">
        <v>1990</v>
      </c>
    </row>
    <row r="4" spans="1:21">
      <c r="A4" s="951" t="s">
        <v>2058</v>
      </c>
      <c r="B4" t="s">
        <v>1576</v>
      </c>
      <c r="C4" t="s">
        <v>1480</v>
      </c>
      <c r="D4" t="s">
        <v>1610</v>
      </c>
      <c r="F4" t="s">
        <v>107</v>
      </c>
      <c r="H4" t="s">
        <v>33</v>
      </c>
      <c r="I4" t="s">
        <v>61</v>
      </c>
      <c r="J4" t="s">
        <v>2045</v>
      </c>
      <c r="K4">
        <v>15930</v>
      </c>
      <c r="L4" s="707">
        <v>43221</v>
      </c>
      <c r="M4">
        <v>20</v>
      </c>
      <c r="N4">
        <v>1</v>
      </c>
      <c r="P4" t="s">
        <v>2057</v>
      </c>
      <c r="Q4">
        <v>5</v>
      </c>
      <c r="R4" t="s">
        <v>1990</v>
      </c>
    </row>
    <row r="5" spans="1:21">
      <c r="A5" s="951" t="s">
        <v>2058</v>
      </c>
      <c r="B5" t="s">
        <v>1576</v>
      </c>
      <c r="C5" t="s">
        <v>1480</v>
      </c>
      <c r="D5" t="s">
        <v>1610</v>
      </c>
      <c r="F5" t="s">
        <v>107</v>
      </c>
      <c r="H5" t="s">
        <v>33</v>
      </c>
      <c r="I5" t="s">
        <v>61</v>
      </c>
      <c r="J5" t="s">
        <v>2045</v>
      </c>
      <c r="K5">
        <v>15930</v>
      </c>
      <c r="L5" s="707">
        <v>43252</v>
      </c>
      <c r="M5">
        <v>20</v>
      </c>
      <c r="N5">
        <v>1</v>
      </c>
      <c r="P5" t="s">
        <v>2057</v>
      </c>
      <c r="Q5">
        <v>5</v>
      </c>
      <c r="R5" t="s">
        <v>1990</v>
      </c>
    </row>
    <row r="6" spans="1:21">
      <c r="A6" s="951" t="s">
        <v>2058</v>
      </c>
      <c r="B6" t="s">
        <v>1576</v>
      </c>
      <c r="C6" t="s">
        <v>1480</v>
      </c>
      <c r="D6" t="s">
        <v>1610</v>
      </c>
      <c r="F6" t="s">
        <v>107</v>
      </c>
      <c r="H6" t="s">
        <v>33</v>
      </c>
      <c r="I6" t="s">
        <v>61</v>
      </c>
      <c r="J6" t="s">
        <v>2045</v>
      </c>
      <c r="K6">
        <v>15930</v>
      </c>
      <c r="L6" s="707">
        <v>43282</v>
      </c>
      <c r="M6">
        <v>22</v>
      </c>
      <c r="N6">
        <v>1</v>
      </c>
      <c r="P6" t="s">
        <v>2057</v>
      </c>
      <c r="Q6">
        <v>5</v>
      </c>
      <c r="R6" t="s">
        <v>1990</v>
      </c>
    </row>
    <row r="7" spans="1:21">
      <c r="A7" s="951" t="s">
        <v>2058</v>
      </c>
      <c r="B7" t="s">
        <v>1576</v>
      </c>
      <c r="C7" t="s">
        <v>1480</v>
      </c>
      <c r="D7" t="s">
        <v>1610</v>
      </c>
      <c r="F7" t="s">
        <v>107</v>
      </c>
      <c r="H7" t="s">
        <v>33</v>
      </c>
      <c r="I7" t="s">
        <v>61</v>
      </c>
      <c r="J7" t="s">
        <v>2045</v>
      </c>
      <c r="K7">
        <v>15930</v>
      </c>
      <c r="L7" s="707">
        <v>43313</v>
      </c>
      <c r="M7">
        <v>23</v>
      </c>
      <c r="N7">
        <v>1</v>
      </c>
      <c r="P7" t="s">
        <v>2057</v>
      </c>
      <c r="Q7">
        <v>5</v>
      </c>
      <c r="R7" t="s">
        <v>1990</v>
      </c>
    </row>
    <row r="8" spans="1:21">
      <c r="A8" s="951" t="s">
        <v>2058</v>
      </c>
      <c r="B8" t="s">
        <v>1576</v>
      </c>
      <c r="C8" t="s">
        <v>1480</v>
      </c>
      <c r="D8" t="s">
        <v>1610</v>
      </c>
      <c r="F8" t="s">
        <v>107</v>
      </c>
      <c r="H8" t="s">
        <v>33</v>
      </c>
      <c r="I8" t="s">
        <v>61</v>
      </c>
      <c r="J8" t="s">
        <v>2045</v>
      </c>
      <c r="K8">
        <v>15930</v>
      </c>
      <c r="L8" s="707">
        <v>43344</v>
      </c>
      <c r="M8">
        <v>20</v>
      </c>
      <c r="N8">
        <v>1</v>
      </c>
      <c r="P8" t="s">
        <v>2057</v>
      </c>
      <c r="Q8">
        <v>5</v>
      </c>
      <c r="R8" t="s">
        <v>1990</v>
      </c>
    </row>
    <row r="9" spans="1:21">
      <c r="A9" s="951" t="s">
        <v>2058</v>
      </c>
      <c r="B9" t="s">
        <v>1576</v>
      </c>
      <c r="C9" t="s">
        <v>1480</v>
      </c>
      <c r="D9" t="s">
        <v>1610</v>
      </c>
      <c r="F9" t="s">
        <v>107</v>
      </c>
      <c r="H9" t="s">
        <v>33</v>
      </c>
      <c r="I9" t="s">
        <v>61</v>
      </c>
      <c r="J9" t="s">
        <v>2045</v>
      </c>
      <c r="K9">
        <v>15930</v>
      </c>
      <c r="L9" s="707">
        <v>43374</v>
      </c>
      <c r="M9">
        <v>23</v>
      </c>
      <c r="N9">
        <v>1</v>
      </c>
      <c r="P9" t="s">
        <v>2057</v>
      </c>
      <c r="Q9">
        <v>5</v>
      </c>
      <c r="R9" t="s">
        <v>1990</v>
      </c>
    </row>
    <row r="10" spans="1:21">
      <c r="A10" s="951" t="s">
        <v>2058</v>
      </c>
      <c r="B10" t="s">
        <v>1576</v>
      </c>
      <c r="C10" t="s">
        <v>1480</v>
      </c>
      <c r="D10" t="s">
        <v>1610</v>
      </c>
      <c r="F10" t="s">
        <v>107</v>
      </c>
      <c r="H10" t="s">
        <v>33</v>
      </c>
      <c r="I10" t="s">
        <v>61</v>
      </c>
      <c r="J10" t="s">
        <v>2045</v>
      </c>
      <c r="K10">
        <v>15930</v>
      </c>
      <c r="L10" s="707">
        <v>43405</v>
      </c>
      <c r="M10">
        <v>21</v>
      </c>
      <c r="N10">
        <v>1</v>
      </c>
      <c r="P10" t="s">
        <v>2057</v>
      </c>
      <c r="Q10">
        <v>5</v>
      </c>
      <c r="R10" t="s">
        <v>1990</v>
      </c>
    </row>
    <row r="11" spans="1:21">
      <c r="A11" s="951" t="s">
        <v>2058</v>
      </c>
      <c r="B11" t="s">
        <v>1576</v>
      </c>
      <c r="C11" t="s">
        <v>1480</v>
      </c>
      <c r="D11" t="s">
        <v>1610</v>
      </c>
      <c r="F11" t="s">
        <v>107</v>
      </c>
      <c r="H11" t="s">
        <v>33</v>
      </c>
      <c r="I11" t="s">
        <v>61</v>
      </c>
      <c r="J11" t="s">
        <v>2045</v>
      </c>
      <c r="K11">
        <v>15930</v>
      </c>
      <c r="L11" s="707">
        <v>43435</v>
      </c>
      <c r="M11">
        <v>21</v>
      </c>
      <c r="N11">
        <v>1</v>
      </c>
      <c r="P11" t="s">
        <v>2057</v>
      </c>
      <c r="Q11">
        <v>5</v>
      </c>
      <c r="R11" t="s">
        <v>1990</v>
      </c>
    </row>
    <row r="12" spans="1:21">
      <c r="A12" s="951" t="s">
        <v>2058</v>
      </c>
      <c r="B12" t="s">
        <v>1576</v>
      </c>
      <c r="C12" t="s">
        <v>1480</v>
      </c>
      <c r="D12" t="s">
        <v>1610</v>
      </c>
      <c r="F12" t="s">
        <v>107</v>
      </c>
      <c r="H12" t="s">
        <v>33</v>
      </c>
      <c r="I12" t="s">
        <v>61</v>
      </c>
      <c r="J12" t="s">
        <v>2045</v>
      </c>
      <c r="K12">
        <v>15930</v>
      </c>
      <c r="L12" s="707">
        <v>43466</v>
      </c>
      <c r="M12">
        <v>17</v>
      </c>
      <c r="N12">
        <v>1</v>
      </c>
      <c r="P12" t="s">
        <v>2057</v>
      </c>
      <c r="Q12">
        <v>5</v>
      </c>
      <c r="R12" t="s">
        <v>1990</v>
      </c>
    </row>
    <row r="13" spans="1:21">
      <c r="A13" s="951" t="s">
        <v>2058</v>
      </c>
      <c r="B13" t="s">
        <v>1576</v>
      </c>
      <c r="C13" t="s">
        <v>1480</v>
      </c>
      <c r="D13" t="s">
        <v>1610</v>
      </c>
      <c r="F13" t="s">
        <v>107</v>
      </c>
      <c r="H13" t="s">
        <v>33</v>
      </c>
      <c r="I13" t="s">
        <v>61</v>
      </c>
      <c r="J13" t="s">
        <v>2045</v>
      </c>
      <c r="K13">
        <v>15930</v>
      </c>
      <c r="L13" s="707">
        <v>43497</v>
      </c>
      <c r="M13">
        <v>19</v>
      </c>
      <c r="N13">
        <v>1</v>
      </c>
      <c r="P13" t="s">
        <v>2057</v>
      </c>
      <c r="Q13">
        <v>5</v>
      </c>
      <c r="R13" t="s">
        <v>1990</v>
      </c>
    </row>
    <row r="14" spans="1:21">
      <c r="A14" s="951" t="s">
        <v>2058</v>
      </c>
      <c r="B14" t="s">
        <v>1576</v>
      </c>
      <c r="C14" t="s">
        <v>1480</v>
      </c>
      <c r="D14" t="s">
        <v>1610</v>
      </c>
      <c r="F14" t="s">
        <v>107</v>
      </c>
      <c r="H14" t="s">
        <v>33</v>
      </c>
      <c r="I14" t="s">
        <v>61</v>
      </c>
      <c r="J14" t="s">
        <v>2045</v>
      </c>
      <c r="K14">
        <v>15930</v>
      </c>
      <c r="L14" s="707">
        <v>43525</v>
      </c>
      <c r="M14">
        <v>20</v>
      </c>
      <c r="N14">
        <v>1</v>
      </c>
      <c r="P14" t="s">
        <v>2057</v>
      </c>
      <c r="Q14">
        <v>5</v>
      </c>
      <c r="R14" t="s">
        <v>1990</v>
      </c>
    </row>
    <row r="15" spans="1:21">
      <c r="A15" s="951" t="s">
        <v>2058</v>
      </c>
      <c r="B15" t="s">
        <v>1576</v>
      </c>
      <c r="C15" t="s">
        <v>1480</v>
      </c>
      <c r="D15" t="s">
        <v>1610</v>
      </c>
      <c r="F15" t="s">
        <v>107</v>
      </c>
      <c r="H15" t="s">
        <v>33</v>
      </c>
      <c r="I15" t="s">
        <v>61</v>
      </c>
      <c r="J15" t="s">
        <v>2045</v>
      </c>
      <c r="K15">
        <v>15930</v>
      </c>
      <c r="L15" s="707">
        <v>43556</v>
      </c>
      <c r="M15">
        <v>22</v>
      </c>
      <c r="N15">
        <v>1</v>
      </c>
      <c r="P15" t="s">
        <v>2057</v>
      </c>
      <c r="Q15">
        <v>5</v>
      </c>
      <c r="R15" t="s">
        <v>1990</v>
      </c>
    </row>
    <row r="16" spans="1:21">
      <c r="A16" s="951" t="s">
        <v>2058</v>
      </c>
      <c r="B16" t="s">
        <v>1576</v>
      </c>
      <c r="C16" t="s">
        <v>1480</v>
      </c>
      <c r="D16" t="s">
        <v>1610</v>
      </c>
      <c r="F16" t="s">
        <v>107</v>
      </c>
      <c r="H16" t="s">
        <v>33</v>
      </c>
      <c r="I16" t="s">
        <v>61</v>
      </c>
      <c r="J16" t="s">
        <v>2045</v>
      </c>
      <c r="K16">
        <v>15930</v>
      </c>
      <c r="L16" s="707">
        <v>43586</v>
      </c>
      <c r="M16">
        <v>21</v>
      </c>
      <c r="N16">
        <v>1</v>
      </c>
      <c r="P16" t="s">
        <v>2057</v>
      </c>
      <c r="Q16">
        <v>5</v>
      </c>
      <c r="R16" t="s">
        <v>1990</v>
      </c>
    </row>
    <row r="17" spans="1:18">
      <c r="A17" s="951" t="s">
        <v>2058</v>
      </c>
      <c r="B17" t="s">
        <v>1576</v>
      </c>
      <c r="C17" t="s">
        <v>1480</v>
      </c>
      <c r="D17" t="s">
        <v>1610</v>
      </c>
      <c r="F17" t="s">
        <v>107</v>
      </c>
      <c r="H17" t="s">
        <v>33</v>
      </c>
      <c r="I17" t="s">
        <v>61</v>
      </c>
      <c r="J17" t="s">
        <v>2045</v>
      </c>
      <c r="K17">
        <v>15930</v>
      </c>
      <c r="L17" s="707">
        <v>43617</v>
      </c>
      <c r="M17">
        <v>19</v>
      </c>
      <c r="N17">
        <v>1</v>
      </c>
      <c r="P17" t="s">
        <v>2057</v>
      </c>
      <c r="Q17">
        <v>5</v>
      </c>
      <c r="R17" t="s">
        <v>1990</v>
      </c>
    </row>
    <row r="18" spans="1:18">
      <c r="A18" s="951" t="s">
        <v>2058</v>
      </c>
      <c r="B18" t="s">
        <v>1576</v>
      </c>
      <c r="C18" t="s">
        <v>1480</v>
      </c>
      <c r="D18" t="s">
        <v>1610</v>
      </c>
      <c r="F18" t="s">
        <v>107</v>
      </c>
      <c r="H18" t="s">
        <v>33</v>
      </c>
      <c r="I18" t="s">
        <v>61</v>
      </c>
      <c r="J18" t="s">
        <v>2045</v>
      </c>
      <c r="K18">
        <v>15930</v>
      </c>
      <c r="L18" s="707">
        <v>43647</v>
      </c>
      <c r="M18">
        <v>23</v>
      </c>
      <c r="N18">
        <v>1</v>
      </c>
      <c r="P18" t="s">
        <v>2057</v>
      </c>
      <c r="Q18">
        <v>5</v>
      </c>
      <c r="R18" t="s">
        <v>1990</v>
      </c>
    </row>
    <row r="19" spans="1:18">
      <c r="A19" s="951" t="s">
        <v>2058</v>
      </c>
      <c r="B19" t="s">
        <v>1576</v>
      </c>
      <c r="C19" t="s">
        <v>1480</v>
      </c>
      <c r="D19" t="s">
        <v>1610</v>
      </c>
      <c r="F19" t="s">
        <v>107</v>
      </c>
      <c r="H19" t="s">
        <v>33</v>
      </c>
      <c r="I19" t="s">
        <v>61</v>
      </c>
      <c r="J19" t="s">
        <v>2045</v>
      </c>
      <c r="K19">
        <v>15930</v>
      </c>
      <c r="L19" s="707">
        <v>43678</v>
      </c>
      <c r="M19">
        <v>22</v>
      </c>
      <c r="N19">
        <v>1</v>
      </c>
      <c r="P19" t="s">
        <v>2057</v>
      </c>
      <c r="Q19">
        <v>5</v>
      </c>
      <c r="R19" t="s">
        <v>1990</v>
      </c>
    </row>
    <row r="20" spans="1:18">
      <c r="A20" s="951" t="s">
        <v>2058</v>
      </c>
      <c r="B20" t="s">
        <v>1576</v>
      </c>
      <c r="C20" t="s">
        <v>1480</v>
      </c>
      <c r="D20" t="s">
        <v>1610</v>
      </c>
      <c r="F20" t="s">
        <v>107</v>
      </c>
      <c r="H20" t="s">
        <v>33</v>
      </c>
      <c r="I20" t="s">
        <v>61</v>
      </c>
      <c r="J20" t="s">
        <v>2045</v>
      </c>
      <c r="K20">
        <v>15930</v>
      </c>
      <c r="L20" s="707">
        <v>43709</v>
      </c>
      <c r="M20">
        <v>21</v>
      </c>
      <c r="N20">
        <v>1</v>
      </c>
      <c r="P20" t="s">
        <v>2057</v>
      </c>
      <c r="Q20">
        <v>5</v>
      </c>
      <c r="R20" t="s">
        <v>1990</v>
      </c>
    </row>
    <row r="21" spans="1:18">
      <c r="A21" s="951" t="s">
        <v>2058</v>
      </c>
      <c r="B21" t="s">
        <v>1576</v>
      </c>
      <c r="C21" t="s">
        <v>1480</v>
      </c>
      <c r="D21" t="s">
        <v>1610</v>
      </c>
      <c r="F21" t="s">
        <v>107</v>
      </c>
      <c r="H21" t="s">
        <v>33</v>
      </c>
      <c r="I21" t="s">
        <v>61</v>
      </c>
      <c r="J21" t="s">
        <v>2045</v>
      </c>
      <c r="K21">
        <v>15930</v>
      </c>
      <c r="L21" s="707">
        <v>43739</v>
      </c>
      <c r="M21">
        <v>20</v>
      </c>
      <c r="N21">
        <v>0.86956521739130432</v>
      </c>
      <c r="P21" t="s">
        <v>2057</v>
      </c>
      <c r="Q21">
        <v>5</v>
      </c>
      <c r="R21" t="s">
        <v>1990</v>
      </c>
    </row>
    <row r="22" spans="1:18">
      <c r="A22" s="951" t="s">
        <v>2058</v>
      </c>
      <c r="B22" t="s">
        <v>1576</v>
      </c>
      <c r="C22" t="s">
        <v>1480</v>
      </c>
      <c r="D22" t="s">
        <v>1610</v>
      </c>
      <c r="F22" t="s">
        <v>107</v>
      </c>
      <c r="H22" t="s">
        <v>33</v>
      </c>
      <c r="I22" t="s">
        <v>61</v>
      </c>
      <c r="J22" t="s">
        <v>2045</v>
      </c>
      <c r="K22">
        <v>15930</v>
      </c>
      <c r="L22" s="707">
        <v>43770</v>
      </c>
      <c r="M22">
        <v>3</v>
      </c>
      <c r="N22">
        <v>0.15</v>
      </c>
      <c r="P22" t="s">
        <v>2057</v>
      </c>
      <c r="Q22">
        <v>5</v>
      </c>
      <c r="R22" t="s">
        <v>1990</v>
      </c>
    </row>
    <row r="23" spans="1:18">
      <c r="A23" s="951" t="s">
        <v>2058</v>
      </c>
      <c r="B23" t="s">
        <v>1753</v>
      </c>
      <c r="C23" t="s">
        <v>1481</v>
      </c>
      <c r="D23" t="s">
        <v>1611</v>
      </c>
      <c r="F23" t="s">
        <v>107</v>
      </c>
      <c r="H23" t="s">
        <v>1616</v>
      </c>
      <c r="I23" t="s">
        <v>60</v>
      </c>
      <c r="J23" t="s">
        <v>2046</v>
      </c>
      <c r="K23">
        <v>11900</v>
      </c>
      <c r="L23" s="707">
        <v>43160</v>
      </c>
      <c r="M23">
        <v>20</v>
      </c>
      <c r="N23">
        <v>1</v>
      </c>
      <c r="P23" t="s">
        <v>2057</v>
      </c>
      <c r="Q23">
        <v>5</v>
      </c>
      <c r="R23" t="s">
        <v>1990</v>
      </c>
    </row>
    <row r="24" spans="1:18">
      <c r="A24" s="951" t="s">
        <v>2058</v>
      </c>
      <c r="B24" t="s">
        <v>1753</v>
      </c>
      <c r="C24" t="s">
        <v>1481</v>
      </c>
      <c r="D24" t="s">
        <v>1611</v>
      </c>
      <c r="F24" t="s">
        <v>107</v>
      </c>
      <c r="H24" t="s">
        <v>1616</v>
      </c>
      <c r="I24" t="s">
        <v>60</v>
      </c>
      <c r="J24" t="s">
        <v>2046</v>
      </c>
      <c r="K24">
        <v>11900</v>
      </c>
      <c r="L24" s="707">
        <v>43191</v>
      </c>
      <c r="M24">
        <v>21</v>
      </c>
      <c r="N24">
        <v>1</v>
      </c>
      <c r="P24" t="s">
        <v>2057</v>
      </c>
      <c r="Q24">
        <v>5</v>
      </c>
      <c r="R24" t="s">
        <v>1990</v>
      </c>
    </row>
    <row r="25" spans="1:18">
      <c r="A25" s="951" t="s">
        <v>2058</v>
      </c>
      <c r="B25" t="s">
        <v>1753</v>
      </c>
      <c r="C25" t="s">
        <v>1481</v>
      </c>
      <c r="D25" t="s">
        <v>1611</v>
      </c>
      <c r="F25" t="s">
        <v>107</v>
      </c>
      <c r="H25" t="s">
        <v>1616</v>
      </c>
      <c r="I25" t="s">
        <v>60</v>
      </c>
      <c r="J25" t="s">
        <v>2046</v>
      </c>
      <c r="K25">
        <v>11900</v>
      </c>
      <c r="L25" s="707">
        <v>43221</v>
      </c>
      <c r="M25">
        <v>20</v>
      </c>
      <c r="N25">
        <v>1</v>
      </c>
      <c r="P25" t="s">
        <v>2057</v>
      </c>
      <c r="Q25">
        <v>5</v>
      </c>
      <c r="R25" t="s">
        <v>1990</v>
      </c>
    </row>
    <row r="26" spans="1:18">
      <c r="A26" s="951" t="s">
        <v>2058</v>
      </c>
      <c r="B26" t="s">
        <v>1753</v>
      </c>
      <c r="C26" t="s">
        <v>1481</v>
      </c>
      <c r="D26" t="s">
        <v>1611</v>
      </c>
      <c r="F26" t="s">
        <v>107</v>
      </c>
      <c r="H26" t="s">
        <v>1616</v>
      </c>
      <c r="I26" t="s">
        <v>60</v>
      </c>
      <c r="J26" t="s">
        <v>2046</v>
      </c>
      <c r="K26">
        <v>11900</v>
      </c>
      <c r="L26" s="707">
        <v>43252</v>
      </c>
      <c r="M26">
        <v>20</v>
      </c>
      <c r="N26">
        <v>1</v>
      </c>
      <c r="P26" t="s">
        <v>2057</v>
      </c>
      <c r="Q26">
        <v>5</v>
      </c>
      <c r="R26" t="s">
        <v>1990</v>
      </c>
    </row>
    <row r="27" spans="1:18">
      <c r="A27" s="951" t="s">
        <v>2058</v>
      </c>
      <c r="B27" t="s">
        <v>1753</v>
      </c>
      <c r="C27" t="s">
        <v>1481</v>
      </c>
      <c r="D27" t="s">
        <v>1611</v>
      </c>
      <c r="F27" t="s">
        <v>107</v>
      </c>
      <c r="H27" t="s">
        <v>1616</v>
      </c>
      <c r="I27" t="s">
        <v>60</v>
      </c>
      <c r="J27" t="s">
        <v>2046</v>
      </c>
      <c r="K27">
        <v>11900</v>
      </c>
      <c r="L27" s="707">
        <v>43282</v>
      </c>
      <c r="M27">
        <v>22</v>
      </c>
      <c r="N27">
        <v>1</v>
      </c>
      <c r="P27" t="s">
        <v>2057</v>
      </c>
      <c r="Q27">
        <v>5</v>
      </c>
      <c r="R27" t="s">
        <v>1990</v>
      </c>
    </row>
    <row r="28" spans="1:18">
      <c r="A28" s="951" t="s">
        <v>2058</v>
      </c>
      <c r="B28" t="s">
        <v>1753</v>
      </c>
      <c r="C28" t="s">
        <v>1481</v>
      </c>
      <c r="D28" t="s">
        <v>1611</v>
      </c>
      <c r="F28" t="s">
        <v>107</v>
      </c>
      <c r="H28" t="s">
        <v>1616</v>
      </c>
      <c r="I28" t="s">
        <v>60</v>
      </c>
      <c r="J28" t="s">
        <v>2046</v>
      </c>
      <c r="K28">
        <v>11900</v>
      </c>
      <c r="L28" s="707">
        <v>43313</v>
      </c>
      <c r="M28">
        <v>23</v>
      </c>
      <c r="N28">
        <v>1</v>
      </c>
      <c r="P28" t="s">
        <v>2057</v>
      </c>
      <c r="Q28">
        <v>5</v>
      </c>
      <c r="R28" t="s">
        <v>1990</v>
      </c>
    </row>
    <row r="29" spans="1:18">
      <c r="A29" s="951" t="s">
        <v>2058</v>
      </c>
      <c r="B29" t="s">
        <v>1753</v>
      </c>
      <c r="C29" t="s">
        <v>1481</v>
      </c>
      <c r="D29" t="s">
        <v>1611</v>
      </c>
      <c r="F29" t="s">
        <v>107</v>
      </c>
      <c r="H29" t="s">
        <v>1616</v>
      </c>
      <c r="I29" t="s">
        <v>60</v>
      </c>
      <c r="J29" t="s">
        <v>2046</v>
      </c>
      <c r="K29">
        <v>11900</v>
      </c>
      <c r="L29" s="707">
        <v>43344</v>
      </c>
      <c r="M29">
        <v>20</v>
      </c>
      <c r="N29">
        <v>1</v>
      </c>
      <c r="P29" t="s">
        <v>2057</v>
      </c>
      <c r="Q29">
        <v>5</v>
      </c>
      <c r="R29" t="s">
        <v>1990</v>
      </c>
    </row>
    <row r="30" spans="1:18">
      <c r="A30" s="951" t="s">
        <v>2058</v>
      </c>
      <c r="B30" t="s">
        <v>1753</v>
      </c>
      <c r="C30" t="s">
        <v>1481</v>
      </c>
      <c r="D30" t="s">
        <v>1611</v>
      </c>
      <c r="F30" t="s">
        <v>107</v>
      </c>
      <c r="H30" t="s">
        <v>1616</v>
      </c>
      <c r="I30" t="s">
        <v>60</v>
      </c>
      <c r="J30" t="s">
        <v>2046</v>
      </c>
      <c r="K30">
        <v>11900</v>
      </c>
      <c r="L30" s="707">
        <v>43374</v>
      </c>
      <c r="M30">
        <v>23</v>
      </c>
      <c r="N30">
        <v>1</v>
      </c>
      <c r="P30" t="s">
        <v>2057</v>
      </c>
      <c r="Q30">
        <v>5</v>
      </c>
      <c r="R30" t="s">
        <v>1990</v>
      </c>
    </row>
    <row r="31" spans="1:18">
      <c r="A31" s="951" t="s">
        <v>2058</v>
      </c>
      <c r="B31" t="s">
        <v>1753</v>
      </c>
      <c r="C31" t="s">
        <v>1481</v>
      </c>
      <c r="D31" t="s">
        <v>1611</v>
      </c>
      <c r="F31" t="s">
        <v>107</v>
      </c>
      <c r="H31" t="s">
        <v>1616</v>
      </c>
      <c r="I31" t="s">
        <v>60</v>
      </c>
      <c r="J31" t="s">
        <v>2046</v>
      </c>
      <c r="K31">
        <v>11900</v>
      </c>
      <c r="L31" s="707">
        <v>43405</v>
      </c>
      <c r="M31">
        <v>21</v>
      </c>
      <c r="N31">
        <v>1</v>
      </c>
      <c r="P31" t="s">
        <v>2057</v>
      </c>
      <c r="Q31">
        <v>5</v>
      </c>
      <c r="R31" t="s">
        <v>1990</v>
      </c>
    </row>
    <row r="32" spans="1:18">
      <c r="A32" s="951" t="s">
        <v>2058</v>
      </c>
      <c r="B32" t="s">
        <v>1753</v>
      </c>
      <c r="C32" t="s">
        <v>1481</v>
      </c>
      <c r="D32" t="s">
        <v>1611</v>
      </c>
      <c r="F32" t="s">
        <v>107</v>
      </c>
      <c r="H32" t="s">
        <v>1616</v>
      </c>
      <c r="I32" t="s">
        <v>60</v>
      </c>
      <c r="J32" t="s">
        <v>2046</v>
      </c>
      <c r="K32">
        <v>11900</v>
      </c>
      <c r="L32" s="707">
        <v>43435</v>
      </c>
      <c r="M32">
        <v>21</v>
      </c>
      <c r="N32">
        <v>1</v>
      </c>
      <c r="P32" t="s">
        <v>2057</v>
      </c>
      <c r="Q32">
        <v>5</v>
      </c>
      <c r="R32" t="s">
        <v>1990</v>
      </c>
    </row>
    <row r="33" spans="1:18">
      <c r="A33" s="951" t="s">
        <v>2058</v>
      </c>
      <c r="B33" t="s">
        <v>1753</v>
      </c>
      <c r="C33" t="s">
        <v>1481</v>
      </c>
      <c r="D33" t="s">
        <v>1611</v>
      </c>
      <c r="F33" t="s">
        <v>107</v>
      </c>
      <c r="H33" t="s">
        <v>1616</v>
      </c>
      <c r="I33" t="s">
        <v>60</v>
      </c>
      <c r="J33" t="s">
        <v>2046</v>
      </c>
      <c r="K33">
        <v>11900</v>
      </c>
      <c r="L33" s="707">
        <v>43466</v>
      </c>
      <c r="M33">
        <v>17</v>
      </c>
      <c r="N33">
        <v>1</v>
      </c>
      <c r="P33" t="s">
        <v>2057</v>
      </c>
      <c r="Q33">
        <v>5</v>
      </c>
      <c r="R33" t="s">
        <v>1990</v>
      </c>
    </row>
    <row r="34" spans="1:18">
      <c r="A34" s="951" t="s">
        <v>2058</v>
      </c>
      <c r="B34" t="s">
        <v>1753</v>
      </c>
      <c r="C34" t="s">
        <v>1481</v>
      </c>
      <c r="D34" t="s">
        <v>1611</v>
      </c>
      <c r="F34" t="s">
        <v>107</v>
      </c>
      <c r="H34" t="s">
        <v>1616</v>
      </c>
      <c r="I34" t="s">
        <v>60</v>
      </c>
      <c r="J34" t="s">
        <v>2046</v>
      </c>
      <c r="K34">
        <v>11900</v>
      </c>
      <c r="L34" s="707">
        <v>43497</v>
      </c>
      <c r="M34">
        <v>19</v>
      </c>
      <c r="N34">
        <v>1</v>
      </c>
      <c r="P34" t="s">
        <v>2057</v>
      </c>
      <c r="Q34">
        <v>5</v>
      </c>
      <c r="R34" t="s">
        <v>1990</v>
      </c>
    </row>
    <row r="35" spans="1:18">
      <c r="A35" s="951" t="s">
        <v>2058</v>
      </c>
      <c r="B35" t="s">
        <v>1753</v>
      </c>
      <c r="C35" t="s">
        <v>1481</v>
      </c>
      <c r="D35" t="s">
        <v>1611</v>
      </c>
      <c r="F35" t="s">
        <v>107</v>
      </c>
      <c r="H35" t="s">
        <v>1616</v>
      </c>
      <c r="I35" t="s">
        <v>60</v>
      </c>
      <c r="J35" t="s">
        <v>2046</v>
      </c>
      <c r="K35">
        <v>11900</v>
      </c>
      <c r="L35" s="707">
        <v>43525</v>
      </c>
      <c r="M35">
        <v>20</v>
      </c>
      <c r="N35">
        <v>1</v>
      </c>
      <c r="P35" t="s">
        <v>2057</v>
      </c>
      <c r="Q35">
        <v>5</v>
      </c>
      <c r="R35" t="s">
        <v>1990</v>
      </c>
    </row>
    <row r="36" spans="1:18">
      <c r="A36" s="951" t="s">
        <v>2058</v>
      </c>
      <c r="B36" t="s">
        <v>1753</v>
      </c>
      <c r="C36" t="s">
        <v>1481</v>
      </c>
      <c r="D36" t="s">
        <v>1611</v>
      </c>
      <c r="F36" t="s">
        <v>107</v>
      </c>
      <c r="H36" t="s">
        <v>1616</v>
      </c>
      <c r="I36" t="s">
        <v>60</v>
      </c>
      <c r="J36" t="s">
        <v>2046</v>
      </c>
      <c r="K36">
        <v>11900</v>
      </c>
      <c r="L36" s="707">
        <v>43556</v>
      </c>
      <c r="M36">
        <v>22</v>
      </c>
      <c r="N36">
        <v>1</v>
      </c>
      <c r="P36" t="s">
        <v>2057</v>
      </c>
      <c r="Q36">
        <v>5</v>
      </c>
      <c r="R36" t="s">
        <v>1990</v>
      </c>
    </row>
    <row r="37" spans="1:18">
      <c r="A37" s="951" t="s">
        <v>2058</v>
      </c>
      <c r="B37" t="s">
        <v>1753</v>
      </c>
      <c r="C37" t="s">
        <v>1481</v>
      </c>
      <c r="D37" t="s">
        <v>1611</v>
      </c>
      <c r="F37" t="s">
        <v>107</v>
      </c>
      <c r="H37" t="s">
        <v>1616</v>
      </c>
      <c r="I37" t="s">
        <v>60</v>
      </c>
      <c r="J37" t="s">
        <v>2046</v>
      </c>
      <c r="K37">
        <v>11900</v>
      </c>
      <c r="L37" s="707">
        <v>43586</v>
      </c>
      <c r="M37">
        <v>21</v>
      </c>
      <c r="N37">
        <v>1</v>
      </c>
      <c r="P37" t="s">
        <v>2057</v>
      </c>
      <c r="Q37">
        <v>5</v>
      </c>
      <c r="R37" t="s">
        <v>1990</v>
      </c>
    </row>
    <row r="38" spans="1:18">
      <c r="A38" s="951" t="s">
        <v>2058</v>
      </c>
      <c r="B38" t="s">
        <v>1753</v>
      </c>
      <c r="C38" t="s">
        <v>1481</v>
      </c>
      <c r="D38" t="s">
        <v>1611</v>
      </c>
      <c r="F38" t="s">
        <v>107</v>
      </c>
      <c r="H38" t="s">
        <v>1616</v>
      </c>
      <c r="I38" t="s">
        <v>60</v>
      </c>
      <c r="J38" t="s">
        <v>2046</v>
      </c>
      <c r="K38">
        <v>11900</v>
      </c>
      <c r="L38" s="707">
        <v>43617</v>
      </c>
      <c r="M38">
        <v>19</v>
      </c>
      <c r="N38">
        <v>1</v>
      </c>
      <c r="P38" t="s">
        <v>2057</v>
      </c>
      <c r="Q38">
        <v>5</v>
      </c>
      <c r="R38" t="s">
        <v>1990</v>
      </c>
    </row>
    <row r="39" spans="1:18">
      <c r="A39" s="951" t="s">
        <v>2058</v>
      </c>
      <c r="B39" t="s">
        <v>1753</v>
      </c>
      <c r="C39" t="s">
        <v>1481</v>
      </c>
      <c r="D39" t="s">
        <v>1611</v>
      </c>
      <c r="F39" t="s">
        <v>107</v>
      </c>
      <c r="H39" t="s">
        <v>1616</v>
      </c>
      <c r="I39" t="s">
        <v>60</v>
      </c>
      <c r="J39" t="s">
        <v>2046</v>
      </c>
      <c r="K39">
        <v>11900</v>
      </c>
      <c r="L39" s="707">
        <v>43647</v>
      </c>
      <c r="M39">
        <v>23</v>
      </c>
      <c r="N39">
        <v>1</v>
      </c>
      <c r="P39" t="s">
        <v>2057</v>
      </c>
      <c r="Q39">
        <v>5</v>
      </c>
      <c r="R39" t="s">
        <v>1990</v>
      </c>
    </row>
    <row r="40" spans="1:18">
      <c r="A40" s="951" t="s">
        <v>2058</v>
      </c>
      <c r="B40" t="s">
        <v>1753</v>
      </c>
      <c r="C40" t="s">
        <v>1481</v>
      </c>
      <c r="D40" t="s">
        <v>1611</v>
      </c>
      <c r="F40" t="s">
        <v>107</v>
      </c>
      <c r="H40" t="s">
        <v>1616</v>
      </c>
      <c r="I40" t="s">
        <v>60</v>
      </c>
      <c r="J40" t="s">
        <v>2046</v>
      </c>
      <c r="K40">
        <v>11900</v>
      </c>
      <c r="L40" s="707">
        <v>43678</v>
      </c>
      <c r="M40">
        <v>12</v>
      </c>
      <c r="N40">
        <v>0.54545454545454541</v>
      </c>
      <c r="P40" t="s">
        <v>2057</v>
      </c>
      <c r="Q40">
        <v>5</v>
      </c>
      <c r="R40" t="s">
        <v>1990</v>
      </c>
    </row>
    <row r="41" spans="1:18">
      <c r="A41" s="951" t="s">
        <v>2058</v>
      </c>
      <c r="B41" t="s">
        <v>1753</v>
      </c>
      <c r="C41" t="s">
        <v>1481</v>
      </c>
      <c r="D41" t="s">
        <v>1611</v>
      </c>
      <c r="F41" t="s">
        <v>107</v>
      </c>
      <c r="H41" t="s">
        <v>1616</v>
      </c>
      <c r="I41" t="s">
        <v>60</v>
      </c>
      <c r="J41" t="s">
        <v>2046</v>
      </c>
      <c r="K41">
        <v>11900</v>
      </c>
      <c r="L41" s="707">
        <v>43709</v>
      </c>
      <c r="M41">
        <v>3</v>
      </c>
      <c r="N41">
        <v>0.14285714285714285</v>
      </c>
      <c r="P41" t="s">
        <v>2057</v>
      </c>
      <c r="Q41">
        <v>5</v>
      </c>
      <c r="R41" t="s">
        <v>1990</v>
      </c>
    </row>
    <row r="42" spans="1:18">
      <c r="A42" s="951" t="s">
        <v>2058</v>
      </c>
      <c r="B42" t="s">
        <v>1578</v>
      </c>
      <c r="C42" t="s">
        <v>1495</v>
      </c>
      <c r="D42" t="s">
        <v>1675</v>
      </c>
      <c r="F42" t="s">
        <v>107</v>
      </c>
      <c r="H42" t="s">
        <v>44</v>
      </c>
      <c r="I42" t="s">
        <v>1453</v>
      </c>
      <c r="J42" t="s">
        <v>2047</v>
      </c>
      <c r="K42">
        <v>21520</v>
      </c>
      <c r="L42" s="707">
        <v>43132</v>
      </c>
      <c r="M42">
        <v>19</v>
      </c>
      <c r="N42">
        <v>1</v>
      </c>
      <c r="P42" t="s">
        <v>2057</v>
      </c>
      <c r="Q42">
        <v>5</v>
      </c>
      <c r="R42" t="s">
        <v>1990</v>
      </c>
    </row>
    <row r="43" spans="1:18">
      <c r="A43" s="951" t="s">
        <v>2058</v>
      </c>
      <c r="B43" t="s">
        <v>1578</v>
      </c>
      <c r="C43" t="s">
        <v>1495</v>
      </c>
      <c r="D43" t="s">
        <v>1675</v>
      </c>
      <c r="F43" t="s">
        <v>107</v>
      </c>
      <c r="H43" t="s">
        <v>44</v>
      </c>
      <c r="I43" t="s">
        <v>1453</v>
      </c>
      <c r="J43" t="s">
        <v>2047</v>
      </c>
      <c r="K43">
        <v>21520</v>
      </c>
      <c r="L43" s="707">
        <v>43160</v>
      </c>
      <c r="M43">
        <v>20</v>
      </c>
      <c r="N43">
        <v>1</v>
      </c>
      <c r="P43" t="s">
        <v>2057</v>
      </c>
      <c r="Q43">
        <v>5</v>
      </c>
      <c r="R43" t="s">
        <v>1990</v>
      </c>
    </row>
    <row r="44" spans="1:18">
      <c r="A44" s="951" t="s">
        <v>2058</v>
      </c>
      <c r="B44" t="s">
        <v>1578</v>
      </c>
      <c r="C44" t="s">
        <v>1495</v>
      </c>
      <c r="D44" t="s">
        <v>1675</v>
      </c>
      <c r="F44" t="s">
        <v>107</v>
      </c>
      <c r="H44" t="s">
        <v>44</v>
      </c>
      <c r="I44" t="s">
        <v>1453</v>
      </c>
      <c r="J44" t="s">
        <v>2047</v>
      </c>
      <c r="K44">
        <v>21520</v>
      </c>
      <c r="L44" s="707">
        <v>43191</v>
      </c>
      <c r="M44">
        <v>21</v>
      </c>
      <c r="N44">
        <v>1</v>
      </c>
      <c r="P44" t="s">
        <v>2057</v>
      </c>
      <c r="Q44">
        <v>5</v>
      </c>
      <c r="R44" t="s">
        <v>1990</v>
      </c>
    </row>
    <row r="45" spans="1:18">
      <c r="A45" s="951" t="s">
        <v>2058</v>
      </c>
      <c r="B45" t="s">
        <v>1578</v>
      </c>
      <c r="C45" t="s">
        <v>1495</v>
      </c>
      <c r="D45" t="s">
        <v>1675</v>
      </c>
      <c r="F45" t="s">
        <v>107</v>
      </c>
      <c r="H45" t="s">
        <v>44</v>
      </c>
      <c r="I45" t="s">
        <v>1453</v>
      </c>
      <c r="J45" t="s">
        <v>2047</v>
      </c>
      <c r="K45">
        <v>21520</v>
      </c>
      <c r="L45" s="707">
        <v>43221</v>
      </c>
      <c r="M45">
        <v>20</v>
      </c>
      <c r="N45">
        <v>1</v>
      </c>
      <c r="P45" t="s">
        <v>2057</v>
      </c>
      <c r="Q45">
        <v>5</v>
      </c>
      <c r="R45" t="s">
        <v>1990</v>
      </c>
    </row>
    <row r="46" spans="1:18">
      <c r="A46" s="951" t="s">
        <v>2058</v>
      </c>
      <c r="B46" t="s">
        <v>1578</v>
      </c>
      <c r="C46" t="s">
        <v>1495</v>
      </c>
      <c r="D46" t="s">
        <v>1675</v>
      </c>
      <c r="F46" t="s">
        <v>107</v>
      </c>
      <c r="H46" t="s">
        <v>44</v>
      </c>
      <c r="I46" t="s">
        <v>1453</v>
      </c>
      <c r="J46" t="s">
        <v>2047</v>
      </c>
      <c r="K46">
        <v>21520</v>
      </c>
      <c r="L46" s="707">
        <v>43252</v>
      </c>
      <c r="M46">
        <v>20</v>
      </c>
      <c r="N46">
        <v>1</v>
      </c>
      <c r="P46" t="s">
        <v>2057</v>
      </c>
      <c r="Q46">
        <v>5</v>
      </c>
      <c r="R46" t="s">
        <v>1990</v>
      </c>
    </row>
    <row r="47" spans="1:18">
      <c r="A47" s="951" t="s">
        <v>2058</v>
      </c>
      <c r="B47" t="s">
        <v>1578</v>
      </c>
      <c r="C47" t="s">
        <v>1495</v>
      </c>
      <c r="D47" t="s">
        <v>1675</v>
      </c>
      <c r="F47" t="s">
        <v>107</v>
      </c>
      <c r="G47" t="s">
        <v>1699</v>
      </c>
      <c r="H47" t="s">
        <v>43</v>
      </c>
      <c r="I47" t="s">
        <v>1453</v>
      </c>
      <c r="J47" t="s">
        <v>2048</v>
      </c>
      <c r="K47">
        <v>21520</v>
      </c>
      <c r="L47" s="707">
        <v>43160</v>
      </c>
      <c r="M47">
        <v>5</v>
      </c>
      <c r="N47">
        <v>0.25</v>
      </c>
      <c r="P47" t="s">
        <v>2057</v>
      </c>
      <c r="Q47">
        <v>5</v>
      </c>
      <c r="R47" t="s">
        <v>1990</v>
      </c>
    </row>
    <row r="48" spans="1:18">
      <c r="A48" s="951" t="s">
        <v>2058</v>
      </c>
      <c r="B48" t="s">
        <v>1578</v>
      </c>
      <c r="C48" t="s">
        <v>1495</v>
      </c>
      <c r="D48" t="s">
        <v>1675</v>
      </c>
      <c r="F48" t="s">
        <v>107</v>
      </c>
      <c r="G48" t="s">
        <v>1699</v>
      </c>
      <c r="H48" t="s">
        <v>43</v>
      </c>
      <c r="I48" t="s">
        <v>1453</v>
      </c>
      <c r="J48" t="s">
        <v>2048</v>
      </c>
      <c r="K48">
        <v>21520</v>
      </c>
      <c r="L48" s="707">
        <v>43191</v>
      </c>
      <c r="M48">
        <v>5</v>
      </c>
      <c r="N48">
        <v>0.23809523809523808</v>
      </c>
      <c r="P48" t="s">
        <v>2057</v>
      </c>
      <c r="Q48">
        <v>5</v>
      </c>
      <c r="R48" t="s">
        <v>1990</v>
      </c>
    </row>
    <row r="49" spans="1:18">
      <c r="A49" s="951" t="s">
        <v>2058</v>
      </c>
      <c r="B49" t="s">
        <v>1578</v>
      </c>
      <c r="C49" t="s">
        <v>1495</v>
      </c>
      <c r="D49" t="s">
        <v>1675</v>
      </c>
      <c r="F49" t="s">
        <v>107</v>
      </c>
      <c r="G49" t="s">
        <v>1699</v>
      </c>
      <c r="H49" t="s">
        <v>43</v>
      </c>
      <c r="I49" t="s">
        <v>1453</v>
      </c>
      <c r="J49" t="s">
        <v>2048</v>
      </c>
      <c r="K49">
        <v>21520</v>
      </c>
      <c r="L49" s="707">
        <v>43525</v>
      </c>
      <c r="M49">
        <v>5</v>
      </c>
      <c r="N49">
        <v>0.25</v>
      </c>
      <c r="P49" t="s">
        <v>2057</v>
      </c>
      <c r="Q49">
        <v>5</v>
      </c>
      <c r="R49" t="s">
        <v>1990</v>
      </c>
    </row>
    <row r="50" spans="1:18">
      <c r="A50" s="951" t="s">
        <v>2058</v>
      </c>
      <c r="B50" t="s">
        <v>1578</v>
      </c>
      <c r="C50" t="s">
        <v>1495</v>
      </c>
      <c r="D50" t="s">
        <v>1675</v>
      </c>
      <c r="F50" t="s">
        <v>107</v>
      </c>
      <c r="H50" t="s">
        <v>40</v>
      </c>
      <c r="I50" t="s">
        <v>1453</v>
      </c>
      <c r="J50" t="s">
        <v>2049</v>
      </c>
      <c r="K50">
        <v>21520</v>
      </c>
      <c r="L50" s="707">
        <v>43160</v>
      </c>
      <c r="M50">
        <v>10</v>
      </c>
      <c r="N50">
        <v>0.5</v>
      </c>
      <c r="P50" t="s">
        <v>2057</v>
      </c>
      <c r="Q50">
        <v>5</v>
      </c>
      <c r="R50" t="s">
        <v>1990</v>
      </c>
    </row>
    <row r="51" spans="1:18">
      <c r="A51" s="951" t="s">
        <v>2058</v>
      </c>
      <c r="B51" t="s">
        <v>1578</v>
      </c>
      <c r="C51" t="s">
        <v>1495</v>
      </c>
      <c r="D51" t="s">
        <v>1675</v>
      </c>
      <c r="F51" t="s">
        <v>107</v>
      </c>
      <c r="H51" t="s">
        <v>40</v>
      </c>
      <c r="I51" t="s">
        <v>1453</v>
      </c>
      <c r="J51" t="s">
        <v>2049</v>
      </c>
      <c r="K51">
        <v>21520</v>
      </c>
      <c r="L51" s="707">
        <v>43191</v>
      </c>
      <c r="M51">
        <v>10</v>
      </c>
      <c r="N51">
        <v>0.47619047619047616</v>
      </c>
      <c r="P51" t="s">
        <v>2057</v>
      </c>
      <c r="Q51">
        <v>5</v>
      </c>
      <c r="R51" t="s">
        <v>1990</v>
      </c>
    </row>
    <row r="52" spans="1:18">
      <c r="A52" s="951" t="s">
        <v>2058</v>
      </c>
      <c r="B52" t="s">
        <v>1578</v>
      </c>
      <c r="C52" t="s">
        <v>1495</v>
      </c>
      <c r="D52" t="s">
        <v>1675</v>
      </c>
      <c r="F52" t="s">
        <v>107</v>
      </c>
      <c r="H52" t="s">
        <v>40</v>
      </c>
      <c r="I52" t="s">
        <v>1453</v>
      </c>
      <c r="J52" t="s">
        <v>2049</v>
      </c>
      <c r="K52">
        <v>21520</v>
      </c>
      <c r="L52" s="707">
        <v>43221</v>
      </c>
      <c r="M52">
        <v>10</v>
      </c>
      <c r="N52">
        <v>0.5</v>
      </c>
      <c r="P52" t="s">
        <v>2057</v>
      </c>
      <c r="Q52">
        <v>5</v>
      </c>
      <c r="R52" t="s">
        <v>1990</v>
      </c>
    </row>
    <row r="53" spans="1:18">
      <c r="A53" s="951" t="s">
        <v>2058</v>
      </c>
      <c r="B53" t="s">
        <v>1579</v>
      </c>
      <c r="C53" t="s">
        <v>1496</v>
      </c>
      <c r="D53" t="s">
        <v>1496</v>
      </c>
      <c r="F53" t="s">
        <v>107</v>
      </c>
      <c r="H53" t="s">
        <v>40</v>
      </c>
      <c r="I53" t="s">
        <v>1453</v>
      </c>
      <c r="J53" t="s">
        <v>2049</v>
      </c>
      <c r="K53">
        <v>21520</v>
      </c>
      <c r="L53" s="707">
        <v>43160</v>
      </c>
      <c r="M53">
        <v>5</v>
      </c>
      <c r="N53">
        <v>0.25</v>
      </c>
      <c r="P53" t="s">
        <v>2057</v>
      </c>
      <c r="Q53">
        <v>5</v>
      </c>
      <c r="R53" t="s">
        <v>1990</v>
      </c>
    </row>
    <row r="54" spans="1:18">
      <c r="A54" s="951" t="s">
        <v>2058</v>
      </c>
      <c r="B54" t="s">
        <v>1579</v>
      </c>
      <c r="C54" t="s">
        <v>1496</v>
      </c>
      <c r="D54" t="s">
        <v>1496</v>
      </c>
      <c r="F54" t="s">
        <v>107</v>
      </c>
      <c r="H54" t="s">
        <v>40</v>
      </c>
      <c r="I54" t="s">
        <v>1453</v>
      </c>
      <c r="J54" t="s">
        <v>2049</v>
      </c>
      <c r="K54">
        <v>21520</v>
      </c>
      <c r="L54" s="707">
        <v>43191</v>
      </c>
      <c r="M54">
        <v>6</v>
      </c>
      <c r="N54">
        <v>0.2857142857142857</v>
      </c>
      <c r="P54" t="s">
        <v>2057</v>
      </c>
      <c r="Q54">
        <v>5</v>
      </c>
      <c r="R54" t="s">
        <v>1990</v>
      </c>
    </row>
    <row r="55" spans="1:18">
      <c r="A55" s="951" t="s">
        <v>2058</v>
      </c>
      <c r="B55" t="s">
        <v>1579</v>
      </c>
      <c r="C55" t="s">
        <v>1496</v>
      </c>
      <c r="D55" t="s">
        <v>1496</v>
      </c>
      <c r="F55" t="s">
        <v>107</v>
      </c>
      <c r="H55" t="s">
        <v>40</v>
      </c>
      <c r="I55" t="s">
        <v>1453</v>
      </c>
      <c r="J55" t="s">
        <v>2049</v>
      </c>
      <c r="K55">
        <v>21520</v>
      </c>
      <c r="L55" s="707">
        <v>43221</v>
      </c>
      <c r="M55">
        <v>5</v>
      </c>
      <c r="N55">
        <v>0.25</v>
      </c>
      <c r="P55" t="s">
        <v>2057</v>
      </c>
      <c r="Q55">
        <v>5</v>
      </c>
      <c r="R55" t="s">
        <v>1990</v>
      </c>
    </row>
    <row r="56" spans="1:18">
      <c r="A56" s="951" t="s">
        <v>2058</v>
      </c>
      <c r="B56" t="s">
        <v>1579</v>
      </c>
      <c r="C56" t="s">
        <v>1496</v>
      </c>
      <c r="D56" t="s">
        <v>1496</v>
      </c>
      <c r="F56" t="s">
        <v>107</v>
      </c>
      <c r="H56" t="s">
        <v>40</v>
      </c>
      <c r="I56" t="s">
        <v>1453</v>
      </c>
      <c r="J56" t="s">
        <v>2049</v>
      </c>
      <c r="K56">
        <v>21520</v>
      </c>
      <c r="L56" s="707">
        <v>43252</v>
      </c>
      <c r="M56">
        <v>5</v>
      </c>
      <c r="N56">
        <v>0.25</v>
      </c>
      <c r="P56" t="s">
        <v>2057</v>
      </c>
      <c r="Q56">
        <v>5</v>
      </c>
      <c r="R56" t="s">
        <v>1990</v>
      </c>
    </row>
    <row r="57" spans="1:18">
      <c r="A57" s="951" t="s">
        <v>2058</v>
      </c>
      <c r="B57" t="s">
        <v>1579</v>
      </c>
      <c r="C57" t="s">
        <v>1496</v>
      </c>
      <c r="D57" t="s">
        <v>1496</v>
      </c>
      <c r="F57" t="s">
        <v>107</v>
      </c>
      <c r="H57" t="s">
        <v>43</v>
      </c>
      <c r="I57" t="s">
        <v>1453</v>
      </c>
      <c r="J57" t="s">
        <v>2048</v>
      </c>
      <c r="K57">
        <v>21520</v>
      </c>
      <c r="L57" s="707">
        <v>43252</v>
      </c>
      <c r="M57">
        <v>5</v>
      </c>
      <c r="N57">
        <v>0.25</v>
      </c>
      <c r="P57" t="s">
        <v>2057</v>
      </c>
      <c r="Q57">
        <v>5</v>
      </c>
      <c r="R57" t="s">
        <v>1990</v>
      </c>
    </row>
    <row r="58" spans="1:18">
      <c r="A58" s="951" t="s">
        <v>2058</v>
      </c>
      <c r="B58" t="s">
        <v>1580</v>
      </c>
      <c r="C58" t="s">
        <v>1497</v>
      </c>
      <c r="D58" t="s">
        <v>1498</v>
      </c>
      <c r="F58" t="s">
        <v>107</v>
      </c>
      <c r="H58" t="s">
        <v>40</v>
      </c>
      <c r="I58" t="s">
        <v>1453</v>
      </c>
      <c r="J58" t="s">
        <v>2049</v>
      </c>
      <c r="K58">
        <v>21520</v>
      </c>
      <c r="L58" s="707">
        <v>43160</v>
      </c>
      <c r="M58">
        <v>5</v>
      </c>
      <c r="N58">
        <v>0.25</v>
      </c>
      <c r="P58" t="s">
        <v>2057</v>
      </c>
      <c r="Q58">
        <v>5</v>
      </c>
      <c r="R58" t="s">
        <v>1990</v>
      </c>
    </row>
    <row r="59" spans="1:18">
      <c r="A59" s="951" t="s">
        <v>2058</v>
      </c>
      <c r="B59" t="s">
        <v>1580</v>
      </c>
      <c r="C59" t="s">
        <v>1497</v>
      </c>
      <c r="D59" t="s">
        <v>1498</v>
      </c>
      <c r="F59" t="s">
        <v>107</v>
      </c>
      <c r="H59" t="s">
        <v>40</v>
      </c>
      <c r="I59" t="s">
        <v>1453</v>
      </c>
      <c r="J59" t="s">
        <v>2049</v>
      </c>
      <c r="K59">
        <v>21520</v>
      </c>
      <c r="L59" s="707">
        <v>43191</v>
      </c>
      <c r="M59">
        <v>5</v>
      </c>
      <c r="N59">
        <v>0.23809523809523808</v>
      </c>
      <c r="P59" t="s">
        <v>2057</v>
      </c>
      <c r="Q59">
        <v>5</v>
      </c>
      <c r="R59" t="s">
        <v>1990</v>
      </c>
    </row>
    <row r="60" spans="1:18">
      <c r="A60" s="951" t="s">
        <v>2058</v>
      </c>
      <c r="B60" t="s">
        <v>1580</v>
      </c>
      <c r="C60" t="s">
        <v>1497</v>
      </c>
      <c r="D60" t="s">
        <v>1498</v>
      </c>
      <c r="F60" t="s">
        <v>107</v>
      </c>
      <c r="H60" t="s">
        <v>40</v>
      </c>
      <c r="I60" t="s">
        <v>1453</v>
      </c>
      <c r="J60" t="s">
        <v>2049</v>
      </c>
      <c r="K60">
        <v>21520</v>
      </c>
      <c r="L60" s="707">
        <v>43221</v>
      </c>
      <c r="M60">
        <v>5</v>
      </c>
      <c r="N60">
        <v>0.25</v>
      </c>
      <c r="P60" t="s">
        <v>2057</v>
      </c>
      <c r="Q60">
        <v>5</v>
      </c>
      <c r="R60" t="s">
        <v>1990</v>
      </c>
    </row>
    <row r="61" spans="1:18">
      <c r="A61" s="951" t="s">
        <v>2058</v>
      </c>
      <c r="B61" t="s">
        <v>1580</v>
      </c>
      <c r="C61" t="s">
        <v>1497</v>
      </c>
      <c r="D61" t="s">
        <v>1498</v>
      </c>
      <c r="F61" t="s">
        <v>107</v>
      </c>
      <c r="H61" t="s">
        <v>40</v>
      </c>
      <c r="I61" t="s">
        <v>1453</v>
      </c>
      <c r="J61" t="s">
        <v>2049</v>
      </c>
      <c r="K61">
        <v>21520</v>
      </c>
      <c r="L61" s="707">
        <v>43252</v>
      </c>
      <c r="M61">
        <v>5</v>
      </c>
      <c r="N61">
        <v>0.25</v>
      </c>
      <c r="P61" t="s">
        <v>2057</v>
      </c>
      <c r="Q61">
        <v>5</v>
      </c>
      <c r="R61" t="s">
        <v>1990</v>
      </c>
    </row>
    <row r="62" spans="1:18">
      <c r="A62" s="951" t="s">
        <v>2058</v>
      </c>
      <c r="B62" t="s">
        <v>1580</v>
      </c>
      <c r="C62" t="s">
        <v>1497</v>
      </c>
      <c r="D62" t="s">
        <v>1498</v>
      </c>
      <c r="F62" t="s">
        <v>107</v>
      </c>
      <c r="G62" t="s">
        <v>1699</v>
      </c>
      <c r="H62" t="s">
        <v>1619</v>
      </c>
      <c r="I62" t="s">
        <v>60</v>
      </c>
      <c r="J62" t="s">
        <v>2050</v>
      </c>
      <c r="K62">
        <v>11900</v>
      </c>
      <c r="L62" s="707">
        <v>43221</v>
      </c>
      <c r="M62">
        <v>10</v>
      </c>
      <c r="N62">
        <v>0.5</v>
      </c>
      <c r="P62" t="s">
        <v>2057</v>
      </c>
      <c r="Q62">
        <v>5</v>
      </c>
      <c r="R62" t="s">
        <v>1990</v>
      </c>
    </row>
    <row r="63" spans="1:18">
      <c r="A63" s="951" t="s">
        <v>2058</v>
      </c>
      <c r="B63" t="s">
        <v>1580</v>
      </c>
      <c r="C63" t="s">
        <v>1497</v>
      </c>
      <c r="D63" t="s">
        <v>1498</v>
      </c>
      <c r="F63" t="s">
        <v>107</v>
      </c>
      <c r="G63" t="s">
        <v>1699</v>
      </c>
      <c r="H63" t="s">
        <v>1619</v>
      </c>
      <c r="I63" t="s">
        <v>60</v>
      </c>
      <c r="J63" t="s">
        <v>2050</v>
      </c>
      <c r="K63">
        <v>11900</v>
      </c>
      <c r="L63" s="707">
        <v>43252</v>
      </c>
      <c r="M63">
        <v>5</v>
      </c>
      <c r="N63">
        <v>0.25</v>
      </c>
      <c r="P63" t="s">
        <v>2057</v>
      </c>
      <c r="Q63">
        <v>5</v>
      </c>
      <c r="R63" t="s">
        <v>1990</v>
      </c>
    </row>
    <row r="64" spans="1:18">
      <c r="A64" s="951" t="s">
        <v>2058</v>
      </c>
      <c r="B64" t="s">
        <v>1580</v>
      </c>
      <c r="C64" t="s">
        <v>1497</v>
      </c>
      <c r="D64" t="s">
        <v>1498</v>
      </c>
      <c r="F64" t="s">
        <v>107</v>
      </c>
      <c r="G64" t="s">
        <v>1699</v>
      </c>
      <c r="H64" t="s">
        <v>1619</v>
      </c>
      <c r="I64" t="s">
        <v>60</v>
      </c>
      <c r="J64" t="s">
        <v>2050</v>
      </c>
      <c r="K64">
        <v>11900</v>
      </c>
      <c r="L64" s="707">
        <v>43374</v>
      </c>
      <c r="M64">
        <v>2</v>
      </c>
      <c r="N64">
        <v>8.6956521739130432E-2</v>
      </c>
      <c r="P64" t="s">
        <v>2057</v>
      </c>
      <c r="Q64">
        <v>5</v>
      </c>
      <c r="R64" t="s">
        <v>1990</v>
      </c>
    </row>
    <row r="65" spans="1:18">
      <c r="A65" s="951" t="s">
        <v>2058</v>
      </c>
      <c r="B65" t="s">
        <v>1580</v>
      </c>
      <c r="C65" t="s">
        <v>1497</v>
      </c>
      <c r="D65" t="s">
        <v>1498</v>
      </c>
      <c r="F65" t="s">
        <v>107</v>
      </c>
      <c r="G65" t="s">
        <v>1699</v>
      </c>
      <c r="H65" t="s">
        <v>43</v>
      </c>
      <c r="I65" t="s">
        <v>61</v>
      </c>
      <c r="J65" t="s">
        <v>2051</v>
      </c>
      <c r="K65">
        <v>15930</v>
      </c>
      <c r="L65" s="707">
        <v>43221</v>
      </c>
      <c r="M65">
        <v>1</v>
      </c>
      <c r="N65">
        <v>0.05</v>
      </c>
      <c r="P65" t="s">
        <v>2057</v>
      </c>
      <c r="Q65">
        <v>5</v>
      </c>
      <c r="R65" t="s">
        <v>1990</v>
      </c>
    </row>
    <row r="66" spans="1:18">
      <c r="A66" s="951" t="s">
        <v>2058</v>
      </c>
      <c r="B66" t="s">
        <v>1580</v>
      </c>
      <c r="C66" t="s">
        <v>1497</v>
      </c>
      <c r="D66" t="s">
        <v>1498</v>
      </c>
      <c r="F66" t="s">
        <v>107</v>
      </c>
      <c r="G66" t="s">
        <v>1699</v>
      </c>
      <c r="H66" t="s">
        <v>43</v>
      </c>
      <c r="I66" t="s">
        <v>61</v>
      </c>
      <c r="J66" t="s">
        <v>2051</v>
      </c>
      <c r="K66">
        <v>15930</v>
      </c>
      <c r="L66" s="707">
        <v>43374</v>
      </c>
      <c r="M66">
        <v>1</v>
      </c>
      <c r="N66">
        <v>4.3478260869565216E-2</v>
      </c>
      <c r="P66" t="s">
        <v>2057</v>
      </c>
      <c r="Q66">
        <v>5</v>
      </c>
      <c r="R66" t="s">
        <v>1990</v>
      </c>
    </row>
    <row r="67" spans="1:18">
      <c r="A67" s="951" t="s">
        <v>2058</v>
      </c>
      <c r="B67" t="s">
        <v>1580</v>
      </c>
      <c r="C67" t="s">
        <v>1497</v>
      </c>
      <c r="D67" t="s">
        <v>1498</v>
      </c>
      <c r="F67" t="s">
        <v>107</v>
      </c>
      <c r="H67" t="s">
        <v>43</v>
      </c>
      <c r="I67" t="s">
        <v>1453</v>
      </c>
      <c r="J67" t="s">
        <v>2048</v>
      </c>
      <c r="K67">
        <v>21520</v>
      </c>
      <c r="L67" s="707">
        <v>43252</v>
      </c>
      <c r="M67">
        <v>5</v>
      </c>
      <c r="N67">
        <v>0.25</v>
      </c>
      <c r="P67" t="s">
        <v>2057</v>
      </c>
      <c r="Q67">
        <v>5</v>
      </c>
      <c r="R67" t="s">
        <v>1990</v>
      </c>
    </row>
    <row r="68" spans="1:18">
      <c r="A68" s="951" t="s">
        <v>2058</v>
      </c>
      <c r="B68" t="s">
        <v>1582</v>
      </c>
      <c r="C68" t="s">
        <v>1676</v>
      </c>
      <c r="D68" t="s">
        <v>1596</v>
      </c>
      <c r="F68" t="s">
        <v>107</v>
      </c>
      <c r="H68" t="s">
        <v>40</v>
      </c>
      <c r="I68" t="s">
        <v>1453</v>
      </c>
      <c r="J68" t="s">
        <v>2049</v>
      </c>
      <c r="K68">
        <v>21520</v>
      </c>
      <c r="L68" s="707">
        <v>43252</v>
      </c>
      <c r="M68">
        <v>5</v>
      </c>
      <c r="N68">
        <v>0.25</v>
      </c>
      <c r="P68" t="s">
        <v>2057</v>
      </c>
      <c r="Q68">
        <v>5</v>
      </c>
      <c r="R68" t="s">
        <v>1990</v>
      </c>
    </row>
    <row r="69" spans="1:18">
      <c r="A69" s="951" t="s">
        <v>2058</v>
      </c>
      <c r="B69" t="s">
        <v>1583</v>
      </c>
      <c r="C69" t="s">
        <v>86</v>
      </c>
      <c r="D69" t="s">
        <v>86</v>
      </c>
      <c r="F69" t="s">
        <v>107</v>
      </c>
      <c r="G69" t="s">
        <v>1699</v>
      </c>
      <c r="H69" t="s">
        <v>43</v>
      </c>
      <c r="I69" t="s">
        <v>61</v>
      </c>
      <c r="J69" t="s">
        <v>2052</v>
      </c>
      <c r="K69">
        <v>15930</v>
      </c>
      <c r="L69" s="707">
        <v>43282</v>
      </c>
      <c r="M69">
        <v>22</v>
      </c>
      <c r="N69">
        <v>1</v>
      </c>
      <c r="P69" t="s">
        <v>2057</v>
      </c>
      <c r="Q69">
        <v>5</v>
      </c>
      <c r="R69" t="s">
        <v>1990</v>
      </c>
    </row>
    <row r="70" spans="1:18">
      <c r="A70" s="951" t="s">
        <v>2058</v>
      </c>
      <c r="B70" t="s">
        <v>1583</v>
      </c>
      <c r="C70" t="s">
        <v>86</v>
      </c>
      <c r="D70" t="s">
        <v>86</v>
      </c>
      <c r="F70" t="s">
        <v>107</v>
      </c>
      <c r="G70" t="s">
        <v>1699</v>
      </c>
      <c r="H70" t="s">
        <v>43</v>
      </c>
      <c r="I70" t="s">
        <v>61</v>
      </c>
      <c r="J70" t="s">
        <v>2052</v>
      </c>
      <c r="K70">
        <v>15930</v>
      </c>
      <c r="L70" s="707">
        <v>43313</v>
      </c>
      <c r="M70">
        <v>10</v>
      </c>
      <c r="N70">
        <v>0.43478260869565216</v>
      </c>
      <c r="P70" t="s">
        <v>2057</v>
      </c>
      <c r="Q70">
        <v>5</v>
      </c>
      <c r="R70" t="s">
        <v>1990</v>
      </c>
    </row>
    <row r="71" spans="1:18">
      <c r="A71" s="951" t="s">
        <v>2058</v>
      </c>
      <c r="B71" t="s">
        <v>1583</v>
      </c>
      <c r="C71" t="s">
        <v>86</v>
      </c>
      <c r="D71" t="s">
        <v>86</v>
      </c>
      <c r="F71" t="s">
        <v>107</v>
      </c>
      <c r="G71" t="s">
        <v>1699</v>
      </c>
      <c r="H71" t="s">
        <v>43</v>
      </c>
      <c r="I71" t="s">
        <v>61</v>
      </c>
      <c r="J71" t="s">
        <v>2052</v>
      </c>
      <c r="K71">
        <v>15930</v>
      </c>
      <c r="L71" s="707">
        <v>43344</v>
      </c>
      <c r="M71">
        <v>5</v>
      </c>
      <c r="N71">
        <v>0.25</v>
      </c>
      <c r="P71" t="s">
        <v>2057</v>
      </c>
      <c r="Q71">
        <v>5</v>
      </c>
      <c r="R71" t="s">
        <v>1990</v>
      </c>
    </row>
    <row r="72" spans="1:18">
      <c r="A72" s="951" t="s">
        <v>2058</v>
      </c>
      <c r="B72" t="s">
        <v>1583</v>
      </c>
      <c r="C72" t="s">
        <v>86</v>
      </c>
      <c r="D72" t="s">
        <v>86</v>
      </c>
      <c r="F72" t="s">
        <v>107</v>
      </c>
      <c r="G72" t="s">
        <v>1699</v>
      </c>
      <c r="H72" t="s">
        <v>43</v>
      </c>
      <c r="I72" t="s">
        <v>61</v>
      </c>
      <c r="J72" t="s">
        <v>2052</v>
      </c>
      <c r="K72">
        <v>15930</v>
      </c>
      <c r="L72" s="707">
        <v>43374</v>
      </c>
      <c r="M72">
        <v>3</v>
      </c>
      <c r="N72">
        <v>0.13043478260869565</v>
      </c>
      <c r="P72" t="s">
        <v>2057</v>
      </c>
      <c r="Q72">
        <v>5</v>
      </c>
      <c r="R72" t="s">
        <v>1990</v>
      </c>
    </row>
    <row r="73" spans="1:18">
      <c r="A73" s="951" t="s">
        <v>2058</v>
      </c>
      <c r="B73" t="s">
        <v>1583</v>
      </c>
      <c r="C73" t="s">
        <v>86</v>
      </c>
      <c r="D73" t="s">
        <v>86</v>
      </c>
      <c r="F73" t="s">
        <v>107</v>
      </c>
      <c r="G73" t="s">
        <v>1699</v>
      </c>
      <c r="H73" t="s">
        <v>43</v>
      </c>
      <c r="I73" t="s">
        <v>61</v>
      </c>
      <c r="J73" t="s">
        <v>2053</v>
      </c>
      <c r="K73">
        <v>15930</v>
      </c>
      <c r="L73" s="707">
        <v>43282</v>
      </c>
      <c r="M73">
        <v>20</v>
      </c>
      <c r="N73">
        <v>0.90909090909090906</v>
      </c>
      <c r="P73" t="s">
        <v>2057</v>
      </c>
      <c r="Q73">
        <v>5</v>
      </c>
      <c r="R73" t="s">
        <v>1990</v>
      </c>
    </row>
    <row r="74" spans="1:18">
      <c r="A74" s="951" t="s">
        <v>2058</v>
      </c>
      <c r="B74" t="s">
        <v>1583</v>
      </c>
      <c r="C74" t="s">
        <v>86</v>
      </c>
      <c r="D74" t="s">
        <v>86</v>
      </c>
      <c r="F74" t="s">
        <v>107</v>
      </c>
      <c r="G74" t="s">
        <v>1699</v>
      </c>
      <c r="H74" t="s">
        <v>43</v>
      </c>
      <c r="I74" t="s">
        <v>61</v>
      </c>
      <c r="J74" t="s">
        <v>2053</v>
      </c>
      <c r="K74">
        <v>15930</v>
      </c>
      <c r="L74" s="707">
        <v>43313</v>
      </c>
      <c r="M74">
        <v>10</v>
      </c>
      <c r="N74">
        <v>0.43478260869565216</v>
      </c>
      <c r="P74" t="s">
        <v>2057</v>
      </c>
      <c r="Q74">
        <v>5</v>
      </c>
      <c r="R74" t="s">
        <v>1990</v>
      </c>
    </row>
    <row r="75" spans="1:18">
      <c r="A75" s="951" t="s">
        <v>2058</v>
      </c>
      <c r="B75" t="s">
        <v>1583</v>
      </c>
      <c r="C75" t="s">
        <v>86</v>
      </c>
      <c r="D75" t="s">
        <v>86</v>
      </c>
      <c r="F75" t="s">
        <v>107</v>
      </c>
      <c r="G75" t="s">
        <v>1699</v>
      </c>
      <c r="H75" t="s">
        <v>43</v>
      </c>
      <c r="I75" t="s">
        <v>61</v>
      </c>
      <c r="J75" t="s">
        <v>2053</v>
      </c>
      <c r="K75">
        <v>15930</v>
      </c>
      <c r="L75" s="707">
        <v>43344</v>
      </c>
      <c r="M75">
        <v>5</v>
      </c>
      <c r="N75">
        <v>0.25</v>
      </c>
      <c r="P75" t="s">
        <v>2057</v>
      </c>
      <c r="Q75">
        <v>5</v>
      </c>
      <c r="R75" t="s">
        <v>1990</v>
      </c>
    </row>
    <row r="76" spans="1:18">
      <c r="A76" s="951" t="s">
        <v>2058</v>
      </c>
      <c r="B76" t="s">
        <v>1583</v>
      </c>
      <c r="C76" t="s">
        <v>86</v>
      </c>
      <c r="D76" t="s">
        <v>86</v>
      </c>
      <c r="F76" t="s">
        <v>107</v>
      </c>
      <c r="G76" t="s">
        <v>1699</v>
      </c>
      <c r="H76" t="s">
        <v>43</v>
      </c>
      <c r="I76" t="s">
        <v>61</v>
      </c>
      <c r="J76" t="s">
        <v>2053</v>
      </c>
      <c r="K76">
        <v>15930</v>
      </c>
      <c r="L76" s="707">
        <v>43374</v>
      </c>
      <c r="M76">
        <v>3</v>
      </c>
      <c r="N76">
        <v>0.13043478260869565</v>
      </c>
      <c r="P76" t="s">
        <v>2057</v>
      </c>
      <c r="Q76">
        <v>5</v>
      </c>
      <c r="R76" t="s">
        <v>1990</v>
      </c>
    </row>
    <row r="77" spans="1:18">
      <c r="A77" s="951" t="s">
        <v>2058</v>
      </c>
      <c r="B77" t="s">
        <v>1583</v>
      </c>
      <c r="C77" t="s">
        <v>86</v>
      </c>
      <c r="D77" t="s">
        <v>86</v>
      </c>
      <c r="F77" t="s">
        <v>107</v>
      </c>
      <c r="H77" t="s">
        <v>43</v>
      </c>
      <c r="I77" t="s">
        <v>61</v>
      </c>
      <c r="J77" t="s">
        <v>2051</v>
      </c>
      <c r="K77">
        <v>15930</v>
      </c>
      <c r="L77" s="707">
        <v>43282</v>
      </c>
      <c r="M77">
        <v>3</v>
      </c>
      <c r="N77">
        <v>0.13636363636363635</v>
      </c>
      <c r="P77" t="s">
        <v>2057</v>
      </c>
      <c r="Q77">
        <v>5</v>
      </c>
      <c r="R77" t="s">
        <v>1990</v>
      </c>
    </row>
    <row r="78" spans="1:18">
      <c r="A78" s="951" t="s">
        <v>2058</v>
      </c>
      <c r="B78" t="s">
        <v>1583</v>
      </c>
      <c r="C78" t="s">
        <v>86</v>
      </c>
      <c r="D78" t="s">
        <v>86</v>
      </c>
      <c r="F78" t="s">
        <v>107</v>
      </c>
      <c r="H78" t="s">
        <v>43</v>
      </c>
      <c r="I78" t="s">
        <v>61</v>
      </c>
      <c r="J78" t="s">
        <v>2051</v>
      </c>
      <c r="K78">
        <v>15930</v>
      </c>
      <c r="L78" s="707">
        <v>43313</v>
      </c>
      <c r="M78">
        <v>1</v>
      </c>
      <c r="N78">
        <v>4.3478260869565216E-2</v>
      </c>
      <c r="P78" t="s">
        <v>2057</v>
      </c>
      <c r="Q78">
        <v>5</v>
      </c>
      <c r="R78" t="s">
        <v>1990</v>
      </c>
    </row>
    <row r="79" spans="1:18">
      <c r="A79" s="951" t="s">
        <v>2058</v>
      </c>
      <c r="B79" t="s">
        <v>1583</v>
      </c>
      <c r="C79" t="s">
        <v>86</v>
      </c>
      <c r="D79" t="s">
        <v>86</v>
      </c>
      <c r="F79" t="s">
        <v>107</v>
      </c>
      <c r="H79" t="s">
        <v>43</v>
      </c>
      <c r="I79" t="s">
        <v>61</v>
      </c>
      <c r="J79" t="s">
        <v>2051</v>
      </c>
      <c r="K79">
        <v>15930</v>
      </c>
      <c r="L79" s="707">
        <v>43344</v>
      </c>
      <c r="M79">
        <v>1</v>
      </c>
      <c r="N79">
        <v>0.05</v>
      </c>
      <c r="P79" t="s">
        <v>2057</v>
      </c>
      <c r="Q79">
        <v>5</v>
      </c>
      <c r="R79" t="s">
        <v>1990</v>
      </c>
    </row>
    <row r="80" spans="1:18">
      <c r="A80" s="951" t="s">
        <v>2058</v>
      </c>
      <c r="B80" t="s">
        <v>1583</v>
      </c>
      <c r="C80" t="s">
        <v>86</v>
      </c>
      <c r="D80" t="s">
        <v>86</v>
      </c>
      <c r="F80" t="s">
        <v>107</v>
      </c>
      <c r="H80" t="s">
        <v>43</v>
      </c>
      <c r="I80" t="s">
        <v>61</v>
      </c>
      <c r="J80" t="s">
        <v>2051</v>
      </c>
      <c r="K80">
        <v>15930</v>
      </c>
      <c r="L80" s="707">
        <v>43374</v>
      </c>
      <c r="M80">
        <v>2</v>
      </c>
      <c r="N80">
        <v>8.6956521739130432E-2</v>
      </c>
      <c r="P80" t="s">
        <v>2057</v>
      </c>
      <c r="Q80">
        <v>5</v>
      </c>
      <c r="R80" t="s">
        <v>1990</v>
      </c>
    </row>
    <row r="81" spans="1:18">
      <c r="A81" s="951" t="s">
        <v>2058</v>
      </c>
      <c r="B81" t="s">
        <v>1583</v>
      </c>
      <c r="C81" t="s">
        <v>86</v>
      </c>
      <c r="D81" t="s">
        <v>86</v>
      </c>
      <c r="F81" t="s">
        <v>107</v>
      </c>
      <c r="H81" t="s">
        <v>42</v>
      </c>
      <c r="I81" t="s">
        <v>1453</v>
      </c>
      <c r="J81" t="s">
        <v>2048</v>
      </c>
      <c r="K81">
        <v>21520</v>
      </c>
      <c r="L81" s="707">
        <v>43282</v>
      </c>
      <c r="M81">
        <v>5</v>
      </c>
      <c r="N81">
        <v>0.22727272727272727</v>
      </c>
      <c r="P81" t="s">
        <v>2057</v>
      </c>
      <c r="Q81">
        <v>5</v>
      </c>
      <c r="R81" t="s">
        <v>1990</v>
      </c>
    </row>
    <row r="82" spans="1:18">
      <c r="A82" s="951" t="s">
        <v>2058</v>
      </c>
      <c r="B82" t="s">
        <v>1583</v>
      </c>
      <c r="C82" t="s">
        <v>86</v>
      </c>
      <c r="D82" t="s">
        <v>86</v>
      </c>
      <c r="F82" t="s">
        <v>107</v>
      </c>
      <c r="H82" t="s">
        <v>42</v>
      </c>
      <c r="I82" t="s">
        <v>1453</v>
      </c>
      <c r="J82" t="s">
        <v>2048</v>
      </c>
      <c r="K82">
        <v>21520</v>
      </c>
      <c r="L82" s="707">
        <v>43313</v>
      </c>
      <c r="M82">
        <v>5</v>
      </c>
      <c r="N82">
        <v>0.21739130434782608</v>
      </c>
      <c r="P82" t="s">
        <v>2057</v>
      </c>
      <c r="Q82">
        <v>5</v>
      </c>
      <c r="R82" t="s">
        <v>1990</v>
      </c>
    </row>
    <row r="83" spans="1:18">
      <c r="A83" s="951" t="s">
        <v>2058</v>
      </c>
      <c r="B83" t="s">
        <v>1583</v>
      </c>
      <c r="C83" t="s">
        <v>86</v>
      </c>
      <c r="D83" t="s">
        <v>86</v>
      </c>
      <c r="F83" t="s">
        <v>107</v>
      </c>
      <c r="H83" t="s">
        <v>42</v>
      </c>
      <c r="I83" t="s">
        <v>1453</v>
      </c>
      <c r="J83" t="s">
        <v>2048</v>
      </c>
      <c r="K83">
        <v>21520</v>
      </c>
      <c r="L83" s="707">
        <v>43344</v>
      </c>
      <c r="M83">
        <v>5</v>
      </c>
      <c r="N83">
        <v>0.25</v>
      </c>
      <c r="P83" t="s">
        <v>2057</v>
      </c>
      <c r="Q83">
        <v>5</v>
      </c>
      <c r="R83" t="s">
        <v>1990</v>
      </c>
    </row>
    <row r="84" spans="1:18">
      <c r="A84" s="951" t="s">
        <v>2058</v>
      </c>
      <c r="B84" t="s">
        <v>1583</v>
      </c>
      <c r="C84" t="s">
        <v>86</v>
      </c>
      <c r="D84" t="s">
        <v>86</v>
      </c>
      <c r="F84" t="s">
        <v>107</v>
      </c>
      <c r="H84" t="s">
        <v>42</v>
      </c>
      <c r="I84" t="s">
        <v>1453</v>
      </c>
      <c r="J84" t="s">
        <v>2048</v>
      </c>
      <c r="K84">
        <v>21520</v>
      </c>
      <c r="L84" s="707">
        <v>43374</v>
      </c>
      <c r="M84">
        <v>2</v>
      </c>
      <c r="N84">
        <v>8.6956521739130432E-2</v>
      </c>
      <c r="P84" t="s">
        <v>2057</v>
      </c>
      <c r="Q84">
        <v>5</v>
      </c>
      <c r="R84" t="s">
        <v>1990</v>
      </c>
    </row>
    <row r="85" spans="1:18">
      <c r="A85" s="951" t="s">
        <v>2058</v>
      </c>
      <c r="B85" t="s">
        <v>1584</v>
      </c>
      <c r="C85" t="s">
        <v>1677</v>
      </c>
      <c r="D85" t="s">
        <v>1678</v>
      </c>
      <c r="F85" t="s">
        <v>107</v>
      </c>
      <c r="H85" t="s">
        <v>43</v>
      </c>
      <c r="I85" t="s">
        <v>1453</v>
      </c>
      <c r="J85" t="s">
        <v>2048</v>
      </c>
      <c r="K85">
        <v>21520</v>
      </c>
      <c r="L85" s="707">
        <v>43344</v>
      </c>
      <c r="M85">
        <v>2</v>
      </c>
      <c r="N85">
        <v>0.1</v>
      </c>
      <c r="P85" t="s">
        <v>2057</v>
      </c>
      <c r="Q85">
        <v>5</v>
      </c>
      <c r="R85" t="s">
        <v>1990</v>
      </c>
    </row>
    <row r="86" spans="1:18">
      <c r="A86" s="951" t="s">
        <v>2058</v>
      </c>
      <c r="B86" t="s">
        <v>1584</v>
      </c>
      <c r="C86" t="s">
        <v>1677</v>
      </c>
      <c r="D86" t="s">
        <v>1678</v>
      </c>
      <c r="F86" t="s">
        <v>107</v>
      </c>
      <c r="H86" t="s">
        <v>43</v>
      </c>
      <c r="I86" t="s">
        <v>1453</v>
      </c>
      <c r="J86" t="s">
        <v>2048</v>
      </c>
      <c r="K86">
        <v>21520</v>
      </c>
      <c r="L86" s="707">
        <v>43374</v>
      </c>
      <c r="M86">
        <v>3</v>
      </c>
      <c r="N86">
        <v>0.13043478260869565</v>
      </c>
      <c r="P86" t="s">
        <v>2057</v>
      </c>
      <c r="Q86">
        <v>5</v>
      </c>
      <c r="R86" t="s">
        <v>1990</v>
      </c>
    </row>
    <row r="87" spans="1:18">
      <c r="A87" s="951" t="s">
        <v>2058</v>
      </c>
      <c r="B87" t="s">
        <v>1584</v>
      </c>
      <c r="C87" t="s">
        <v>1677</v>
      </c>
      <c r="D87" t="s">
        <v>1678</v>
      </c>
      <c r="F87" t="s">
        <v>107</v>
      </c>
      <c r="H87" t="s">
        <v>43</v>
      </c>
      <c r="I87" t="s">
        <v>1453</v>
      </c>
      <c r="J87" t="s">
        <v>2048</v>
      </c>
      <c r="K87">
        <v>21520</v>
      </c>
      <c r="L87" s="707">
        <v>43405</v>
      </c>
      <c r="M87">
        <v>2</v>
      </c>
      <c r="N87">
        <v>9.5238095238095233E-2</v>
      </c>
      <c r="P87" t="s">
        <v>2057</v>
      </c>
      <c r="Q87">
        <v>5</v>
      </c>
      <c r="R87" t="s">
        <v>1990</v>
      </c>
    </row>
    <row r="88" spans="1:18">
      <c r="A88" s="951" t="s">
        <v>2058</v>
      </c>
      <c r="B88" t="s">
        <v>1584</v>
      </c>
      <c r="C88" t="s">
        <v>1677</v>
      </c>
      <c r="D88" t="s">
        <v>1678</v>
      </c>
      <c r="F88" t="s">
        <v>107</v>
      </c>
      <c r="H88" t="s">
        <v>43</v>
      </c>
      <c r="I88" t="s">
        <v>61</v>
      </c>
      <c r="J88" t="s">
        <v>2053</v>
      </c>
      <c r="K88">
        <v>15930</v>
      </c>
      <c r="L88" s="707">
        <v>43374</v>
      </c>
      <c r="M88">
        <v>10</v>
      </c>
      <c r="N88">
        <v>0.43478260869565216</v>
      </c>
      <c r="P88" t="s">
        <v>2057</v>
      </c>
      <c r="Q88">
        <v>5</v>
      </c>
      <c r="R88" t="s">
        <v>1990</v>
      </c>
    </row>
    <row r="89" spans="1:18">
      <c r="A89" s="951" t="s">
        <v>2058</v>
      </c>
      <c r="B89" t="s">
        <v>1584</v>
      </c>
      <c r="C89" t="s">
        <v>1677</v>
      </c>
      <c r="D89" t="s">
        <v>1678</v>
      </c>
      <c r="F89" t="s">
        <v>107</v>
      </c>
      <c r="H89" t="s">
        <v>43</v>
      </c>
      <c r="I89" t="s">
        <v>61</v>
      </c>
      <c r="J89" t="s">
        <v>2053</v>
      </c>
      <c r="K89">
        <v>15930</v>
      </c>
      <c r="L89" s="707">
        <v>43405</v>
      </c>
      <c r="M89">
        <v>10</v>
      </c>
      <c r="N89">
        <v>0.47619047619047616</v>
      </c>
      <c r="P89" t="s">
        <v>2057</v>
      </c>
      <c r="Q89">
        <v>5</v>
      </c>
      <c r="R89" t="s">
        <v>1990</v>
      </c>
    </row>
    <row r="90" spans="1:18">
      <c r="A90" s="951" t="s">
        <v>2058</v>
      </c>
      <c r="B90" t="s">
        <v>1584</v>
      </c>
      <c r="C90" t="s">
        <v>1677</v>
      </c>
      <c r="D90" t="s">
        <v>1678</v>
      </c>
      <c r="F90" t="s">
        <v>107</v>
      </c>
      <c r="H90" t="s">
        <v>43</v>
      </c>
      <c r="I90" t="s">
        <v>61</v>
      </c>
      <c r="J90" t="s">
        <v>2053</v>
      </c>
      <c r="K90">
        <v>15930</v>
      </c>
      <c r="L90" s="707">
        <v>43435</v>
      </c>
      <c r="M90">
        <v>10</v>
      </c>
      <c r="N90">
        <v>0.47619047619047616</v>
      </c>
      <c r="P90" t="s">
        <v>2057</v>
      </c>
      <c r="Q90">
        <v>5</v>
      </c>
      <c r="R90" t="s">
        <v>1990</v>
      </c>
    </row>
    <row r="91" spans="1:18">
      <c r="A91" s="951" t="s">
        <v>2058</v>
      </c>
      <c r="B91" t="s">
        <v>1584</v>
      </c>
      <c r="C91" t="s">
        <v>1677</v>
      </c>
      <c r="D91" t="s">
        <v>1678</v>
      </c>
      <c r="F91" t="s">
        <v>107</v>
      </c>
      <c r="H91" t="s">
        <v>43</v>
      </c>
      <c r="I91" t="s">
        <v>61</v>
      </c>
      <c r="J91" t="s">
        <v>2052</v>
      </c>
      <c r="K91">
        <v>15930</v>
      </c>
      <c r="L91" s="707">
        <v>43374</v>
      </c>
      <c r="M91">
        <v>10</v>
      </c>
      <c r="N91">
        <v>0.43478260869565216</v>
      </c>
      <c r="P91" t="s">
        <v>2057</v>
      </c>
      <c r="Q91">
        <v>5</v>
      </c>
      <c r="R91" t="s">
        <v>1990</v>
      </c>
    </row>
    <row r="92" spans="1:18">
      <c r="A92" s="951" t="s">
        <v>2058</v>
      </c>
      <c r="B92" t="s">
        <v>1584</v>
      </c>
      <c r="C92" t="s">
        <v>1677</v>
      </c>
      <c r="D92" t="s">
        <v>1678</v>
      </c>
      <c r="F92" t="s">
        <v>107</v>
      </c>
      <c r="H92" t="s">
        <v>43</v>
      </c>
      <c r="I92" t="s">
        <v>61</v>
      </c>
      <c r="J92" t="s">
        <v>2052</v>
      </c>
      <c r="K92">
        <v>15930</v>
      </c>
      <c r="L92" s="707">
        <v>43405</v>
      </c>
      <c r="M92">
        <v>10</v>
      </c>
      <c r="N92">
        <v>0.47619047619047616</v>
      </c>
      <c r="P92" t="s">
        <v>2057</v>
      </c>
      <c r="Q92">
        <v>5</v>
      </c>
      <c r="R92" t="s">
        <v>1990</v>
      </c>
    </row>
    <row r="93" spans="1:18">
      <c r="A93" s="951" t="s">
        <v>2058</v>
      </c>
      <c r="B93" t="s">
        <v>1584</v>
      </c>
      <c r="C93" t="s">
        <v>1677</v>
      </c>
      <c r="D93" t="s">
        <v>1678</v>
      </c>
      <c r="F93" t="s">
        <v>107</v>
      </c>
      <c r="H93" t="s">
        <v>43</v>
      </c>
      <c r="I93" t="s">
        <v>61</v>
      </c>
      <c r="J93" t="s">
        <v>2052</v>
      </c>
      <c r="K93">
        <v>15930</v>
      </c>
      <c r="L93" s="707">
        <v>43435</v>
      </c>
      <c r="M93">
        <v>10</v>
      </c>
      <c r="N93">
        <v>0.47619047619047616</v>
      </c>
      <c r="P93" t="s">
        <v>2057</v>
      </c>
      <c r="Q93">
        <v>5</v>
      </c>
      <c r="R93" t="s">
        <v>1990</v>
      </c>
    </row>
    <row r="94" spans="1:18">
      <c r="A94" s="951" t="s">
        <v>2058</v>
      </c>
      <c r="B94" t="s">
        <v>127</v>
      </c>
      <c r="C94" t="s">
        <v>1500</v>
      </c>
      <c r="D94" t="s">
        <v>1458</v>
      </c>
      <c r="F94" t="s">
        <v>107</v>
      </c>
      <c r="H94" t="s">
        <v>43</v>
      </c>
      <c r="I94" t="s">
        <v>61</v>
      </c>
      <c r="J94" t="s">
        <v>2052</v>
      </c>
      <c r="K94">
        <v>15930</v>
      </c>
      <c r="L94" s="707">
        <v>43466</v>
      </c>
      <c r="M94">
        <v>5</v>
      </c>
      <c r="N94">
        <v>0.29411764705882354</v>
      </c>
      <c r="P94" t="s">
        <v>2057</v>
      </c>
      <c r="Q94">
        <v>5</v>
      </c>
      <c r="R94" t="s">
        <v>1990</v>
      </c>
    </row>
    <row r="95" spans="1:18">
      <c r="A95" s="951" t="s">
        <v>2058</v>
      </c>
      <c r="B95" t="s">
        <v>127</v>
      </c>
      <c r="C95" t="s">
        <v>1500</v>
      </c>
      <c r="D95" t="s">
        <v>1458</v>
      </c>
      <c r="F95" t="s">
        <v>107</v>
      </c>
      <c r="H95" t="s">
        <v>43</v>
      </c>
      <c r="I95" t="s">
        <v>61</v>
      </c>
      <c r="J95" t="s">
        <v>2052</v>
      </c>
      <c r="K95">
        <v>15930</v>
      </c>
      <c r="L95" s="707">
        <v>43497</v>
      </c>
      <c r="M95">
        <v>3</v>
      </c>
      <c r="N95">
        <v>0.15789473684210525</v>
      </c>
      <c r="P95" t="s">
        <v>2057</v>
      </c>
      <c r="Q95">
        <v>5</v>
      </c>
      <c r="R95" t="s">
        <v>1990</v>
      </c>
    </row>
    <row r="96" spans="1:18">
      <c r="A96" s="951" t="s">
        <v>2058</v>
      </c>
      <c r="B96" t="s">
        <v>127</v>
      </c>
      <c r="C96" t="s">
        <v>1500</v>
      </c>
      <c r="D96" t="s">
        <v>1458</v>
      </c>
      <c r="F96" t="s">
        <v>107</v>
      </c>
      <c r="H96" t="s">
        <v>43</v>
      </c>
      <c r="I96" t="s">
        <v>61</v>
      </c>
      <c r="J96" t="s">
        <v>2053</v>
      </c>
      <c r="K96">
        <v>15930</v>
      </c>
      <c r="L96" s="707">
        <v>43466</v>
      </c>
      <c r="M96">
        <v>5</v>
      </c>
      <c r="N96">
        <v>0.29411764705882354</v>
      </c>
      <c r="P96" t="s">
        <v>2057</v>
      </c>
      <c r="Q96">
        <v>5</v>
      </c>
      <c r="R96" t="s">
        <v>1990</v>
      </c>
    </row>
    <row r="97" spans="1:18">
      <c r="A97" s="951" t="s">
        <v>2058</v>
      </c>
      <c r="B97" t="s">
        <v>127</v>
      </c>
      <c r="C97" t="s">
        <v>1500</v>
      </c>
      <c r="D97" t="s">
        <v>1458</v>
      </c>
      <c r="F97" t="s">
        <v>107</v>
      </c>
      <c r="H97" t="s">
        <v>43</v>
      </c>
      <c r="I97" t="s">
        <v>61</v>
      </c>
      <c r="J97" t="s">
        <v>2053</v>
      </c>
      <c r="K97">
        <v>15930</v>
      </c>
      <c r="L97" s="707">
        <v>43497</v>
      </c>
      <c r="M97">
        <v>3</v>
      </c>
      <c r="N97">
        <v>0.15789473684210525</v>
      </c>
      <c r="P97" t="s">
        <v>2057</v>
      </c>
      <c r="Q97">
        <v>5</v>
      </c>
      <c r="R97" t="s">
        <v>1990</v>
      </c>
    </row>
    <row r="98" spans="1:18">
      <c r="A98" s="951" t="s">
        <v>2058</v>
      </c>
      <c r="B98" t="s">
        <v>127</v>
      </c>
      <c r="C98" t="s">
        <v>1500</v>
      </c>
      <c r="D98" t="s">
        <v>1458</v>
      </c>
      <c r="F98" t="s">
        <v>107</v>
      </c>
      <c r="H98" t="s">
        <v>42</v>
      </c>
      <c r="I98" t="s">
        <v>1453</v>
      </c>
      <c r="J98" t="s">
        <v>2048</v>
      </c>
      <c r="K98">
        <v>21520</v>
      </c>
      <c r="L98" s="707">
        <v>43374</v>
      </c>
      <c r="M98">
        <v>3</v>
      </c>
      <c r="N98">
        <v>0.13043478260869565</v>
      </c>
      <c r="P98" t="s">
        <v>2057</v>
      </c>
      <c r="Q98">
        <v>5</v>
      </c>
      <c r="R98" t="s">
        <v>1990</v>
      </c>
    </row>
    <row r="99" spans="1:18">
      <c r="A99" s="951" t="s">
        <v>2058</v>
      </c>
      <c r="B99" t="s">
        <v>127</v>
      </c>
      <c r="C99" t="s">
        <v>1500</v>
      </c>
      <c r="D99" t="s">
        <v>1458</v>
      </c>
      <c r="F99" t="s">
        <v>107</v>
      </c>
      <c r="H99" t="s">
        <v>42</v>
      </c>
      <c r="I99" t="s">
        <v>1453</v>
      </c>
      <c r="J99" t="s">
        <v>2048</v>
      </c>
      <c r="K99">
        <v>21520</v>
      </c>
      <c r="L99" s="707">
        <v>43435</v>
      </c>
      <c r="M99">
        <v>5</v>
      </c>
      <c r="N99">
        <v>0.23809523809523808</v>
      </c>
      <c r="P99" t="s">
        <v>2057</v>
      </c>
      <c r="Q99">
        <v>5</v>
      </c>
      <c r="R99" t="s">
        <v>1990</v>
      </c>
    </row>
    <row r="100" spans="1:18">
      <c r="A100" s="951" t="s">
        <v>2058</v>
      </c>
      <c r="B100" t="s">
        <v>127</v>
      </c>
      <c r="C100" t="s">
        <v>1500</v>
      </c>
      <c r="D100" t="s">
        <v>1458</v>
      </c>
      <c r="F100" t="s">
        <v>107</v>
      </c>
      <c r="H100" t="s">
        <v>42</v>
      </c>
      <c r="I100" t="s">
        <v>1453</v>
      </c>
      <c r="J100" t="s">
        <v>2048</v>
      </c>
      <c r="K100">
        <v>21520</v>
      </c>
      <c r="L100" s="707">
        <v>43497</v>
      </c>
      <c r="M100">
        <v>5</v>
      </c>
      <c r="N100">
        <v>0.26315789473684209</v>
      </c>
      <c r="P100" t="s">
        <v>2057</v>
      </c>
      <c r="Q100">
        <v>5</v>
      </c>
      <c r="R100" t="s">
        <v>1990</v>
      </c>
    </row>
    <row r="101" spans="1:18">
      <c r="A101" s="951" t="s">
        <v>2058</v>
      </c>
      <c r="B101" t="s">
        <v>128</v>
      </c>
      <c r="C101" t="s">
        <v>1501</v>
      </c>
      <c r="D101" t="s">
        <v>1585</v>
      </c>
      <c r="F101" t="s">
        <v>107</v>
      </c>
      <c r="H101" t="s">
        <v>43</v>
      </c>
      <c r="I101" t="s">
        <v>61</v>
      </c>
      <c r="J101" t="s">
        <v>2052</v>
      </c>
      <c r="K101">
        <v>15930</v>
      </c>
      <c r="L101" s="707">
        <v>43497</v>
      </c>
      <c r="M101">
        <v>4</v>
      </c>
      <c r="N101">
        <v>0.21052631578947367</v>
      </c>
      <c r="P101" t="s">
        <v>2057</v>
      </c>
      <c r="Q101">
        <v>5</v>
      </c>
      <c r="R101" t="s">
        <v>1990</v>
      </c>
    </row>
    <row r="102" spans="1:18">
      <c r="A102" s="951" t="s">
        <v>2058</v>
      </c>
      <c r="B102" t="s">
        <v>128</v>
      </c>
      <c r="C102" t="s">
        <v>1501</v>
      </c>
      <c r="D102" t="s">
        <v>1585</v>
      </c>
      <c r="F102" t="s">
        <v>107</v>
      </c>
      <c r="H102" t="s">
        <v>43</v>
      </c>
      <c r="I102" t="s">
        <v>61</v>
      </c>
      <c r="J102" t="s">
        <v>2053</v>
      </c>
      <c r="K102">
        <v>15930</v>
      </c>
      <c r="L102" s="707">
        <v>43497</v>
      </c>
      <c r="M102">
        <v>4</v>
      </c>
      <c r="N102">
        <v>0.21052631578947367</v>
      </c>
      <c r="P102" t="s">
        <v>2057</v>
      </c>
      <c r="Q102">
        <v>5</v>
      </c>
      <c r="R102" t="s">
        <v>1990</v>
      </c>
    </row>
    <row r="103" spans="1:18">
      <c r="A103" s="951" t="s">
        <v>2058</v>
      </c>
      <c r="B103" t="s">
        <v>128</v>
      </c>
      <c r="C103" t="s">
        <v>1501</v>
      </c>
      <c r="D103" t="s">
        <v>1585</v>
      </c>
      <c r="F103" t="s">
        <v>107</v>
      </c>
      <c r="H103" t="s">
        <v>43</v>
      </c>
      <c r="I103" t="s">
        <v>1453</v>
      </c>
      <c r="J103" t="s">
        <v>2048</v>
      </c>
      <c r="K103">
        <v>21520</v>
      </c>
      <c r="L103" s="707">
        <v>43497</v>
      </c>
      <c r="M103">
        <v>5</v>
      </c>
      <c r="N103">
        <v>0.26315789473684209</v>
      </c>
      <c r="P103" t="s">
        <v>2057</v>
      </c>
      <c r="Q103">
        <v>5</v>
      </c>
      <c r="R103" t="s">
        <v>1990</v>
      </c>
    </row>
    <row r="104" spans="1:18">
      <c r="A104" s="951" t="s">
        <v>2058</v>
      </c>
      <c r="B104" t="s">
        <v>128</v>
      </c>
      <c r="C104" t="s">
        <v>1501</v>
      </c>
      <c r="D104" t="s">
        <v>1585</v>
      </c>
      <c r="F104" t="s">
        <v>107</v>
      </c>
      <c r="H104" t="s">
        <v>43</v>
      </c>
      <c r="I104" t="s">
        <v>61</v>
      </c>
      <c r="J104" t="s">
        <v>2051</v>
      </c>
      <c r="K104">
        <v>15930</v>
      </c>
      <c r="L104" s="707">
        <v>43497</v>
      </c>
      <c r="M104">
        <v>5</v>
      </c>
      <c r="N104">
        <v>0.26315789473684209</v>
      </c>
      <c r="P104" t="s">
        <v>2057</v>
      </c>
      <c r="Q104">
        <v>5</v>
      </c>
      <c r="R104" t="s">
        <v>1990</v>
      </c>
    </row>
    <row r="105" spans="1:18">
      <c r="A105" s="951" t="s">
        <v>2058</v>
      </c>
      <c r="B105" t="s">
        <v>129</v>
      </c>
      <c r="C105" t="s">
        <v>1502</v>
      </c>
      <c r="D105" t="s">
        <v>1459</v>
      </c>
      <c r="F105" t="s">
        <v>107</v>
      </c>
      <c r="H105" t="s">
        <v>1625</v>
      </c>
      <c r="I105" t="s">
        <v>58</v>
      </c>
      <c r="J105" t="s">
        <v>2054</v>
      </c>
      <c r="K105">
        <v>6980</v>
      </c>
      <c r="L105" s="707">
        <v>43344</v>
      </c>
      <c r="M105">
        <v>20</v>
      </c>
      <c r="N105">
        <v>1</v>
      </c>
      <c r="P105" t="s">
        <v>2057</v>
      </c>
      <c r="Q105">
        <v>5</v>
      </c>
      <c r="R105" t="s">
        <v>1990</v>
      </c>
    </row>
    <row r="106" spans="1:18">
      <c r="A106" s="951" t="s">
        <v>2058</v>
      </c>
      <c r="B106" t="s">
        <v>129</v>
      </c>
      <c r="C106" t="s">
        <v>1502</v>
      </c>
      <c r="D106" t="s">
        <v>1459</v>
      </c>
      <c r="F106" t="s">
        <v>107</v>
      </c>
      <c r="H106" t="s">
        <v>1625</v>
      </c>
      <c r="I106" t="s">
        <v>58</v>
      </c>
      <c r="J106" t="s">
        <v>2054</v>
      </c>
      <c r="K106">
        <v>6980</v>
      </c>
      <c r="L106" s="707">
        <v>43374</v>
      </c>
      <c r="M106">
        <v>20</v>
      </c>
      <c r="N106">
        <v>0.86956521739130432</v>
      </c>
      <c r="P106" t="s">
        <v>2057</v>
      </c>
      <c r="Q106">
        <v>5</v>
      </c>
      <c r="R106" t="s">
        <v>1990</v>
      </c>
    </row>
    <row r="107" spans="1:18">
      <c r="A107" s="951" t="s">
        <v>2058</v>
      </c>
      <c r="B107" t="s">
        <v>129</v>
      </c>
      <c r="C107" t="s">
        <v>1502</v>
      </c>
      <c r="D107" t="s">
        <v>1459</v>
      </c>
      <c r="F107" t="s">
        <v>107</v>
      </c>
      <c r="H107" t="s">
        <v>1625</v>
      </c>
      <c r="I107" t="s">
        <v>58</v>
      </c>
      <c r="J107" t="s">
        <v>2055</v>
      </c>
      <c r="K107">
        <v>6980</v>
      </c>
      <c r="L107" s="707">
        <v>43344</v>
      </c>
      <c r="M107">
        <v>20</v>
      </c>
      <c r="N107">
        <v>1</v>
      </c>
      <c r="P107" t="s">
        <v>2057</v>
      </c>
      <c r="Q107">
        <v>5</v>
      </c>
      <c r="R107" t="s">
        <v>1990</v>
      </c>
    </row>
    <row r="108" spans="1:18">
      <c r="A108" s="951" t="s">
        <v>2058</v>
      </c>
      <c r="B108" t="s">
        <v>129</v>
      </c>
      <c r="C108" t="s">
        <v>1502</v>
      </c>
      <c r="D108" t="s">
        <v>1459</v>
      </c>
      <c r="F108" t="s">
        <v>107</v>
      </c>
      <c r="H108" t="s">
        <v>1625</v>
      </c>
      <c r="I108" t="s">
        <v>58</v>
      </c>
      <c r="J108" t="s">
        <v>2055</v>
      </c>
      <c r="K108">
        <v>6980</v>
      </c>
      <c r="L108" s="707">
        <v>43374</v>
      </c>
      <c r="M108">
        <v>20</v>
      </c>
      <c r="N108">
        <v>0.86956521739130432</v>
      </c>
      <c r="P108" t="s">
        <v>2057</v>
      </c>
      <c r="Q108">
        <v>5</v>
      </c>
      <c r="R108" t="s">
        <v>1990</v>
      </c>
    </row>
    <row r="109" spans="1:18">
      <c r="A109" s="951" t="s">
        <v>2058</v>
      </c>
      <c r="B109" t="s">
        <v>130</v>
      </c>
      <c r="C109" t="s">
        <v>1503</v>
      </c>
      <c r="D109" t="s">
        <v>88</v>
      </c>
      <c r="E109" t="s">
        <v>2038</v>
      </c>
      <c r="F109" t="s">
        <v>107</v>
      </c>
      <c r="H109" t="s">
        <v>1625</v>
      </c>
      <c r="I109" t="s">
        <v>58</v>
      </c>
      <c r="J109" t="s">
        <v>2054</v>
      </c>
      <c r="K109">
        <v>6980</v>
      </c>
      <c r="L109" s="707">
        <v>43374</v>
      </c>
      <c r="M109">
        <v>3</v>
      </c>
      <c r="N109">
        <v>0.13043478260869565</v>
      </c>
      <c r="P109" t="s">
        <v>2057</v>
      </c>
      <c r="Q109">
        <v>5</v>
      </c>
      <c r="R109" t="s">
        <v>1990</v>
      </c>
    </row>
    <row r="110" spans="1:18">
      <c r="A110" s="951" t="s">
        <v>2058</v>
      </c>
      <c r="B110" t="s">
        <v>130</v>
      </c>
      <c r="C110" t="s">
        <v>1503</v>
      </c>
      <c r="D110" t="s">
        <v>88</v>
      </c>
      <c r="E110" t="s">
        <v>2038</v>
      </c>
      <c r="F110" t="s">
        <v>107</v>
      </c>
      <c r="H110" t="s">
        <v>1625</v>
      </c>
      <c r="I110" t="s">
        <v>58</v>
      </c>
      <c r="J110" t="s">
        <v>2054</v>
      </c>
      <c r="K110">
        <v>6980</v>
      </c>
      <c r="L110" s="707">
        <v>43497</v>
      </c>
      <c r="M110">
        <v>4</v>
      </c>
      <c r="N110">
        <v>0.21052631578947367</v>
      </c>
      <c r="P110" t="s">
        <v>2057</v>
      </c>
      <c r="Q110">
        <v>5</v>
      </c>
      <c r="R110" t="s">
        <v>1990</v>
      </c>
    </row>
    <row r="111" spans="1:18">
      <c r="A111" s="951" t="s">
        <v>2058</v>
      </c>
      <c r="B111" t="s">
        <v>130</v>
      </c>
      <c r="C111" t="s">
        <v>1503</v>
      </c>
      <c r="D111" t="s">
        <v>88</v>
      </c>
      <c r="F111" t="s">
        <v>107</v>
      </c>
      <c r="H111" t="s">
        <v>43</v>
      </c>
      <c r="I111" t="s">
        <v>61</v>
      </c>
      <c r="J111" t="s">
        <v>2051</v>
      </c>
      <c r="K111">
        <v>15930</v>
      </c>
      <c r="L111" s="707">
        <v>43374</v>
      </c>
      <c r="M111">
        <v>2</v>
      </c>
      <c r="N111">
        <v>8.6956521739130432E-2</v>
      </c>
      <c r="P111" t="s">
        <v>2057</v>
      </c>
      <c r="Q111">
        <v>5</v>
      </c>
      <c r="R111" t="s">
        <v>1990</v>
      </c>
    </row>
    <row r="112" spans="1:18">
      <c r="A112" s="951" t="s">
        <v>2058</v>
      </c>
      <c r="B112" t="s">
        <v>130</v>
      </c>
      <c r="C112" t="s">
        <v>1503</v>
      </c>
      <c r="D112" t="s">
        <v>88</v>
      </c>
      <c r="F112" t="s">
        <v>107</v>
      </c>
      <c r="H112" t="s">
        <v>43</v>
      </c>
      <c r="I112" t="s">
        <v>61</v>
      </c>
      <c r="J112" t="s">
        <v>2051</v>
      </c>
      <c r="K112">
        <v>15930</v>
      </c>
      <c r="L112" s="707">
        <v>43497</v>
      </c>
      <c r="M112">
        <v>3</v>
      </c>
      <c r="N112">
        <v>0.15789473684210525</v>
      </c>
      <c r="P112" t="s">
        <v>2057</v>
      </c>
      <c r="Q112">
        <v>5</v>
      </c>
      <c r="R112" t="s">
        <v>1990</v>
      </c>
    </row>
    <row r="113" spans="1:18">
      <c r="A113" s="951" t="s">
        <v>2058</v>
      </c>
      <c r="B113" t="s">
        <v>130</v>
      </c>
      <c r="C113" t="s">
        <v>1503</v>
      </c>
      <c r="D113" t="s">
        <v>88</v>
      </c>
      <c r="F113" t="s">
        <v>107</v>
      </c>
      <c r="H113" t="s">
        <v>43</v>
      </c>
      <c r="I113" t="s">
        <v>61</v>
      </c>
      <c r="J113" t="s">
        <v>2051</v>
      </c>
      <c r="K113">
        <v>15930</v>
      </c>
      <c r="L113" s="707">
        <v>43617</v>
      </c>
      <c r="M113">
        <v>2</v>
      </c>
      <c r="N113">
        <v>0.10526315789473684</v>
      </c>
      <c r="P113" t="s">
        <v>2057</v>
      </c>
      <c r="Q113">
        <v>5</v>
      </c>
      <c r="R113" t="s">
        <v>1990</v>
      </c>
    </row>
    <row r="114" spans="1:18">
      <c r="A114" s="951" t="s">
        <v>2058</v>
      </c>
      <c r="B114" t="s">
        <v>130</v>
      </c>
      <c r="C114" t="s">
        <v>1503</v>
      </c>
      <c r="D114" t="s">
        <v>88</v>
      </c>
      <c r="F114" t="s">
        <v>107</v>
      </c>
      <c r="H114" t="s">
        <v>43</v>
      </c>
      <c r="I114" t="s">
        <v>61</v>
      </c>
      <c r="J114" t="s">
        <v>2051</v>
      </c>
      <c r="K114">
        <v>15930</v>
      </c>
      <c r="L114" s="707">
        <v>43647</v>
      </c>
      <c r="M114">
        <v>2</v>
      </c>
      <c r="N114">
        <v>8.6956521739130432E-2</v>
      </c>
      <c r="P114" t="s">
        <v>2057</v>
      </c>
      <c r="Q114">
        <v>5</v>
      </c>
      <c r="R114" t="s">
        <v>1990</v>
      </c>
    </row>
    <row r="115" spans="1:18">
      <c r="A115" s="951" t="s">
        <v>2058</v>
      </c>
      <c r="B115" t="s">
        <v>130</v>
      </c>
      <c r="C115" t="s">
        <v>1503</v>
      </c>
      <c r="D115" t="s">
        <v>88</v>
      </c>
      <c r="F115" t="s">
        <v>107</v>
      </c>
      <c r="H115" t="s">
        <v>43</v>
      </c>
      <c r="I115" t="s">
        <v>61</v>
      </c>
      <c r="J115" t="s">
        <v>2051</v>
      </c>
      <c r="K115">
        <v>15930</v>
      </c>
      <c r="L115" s="707">
        <v>43678</v>
      </c>
      <c r="M115">
        <v>2</v>
      </c>
      <c r="N115">
        <v>9.0909090909090912E-2</v>
      </c>
      <c r="P115" t="s">
        <v>2057</v>
      </c>
      <c r="Q115">
        <v>5</v>
      </c>
      <c r="R115" t="s">
        <v>1990</v>
      </c>
    </row>
    <row r="116" spans="1:18">
      <c r="A116" s="951" t="s">
        <v>2058</v>
      </c>
      <c r="B116" t="s">
        <v>130</v>
      </c>
      <c r="C116" t="s">
        <v>1503</v>
      </c>
      <c r="D116" t="s">
        <v>88</v>
      </c>
      <c r="F116" t="s">
        <v>107</v>
      </c>
      <c r="H116" t="s">
        <v>43</v>
      </c>
      <c r="I116" t="s">
        <v>61</v>
      </c>
      <c r="J116" t="s">
        <v>2051</v>
      </c>
      <c r="K116">
        <v>15930</v>
      </c>
      <c r="L116" s="707">
        <v>43709</v>
      </c>
      <c r="M116">
        <v>2</v>
      </c>
      <c r="N116">
        <v>9.5238095238095233E-2</v>
      </c>
      <c r="P116" t="s">
        <v>2057</v>
      </c>
      <c r="Q116">
        <v>5</v>
      </c>
      <c r="R116" t="s">
        <v>1990</v>
      </c>
    </row>
    <row r="117" spans="1:18">
      <c r="A117" s="951" t="s">
        <v>2058</v>
      </c>
      <c r="B117" t="s">
        <v>130</v>
      </c>
      <c r="C117" t="s">
        <v>1503</v>
      </c>
      <c r="D117" t="s">
        <v>88</v>
      </c>
      <c r="E117" t="s">
        <v>2038</v>
      </c>
      <c r="F117" t="s">
        <v>107</v>
      </c>
      <c r="H117" t="s">
        <v>1625</v>
      </c>
      <c r="I117" t="s">
        <v>58</v>
      </c>
      <c r="J117" t="s">
        <v>2055</v>
      </c>
      <c r="K117">
        <v>6980</v>
      </c>
      <c r="L117" s="707">
        <v>43374</v>
      </c>
      <c r="M117">
        <v>3</v>
      </c>
      <c r="N117">
        <v>0.13043478260869565</v>
      </c>
      <c r="P117" t="s">
        <v>2057</v>
      </c>
      <c r="Q117">
        <v>5</v>
      </c>
      <c r="R117" t="s">
        <v>1990</v>
      </c>
    </row>
    <row r="118" spans="1:18">
      <c r="A118" s="951" t="s">
        <v>2058</v>
      </c>
      <c r="B118" t="s">
        <v>130</v>
      </c>
      <c r="C118" t="s">
        <v>1503</v>
      </c>
      <c r="D118" t="s">
        <v>88</v>
      </c>
      <c r="E118" t="s">
        <v>2038</v>
      </c>
      <c r="F118" t="s">
        <v>107</v>
      </c>
      <c r="H118" t="s">
        <v>1625</v>
      </c>
      <c r="I118" t="s">
        <v>58</v>
      </c>
      <c r="J118" t="s">
        <v>2055</v>
      </c>
      <c r="K118">
        <v>6980</v>
      </c>
      <c r="L118" s="707">
        <v>43497</v>
      </c>
      <c r="M118">
        <v>4</v>
      </c>
      <c r="N118">
        <v>0.21052631578947367</v>
      </c>
      <c r="P118" t="s">
        <v>2057</v>
      </c>
      <c r="Q118">
        <v>5</v>
      </c>
      <c r="R118" t="s">
        <v>1990</v>
      </c>
    </row>
    <row r="119" spans="1:18">
      <c r="A119" s="951" t="s">
        <v>2058</v>
      </c>
      <c r="B119" t="s">
        <v>131</v>
      </c>
      <c r="C119" t="s">
        <v>1504</v>
      </c>
      <c r="D119" t="s">
        <v>1460</v>
      </c>
      <c r="F119" t="s">
        <v>107</v>
      </c>
      <c r="H119" t="s">
        <v>43</v>
      </c>
      <c r="I119" t="s">
        <v>61</v>
      </c>
      <c r="J119" t="s">
        <v>2052</v>
      </c>
      <c r="K119">
        <v>15930</v>
      </c>
      <c r="L119" s="707">
        <v>43525</v>
      </c>
      <c r="M119">
        <v>10</v>
      </c>
      <c r="N119">
        <v>0.5</v>
      </c>
      <c r="P119" t="s">
        <v>2057</v>
      </c>
      <c r="Q119">
        <v>5</v>
      </c>
      <c r="R119" t="s">
        <v>1990</v>
      </c>
    </row>
    <row r="120" spans="1:18">
      <c r="A120" s="951" t="s">
        <v>2058</v>
      </c>
      <c r="B120" t="s">
        <v>131</v>
      </c>
      <c r="C120" t="s">
        <v>1504</v>
      </c>
      <c r="D120" t="s">
        <v>1460</v>
      </c>
      <c r="F120" t="s">
        <v>107</v>
      </c>
      <c r="H120" t="s">
        <v>43</v>
      </c>
      <c r="I120" t="s">
        <v>61</v>
      </c>
      <c r="J120" t="s">
        <v>2052</v>
      </c>
      <c r="K120">
        <v>15930</v>
      </c>
      <c r="L120" s="707">
        <v>43556</v>
      </c>
      <c r="M120">
        <v>7</v>
      </c>
      <c r="N120">
        <v>0.31818181818181818</v>
      </c>
      <c r="P120" t="s">
        <v>2057</v>
      </c>
      <c r="Q120">
        <v>5</v>
      </c>
      <c r="R120" t="s">
        <v>1990</v>
      </c>
    </row>
    <row r="121" spans="1:18">
      <c r="A121" s="951" t="s">
        <v>2058</v>
      </c>
      <c r="B121" t="s">
        <v>131</v>
      </c>
      <c r="C121" t="s">
        <v>1504</v>
      </c>
      <c r="D121" t="s">
        <v>1460</v>
      </c>
      <c r="F121" t="s">
        <v>107</v>
      </c>
      <c r="H121" t="s">
        <v>43</v>
      </c>
      <c r="I121" t="s">
        <v>61</v>
      </c>
      <c r="J121" t="s">
        <v>2052</v>
      </c>
      <c r="K121">
        <v>15930</v>
      </c>
      <c r="L121" s="707">
        <v>43586</v>
      </c>
      <c r="M121">
        <v>16</v>
      </c>
      <c r="N121">
        <v>0.76190476190476186</v>
      </c>
      <c r="P121" t="s">
        <v>2057</v>
      </c>
      <c r="Q121">
        <v>5</v>
      </c>
      <c r="R121" t="s">
        <v>1990</v>
      </c>
    </row>
    <row r="122" spans="1:18">
      <c r="A122" s="951" t="s">
        <v>2058</v>
      </c>
      <c r="B122" t="s">
        <v>131</v>
      </c>
      <c r="C122" t="s">
        <v>1504</v>
      </c>
      <c r="D122" t="s">
        <v>1460</v>
      </c>
      <c r="F122" t="s">
        <v>107</v>
      </c>
      <c r="H122" t="s">
        <v>43</v>
      </c>
      <c r="I122" t="s">
        <v>61</v>
      </c>
      <c r="J122" t="s">
        <v>2052</v>
      </c>
      <c r="K122">
        <v>15930</v>
      </c>
      <c r="L122" s="707">
        <v>43617</v>
      </c>
      <c r="M122">
        <v>14</v>
      </c>
      <c r="N122">
        <v>0.73684210526315785</v>
      </c>
      <c r="P122" t="s">
        <v>2057</v>
      </c>
      <c r="Q122">
        <v>5</v>
      </c>
      <c r="R122" t="s">
        <v>1990</v>
      </c>
    </row>
    <row r="123" spans="1:18">
      <c r="A123" s="951" t="s">
        <v>2058</v>
      </c>
      <c r="B123" t="s">
        <v>131</v>
      </c>
      <c r="C123" t="s">
        <v>1504</v>
      </c>
      <c r="D123" t="s">
        <v>1460</v>
      </c>
      <c r="F123" t="s">
        <v>107</v>
      </c>
      <c r="H123" t="s">
        <v>43</v>
      </c>
      <c r="I123" t="s">
        <v>61</v>
      </c>
      <c r="J123" t="s">
        <v>2052</v>
      </c>
      <c r="K123">
        <v>15930</v>
      </c>
      <c r="L123" s="707">
        <v>43647</v>
      </c>
      <c r="M123">
        <v>13</v>
      </c>
      <c r="N123">
        <v>0.56521739130434778</v>
      </c>
      <c r="P123" t="s">
        <v>2057</v>
      </c>
      <c r="Q123">
        <v>5</v>
      </c>
      <c r="R123" t="s">
        <v>1990</v>
      </c>
    </row>
    <row r="124" spans="1:18">
      <c r="A124" s="951" t="s">
        <v>2058</v>
      </c>
      <c r="B124" t="s">
        <v>131</v>
      </c>
      <c r="C124" t="s">
        <v>1504</v>
      </c>
      <c r="D124" t="s">
        <v>1460</v>
      </c>
      <c r="F124" t="s">
        <v>107</v>
      </c>
      <c r="H124" t="s">
        <v>43</v>
      </c>
      <c r="I124" t="s">
        <v>61</v>
      </c>
      <c r="J124" t="s">
        <v>2052</v>
      </c>
      <c r="K124">
        <v>15930</v>
      </c>
      <c r="L124" s="707">
        <v>43678</v>
      </c>
      <c r="M124">
        <v>22</v>
      </c>
      <c r="N124">
        <v>1</v>
      </c>
      <c r="P124" t="s">
        <v>2057</v>
      </c>
      <c r="Q124">
        <v>5</v>
      </c>
      <c r="R124" t="s">
        <v>1990</v>
      </c>
    </row>
    <row r="125" spans="1:18">
      <c r="A125" s="951" t="s">
        <v>2058</v>
      </c>
      <c r="B125" t="s">
        <v>131</v>
      </c>
      <c r="C125" t="s">
        <v>1504</v>
      </c>
      <c r="D125" t="s">
        <v>1460</v>
      </c>
      <c r="F125" t="s">
        <v>107</v>
      </c>
      <c r="H125" t="s">
        <v>43</v>
      </c>
      <c r="I125" t="s">
        <v>61</v>
      </c>
      <c r="J125" t="s">
        <v>2052</v>
      </c>
      <c r="K125">
        <v>15930</v>
      </c>
      <c r="L125" s="707">
        <v>43709</v>
      </c>
      <c r="M125">
        <v>11</v>
      </c>
      <c r="N125">
        <v>0.52380952380952384</v>
      </c>
      <c r="P125" t="s">
        <v>2057</v>
      </c>
      <c r="Q125">
        <v>5</v>
      </c>
      <c r="R125" t="s">
        <v>1990</v>
      </c>
    </row>
    <row r="126" spans="1:18">
      <c r="A126" s="951" t="s">
        <v>2058</v>
      </c>
      <c r="B126" t="s">
        <v>131</v>
      </c>
      <c r="C126" t="s">
        <v>1504</v>
      </c>
      <c r="D126" t="s">
        <v>1460</v>
      </c>
      <c r="F126" t="s">
        <v>107</v>
      </c>
      <c r="H126" t="s">
        <v>43</v>
      </c>
      <c r="I126" t="s">
        <v>61</v>
      </c>
      <c r="J126" t="s">
        <v>2052</v>
      </c>
      <c r="K126">
        <v>15930</v>
      </c>
      <c r="L126" s="707">
        <v>43739</v>
      </c>
      <c r="M126">
        <v>13</v>
      </c>
      <c r="N126">
        <v>0.56521739130434778</v>
      </c>
      <c r="P126" t="s">
        <v>2057</v>
      </c>
      <c r="Q126">
        <v>5</v>
      </c>
      <c r="R126" t="s">
        <v>1990</v>
      </c>
    </row>
    <row r="127" spans="1:18">
      <c r="A127" s="951" t="s">
        <v>2058</v>
      </c>
      <c r="B127" t="s">
        <v>131</v>
      </c>
      <c r="C127" t="s">
        <v>1504</v>
      </c>
      <c r="D127" t="s">
        <v>1460</v>
      </c>
      <c r="F127" t="s">
        <v>107</v>
      </c>
      <c r="H127" t="s">
        <v>43</v>
      </c>
      <c r="I127" t="s">
        <v>61</v>
      </c>
      <c r="J127" t="s">
        <v>2053</v>
      </c>
      <c r="K127">
        <v>15930</v>
      </c>
      <c r="L127" s="707">
        <v>43525</v>
      </c>
      <c r="M127">
        <v>10</v>
      </c>
      <c r="N127">
        <v>0.5</v>
      </c>
      <c r="P127" t="s">
        <v>2057</v>
      </c>
      <c r="Q127">
        <v>5</v>
      </c>
      <c r="R127" t="s">
        <v>1990</v>
      </c>
    </row>
    <row r="128" spans="1:18">
      <c r="A128" s="951" t="s">
        <v>2058</v>
      </c>
      <c r="B128" t="s">
        <v>131</v>
      </c>
      <c r="C128" t="s">
        <v>1504</v>
      </c>
      <c r="D128" t="s">
        <v>1460</v>
      </c>
      <c r="F128" t="s">
        <v>107</v>
      </c>
      <c r="H128" t="s">
        <v>43</v>
      </c>
      <c r="I128" t="s">
        <v>61</v>
      </c>
      <c r="J128" t="s">
        <v>2053</v>
      </c>
      <c r="K128">
        <v>15930</v>
      </c>
      <c r="L128" s="707">
        <v>43556</v>
      </c>
      <c r="M128">
        <v>7</v>
      </c>
      <c r="N128">
        <v>0.31818181818181818</v>
      </c>
      <c r="P128" t="s">
        <v>2057</v>
      </c>
      <c r="Q128">
        <v>5</v>
      </c>
      <c r="R128" t="s">
        <v>1990</v>
      </c>
    </row>
    <row r="129" spans="1:18">
      <c r="A129" s="951" t="s">
        <v>2058</v>
      </c>
      <c r="B129" t="s">
        <v>131</v>
      </c>
      <c r="C129" t="s">
        <v>1504</v>
      </c>
      <c r="D129" t="s">
        <v>1460</v>
      </c>
      <c r="F129" t="s">
        <v>107</v>
      </c>
      <c r="H129" t="s">
        <v>43</v>
      </c>
      <c r="I129" t="s">
        <v>61</v>
      </c>
      <c r="J129" t="s">
        <v>2053</v>
      </c>
      <c r="K129">
        <v>15930</v>
      </c>
      <c r="L129" s="707">
        <v>43586</v>
      </c>
      <c r="M129">
        <v>16</v>
      </c>
      <c r="N129">
        <v>0.76190476190476186</v>
      </c>
      <c r="P129" t="s">
        <v>2057</v>
      </c>
      <c r="Q129">
        <v>5</v>
      </c>
      <c r="R129" t="s">
        <v>1990</v>
      </c>
    </row>
    <row r="130" spans="1:18">
      <c r="A130" s="951" t="s">
        <v>2058</v>
      </c>
      <c r="B130" t="s">
        <v>131</v>
      </c>
      <c r="C130" t="s">
        <v>1504</v>
      </c>
      <c r="D130" t="s">
        <v>1460</v>
      </c>
      <c r="F130" t="s">
        <v>107</v>
      </c>
      <c r="H130" t="s">
        <v>43</v>
      </c>
      <c r="I130" t="s">
        <v>61</v>
      </c>
      <c r="J130" t="s">
        <v>2053</v>
      </c>
      <c r="K130">
        <v>15930</v>
      </c>
      <c r="L130" s="707">
        <v>43617</v>
      </c>
      <c r="M130">
        <v>14</v>
      </c>
      <c r="N130">
        <v>0.73684210526315785</v>
      </c>
      <c r="P130" t="s">
        <v>2057</v>
      </c>
      <c r="Q130">
        <v>5</v>
      </c>
      <c r="R130" t="s">
        <v>1990</v>
      </c>
    </row>
    <row r="131" spans="1:18">
      <c r="A131" s="951" t="s">
        <v>2058</v>
      </c>
      <c r="B131" t="s">
        <v>131</v>
      </c>
      <c r="C131" t="s">
        <v>1504</v>
      </c>
      <c r="D131" t="s">
        <v>1460</v>
      </c>
      <c r="F131" t="s">
        <v>107</v>
      </c>
      <c r="H131" t="s">
        <v>43</v>
      </c>
      <c r="I131" t="s">
        <v>61</v>
      </c>
      <c r="J131" t="s">
        <v>2053</v>
      </c>
      <c r="K131">
        <v>15930</v>
      </c>
      <c r="L131" s="707">
        <v>43647</v>
      </c>
      <c r="M131">
        <v>13</v>
      </c>
      <c r="N131">
        <v>0.56521739130434778</v>
      </c>
      <c r="P131" t="s">
        <v>2057</v>
      </c>
      <c r="Q131">
        <v>5</v>
      </c>
      <c r="R131" t="s">
        <v>1990</v>
      </c>
    </row>
    <row r="132" spans="1:18">
      <c r="A132" s="951" t="s">
        <v>2058</v>
      </c>
      <c r="B132" t="s">
        <v>131</v>
      </c>
      <c r="C132" t="s">
        <v>1504</v>
      </c>
      <c r="D132" t="s">
        <v>1460</v>
      </c>
      <c r="F132" t="s">
        <v>107</v>
      </c>
      <c r="H132" t="s">
        <v>43</v>
      </c>
      <c r="I132" t="s">
        <v>61</v>
      </c>
      <c r="J132" t="s">
        <v>2053</v>
      </c>
      <c r="K132">
        <v>15930</v>
      </c>
      <c r="L132" s="707">
        <v>43678</v>
      </c>
      <c r="M132">
        <v>22</v>
      </c>
      <c r="N132">
        <v>1</v>
      </c>
      <c r="P132" t="s">
        <v>2057</v>
      </c>
      <c r="Q132">
        <v>5</v>
      </c>
      <c r="R132" t="s">
        <v>1990</v>
      </c>
    </row>
    <row r="133" spans="1:18">
      <c r="A133" s="951" t="s">
        <v>2058</v>
      </c>
      <c r="B133" t="s">
        <v>131</v>
      </c>
      <c r="C133" t="s">
        <v>1504</v>
      </c>
      <c r="D133" t="s">
        <v>1460</v>
      </c>
      <c r="F133" t="s">
        <v>107</v>
      </c>
      <c r="H133" t="s">
        <v>43</v>
      </c>
      <c r="I133" t="s">
        <v>61</v>
      </c>
      <c r="J133" t="s">
        <v>2053</v>
      </c>
      <c r="K133">
        <v>15930</v>
      </c>
      <c r="L133" s="707">
        <v>43709</v>
      </c>
      <c r="M133">
        <v>11</v>
      </c>
      <c r="N133">
        <v>0.52380952380952384</v>
      </c>
      <c r="P133" t="s">
        <v>2057</v>
      </c>
      <c r="Q133">
        <v>5</v>
      </c>
      <c r="R133" t="s">
        <v>1990</v>
      </c>
    </row>
    <row r="134" spans="1:18">
      <c r="A134" s="951" t="s">
        <v>2058</v>
      </c>
      <c r="B134" t="s">
        <v>131</v>
      </c>
      <c r="C134" t="s">
        <v>1504</v>
      </c>
      <c r="D134" t="s">
        <v>1460</v>
      </c>
      <c r="F134" t="s">
        <v>107</v>
      </c>
      <c r="H134" t="s">
        <v>43</v>
      </c>
      <c r="I134" t="s">
        <v>61</v>
      </c>
      <c r="J134" t="s">
        <v>2053</v>
      </c>
      <c r="K134">
        <v>15930</v>
      </c>
      <c r="L134" s="707">
        <v>43739</v>
      </c>
      <c r="M134">
        <v>13</v>
      </c>
      <c r="N134">
        <v>0.56521739130434778</v>
      </c>
      <c r="P134" t="s">
        <v>2057</v>
      </c>
      <c r="Q134">
        <v>5</v>
      </c>
      <c r="R134" t="s">
        <v>1990</v>
      </c>
    </row>
    <row r="135" spans="1:18">
      <c r="A135" s="951" t="s">
        <v>2058</v>
      </c>
      <c r="B135" t="s">
        <v>131</v>
      </c>
      <c r="C135" t="s">
        <v>1504</v>
      </c>
      <c r="D135" t="s">
        <v>1460</v>
      </c>
      <c r="F135" t="s">
        <v>107</v>
      </c>
      <c r="H135" t="s">
        <v>43</v>
      </c>
      <c r="I135" t="s">
        <v>1453</v>
      </c>
      <c r="J135" t="s">
        <v>2048</v>
      </c>
      <c r="K135">
        <v>21520</v>
      </c>
      <c r="L135" s="707">
        <v>43525</v>
      </c>
      <c r="M135">
        <v>5</v>
      </c>
      <c r="N135">
        <v>0.25</v>
      </c>
      <c r="P135" t="s">
        <v>2057</v>
      </c>
      <c r="Q135">
        <v>5</v>
      </c>
      <c r="R135" t="s">
        <v>1990</v>
      </c>
    </row>
    <row r="136" spans="1:18">
      <c r="A136" s="951" t="s">
        <v>2058</v>
      </c>
      <c r="B136" t="s">
        <v>131</v>
      </c>
      <c r="C136" t="s">
        <v>1504</v>
      </c>
      <c r="D136" t="s">
        <v>1460</v>
      </c>
      <c r="F136" t="s">
        <v>107</v>
      </c>
      <c r="H136" t="s">
        <v>43</v>
      </c>
      <c r="I136" t="s">
        <v>1453</v>
      </c>
      <c r="J136" t="s">
        <v>2048</v>
      </c>
      <c r="K136">
        <v>21520</v>
      </c>
      <c r="L136" s="707">
        <v>43647</v>
      </c>
      <c r="M136">
        <v>5</v>
      </c>
      <c r="N136">
        <v>0.21739130434782608</v>
      </c>
      <c r="P136" t="s">
        <v>2057</v>
      </c>
      <c r="Q136">
        <v>5</v>
      </c>
      <c r="R136" t="s">
        <v>1990</v>
      </c>
    </row>
    <row r="137" spans="1:18">
      <c r="A137" s="951" t="s">
        <v>2058</v>
      </c>
      <c r="B137" t="s">
        <v>131</v>
      </c>
      <c r="C137" t="s">
        <v>1504</v>
      </c>
      <c r="D137" t="s">
        <v>1460</v>
      </c>
      <c r="E137" t="s">
        <v>2039</v>
      </c>
      <c r="F137" t="s">
        <v>107</v>
      </c>
      <c r="H137" t="s">
        <v>1625</v>
      </c>
      <c r="I137" t="s">
        <v>58</v>
      </c>
      <c r="J137" t="s">
        <v>2054</v>
      </c>
      <c r="K137">
        <v>6980</v>
      </c>
      <c r="L137" s="707">
        <v>43405</v>
      </c>
      <c r="M137">
        <v>10</v>
      </c>
      <c r="N137">
        <v>0.47619047619047616</v>
      </c>
      <c r="P137" t="s">
        <v>2057</v>
      </c>
      <c r="Q137">
        <v>5</v>
      </c>
      <c r="R137" t="s">
        <v>1990</v>
      </c>
    </row>
    <row r="138" spans="1:18">
      <c r="A138" s="951" t="s">
        <v>2058</v>
      </c>
      <c r="B138" t="s">
        <v>131</v>
      </c>
      <c r="C138" t="s">
        <v>1504</v>
      </c>
      <c r="D138" t="s">
        <v>1460</v>
      </c>
      <c r="E138" t="s">
        <v>2039</v>
      </c>
      <c r="F138" t="s">
        <v>107</v>
      </c>
      <c r="H138" t="s">
        <v>1625</v>
      </c>
      <c r="I138" t="s">
        <v>58</v>
      </c>
      <c r="J138" t="s">
        <v>2054</v>
      </c>
      <c r="K138">
        <v>6980</v>
      </c>
      <c r="L138" s="707">
        <v>43435</v>
      </c>
      <c r="M138">
        <v>5</v>
      </c>
      <c r="N138">
        <v>0.23809523809523808</v>
      </c>
      <c r="P138" t="s">
        <v>2057</v>
      </c>
      <c r="Q138">
        <v>5</v>
      </c>
      <c r="R138" t="s">
        <v>1990</v>
      </c>
    </row>
    <row r="139" spans="1:18" ht="25.5">
      <c r="A139" s="951" t="s">
        <v>2058</v>
      </c>
      <c r="B139" t="s">
        <v>131</v>
      </c>
      <c r="C139" t="s">
        <v>1504</v>
      </c>
      <c r="D139" t="s">
        <v>1460</v>
      </c>
      <c r="E139" s="859" t="s">
        <v>2039</v>
      </c>
      <c r="F139" t="s">
        <v>107</v>
      </c>
      <c r="H139" t="s">
        <v>1625</v>
      </c>
      <c r="I139" t="s">
        <v>58</v>
      </c>
      <c r="J139" t="s">
        <v>2054</v>
      </c>
      <c r="K139">
        <v>6980</v>
      </c>
      <c r="L139" s="707">
        <v>43466</v>
      </c>
      <c r="M139">
        <v>12</v>
      </c>
      <c r="N139">
        <v>0.70588235294117652</v>
      </c>
      <c r="P139" t="s">
        <v>2057</v>
      </c>
      <c r="Q139">
        <v>5</v>
      </c>
      <c r="R139" t="s">
        <v>1990</v>
      </c>
    </row>
    <row r="140" spans="1:18" ht="25.5">
      <c r="A140" s="951" t="s">
        <v>2058</v>
      </c>
      <c r="B140" t="s">
        <v>131</v>
      </c>
      <c r="C140" t="s">
        <v>1504</v>
      </c>
      <c r="D140" t="s">
        <v>1460</v>
      </c>
      <c r="E140" s="859" t="s">
        <v>2039</v>
      </c>
      <c r="F140" t="s">
        <v>107</v>
      </c>
      <c r="H140" t="s">
        <v>1625</v>
      </c>
      <c r="I140" t="s">
        <v>58</v>
      </c>
      <c r="J140" t="s">
        <v>2054</v>
      </c>
      <c r="K140">
        <v>6980</v>
      </c>
      <c r="L140" s="707">
        <v>43497</v>
      </c>
      <c r="M140">
        <v>10</v>
      </c>
      <c r="N140">
        <v>0.52631578947368418</v>
      </c>
      <c r="P140" t="s">
        <v>2057</v>
      </c>
      <c r="Q140">
        <v>5</v>
      </c>
      <c r="R140" t="s">
        <v>1990</v>
      </c>
    </row>
    <row r="141" spans="1:18" ht="25.5">
      <c r="A141" s="951" t="s">
        <v>2058</v>
      </c>
      <c r="B141" t="s">
        <v>131</v>
      </c>
      <c r="C141" t="s">
        <v>1504</v>
      </c>
      <c r="D141" t="s">
        <v>1460</v>
      </c>
      <c r="E141" s="859" t="s">
        <v>2039</v>
      </c>
      <c r="F141" t="s">
        <v>107</v>
      </c>
      <c r="H141" t="s">
        <v>1625</v>
      </c>
      <c r="I141" t="s">
        <v>58</v>
      </c>
      <c r="J141" t="s">
        <v>2055</v>
      </c>
      <c r="K141">
        <v>6980</v>
      </c>
      <c r="L141" s="707">
        <v>43405</v>
      </c>
      <c r="M141">
        <v>10</v>
      </c>
      <c r="N141">
        <v>0.47619047619047616</v>
      </c>
      <c r="P141" t="s">
        <v>2057</v>
      </c>
      <c r="Q141">
        <v>5</v>
      </c>
      <c r="R141" t="s">
        <v>1990</v>
      </c>
    </row>
    <row r="142" spans="1:18" ht="25.5">
      <c r="A142" s="951" t="s">
        <v>2058</v>
      </c>
      <c r="B142" t="s">
        <v>131</v>
      </c>
      <c r="C142" t="s">
        <v>1504</v>
      </c>
      <c r="D142" t="s">
        <v>1460</v>
      </c>
      <c r="E142" s="859" t="s">
        <v>2039</v>
      </c>
      <c r="F142" t="s">
        <v>107</v>
      </c>
      <c r="H142" t="s">
        <v>1625</v>
      </c>
      <c r="I142" t="s">
        <v>58</v>
      </c>
      <c r="J142" t="s">
        <v>2055</v>
      </c>
      <c r="K142">
        <v>6980</v>
      </c>
      <c r="L142" s="707">
        <v>43435</v>
      </c>
      <c r="M142">
        <v>5</v>
      </c>
      <c r="N142">
        <v>0.23809523809523808</v>
      </c>
      <c r="P142" t="s">
        <v>2057</v>
      </c>
      <c r="Q142">
        <v>5</v>
      </c>
      <c r="R142" t="s">
        <v>1990</v>
      </c>
    </row>
    <row r="143" spans="1:18" ht="25.5">
      <c r="A143" s="951" t="s">
        <v>2058</v>
      </c>
      <c r="B143" t="s">
        <v>131</v>
      </c>
      <c r="C143" t="s">
        <v>1504</v>
      </c>
      <c r="D143" t="s">
        <v>1460</v>
      </c>
      <c r="E143" s="859" t="s">
        <v>2039</v>
      </c>
      <c r="F143" t="s">
        <v>107</v>
      </c>
      <c r="H143" t="s">
        <v>1625</v>
      </c>
      <c r="I143" t="s">
        <v>58</v>
      </c>
      <c r="J143" t="s">
        <v>2055</v>
      </c>
      <c r="K143">
        <v>6980</v>
      </c>
      <c r="L143" s="707">
        <v>43466</v>
      </c>
      <c r="M143">
        <v>12</v>
      </c>
      <c r="N143">
        <v>0.70588235294117652</v>
      </c>
      <c r="P143" t="s">
        <v>2057</v>
      </c>
      <c r="Q143">
        <v>5</v>
      </c>
      <c r="R143" t="s">
        <v>1990</v>
      </c>
    </row>
    <row r="144" spans="1:18" ht="25.5">
      <c r="A144" s="951" t="s">
        <v>2058</v>
      </c>
      <c r="B144" t="s">
        <v>131</v>
      </c>
      <c r="C144" t="s">
        <v>1504</v>
      </c>
      <c r="D144" t="s">
        <v>1460</v>
      </c>
      <c r="E144" s="859" t="s">
        <v>2039</v>
      </c>
      <c r="F144" t="s">
        <v>107</v>
      </c>
      <c r="H144" t="s">
        <v>1625</v>
      </c>
      <c r="I144" t="s">
        <v>58</v>
      </c>
      <c r="J144" t="s">
        <v>2055</v>
      </c>
      <c r="K144">
        <v>6980</v>
      </c>
      <c r="L144" s="707">
        <v>43497</v>
      </c>
      <c r="M144">
        <v>10</v>
      </c>
      <c r="N144">
        <v>0.52631578947368418</v>
      </c>
      <c r="P144" t="s">
        <v>2057</v>
      </c>
      <c r="Q144">
        <v>5</v>
      </c>
      <c r="R144" t="s">
        <v>1990</v>
      </c>
    </row>
    <row r="145" spans="1:18">
      <c r="A145" s="951" t="s">
        <v>2058</v>
      </c>
      <c r="B145" t="s">
        <v>134</v>
      </c>
      <c r="C145" t="s">
        <v>1507</v>
      </c>
      <c r="D145" t="s">
        <v>91</v>
      </c>
      <c r="E145" s="859"/>
      <c r="F145" t="s">
        <v>107</v>
      </c>
      <c r="H145" t="s">
        <v>43</v>
      </c>
      <c r="I145" t="s">
        <v>61</v>
      </c>
      <c r="J145" t="s">
        <v>2052</v>
      </c>
      <c r="K145">
        <v>15930</v>
      </c>
      <c r="L145" s="707">
        <v>43466</v>
      </c>
      <c r="M145">
        <v>5</v>
      </c>
      <c r="N145">
        <v>0.29411764705882354</v>
      </c>
      <c r="P145" t="s">
        <v>2057</v>
      </c>
      <c r="Q145">
        <v>5</v>
      </c>
      <c r="R145" t="s">
        <v>1990</v>
      </c>
    </row>
    <row r="146" spans="1:18">
      <c r="A146" s="951" t="s">
        <v>2058</v>
      </c>
      <c r="B146" t="s">
        <v>134</v>
      </c>
      <c r="C146" t="s">
        <v>1507</v>
      </c>
      <c r="D146" t="s">
        <v>91</v>
      </c>
      <c r="E146" s="859"/>
      <c r="F146" t="s">
        <v>107</v>
      </c>
      <c r="H146" t="s">
        <v>43</v>
      </c>
      <c r="I146" t="s">
        <v>61</v>
      </c>
      <c r="J146" t="s">
        <v>2052</v>
      </c>
      <c r="K146">
        <v>15930</v>
      </c>
      <c r="L146" s="707">
        <v>43497</v>
      </c>
      <c r="M146">
        <v>3</v>
      </c>
      <c r="N146">
        <v>0.15789473684210525</v>
      </c>
      <c r="P146" t="s">
        <v>2057</v>
      </c>
      <c r="Q146">
        <v>5</v>
      </c>
      <c r="R146" t="s">
        <v>1990</v>
      </c>
    </row>
    <row r="147" spans="1:18">
      <c r="A147" s="951" t="s">
        <v>2058</v>
      </c>
      <c r="B147" t="s">
        <v>134</v>
      </c>
      <c r="C147" t="s">
        <v>1507</v>
      </c>
      <c r="D147" t="s">
        <v>91</v>
      </c>
      <c r="E147" s="859"/>
      <c r="F147" t="s">
        <v>107</v>
      </c>
      <c r="H147" t="s">
        <v>43</v>
      </c>
      <c r="I147" t="s">
        <v>61</v>
      </c>
      <c r="J147" t="s">
        <v>2053</v>
      </c>
      <c r="K147">
        <v>15930</v>
      </c>
      <c r="L147" s="707">
        <v>43466</v>
      </c>
      <c r="M147">
        <v>7</v>
      </c>
      <c r="N147">
        <v>0.41176470588235292</v>
      </c>
      <c r="P147" t="s">
        <v>2057</v>
      </c>
      <c r="Q147">
        <v>5</v>
      </c>
      <c r="R147" t="s">
        <v>1990</v>
      </c>
    </row>
    <row r="148" spans="1:18">
      <c r="A148" s="951" t="s">
        <v>2058</v>
      </c>
      <c r="B148" t="s">
        <v>134</v>
      </c>
      <c r="C148" t="s">
        <v>1507</v>
      </c>
      <c r="D148" t="s">
        <v>91</v>
      </c>
      <c r="E148" s="859"/>
      <c r="F148" t="s">
        <v>107</v>
      </c>
      <c r="H148" t="s">
        <v>43</v>
      </c>
      <c r="I148" t="s">
        <v>61</v>
      </c>
      <c r="J148" t="s">
        <v>2053</v>
      </c>
      <c r="K148">
        <v>15930</v>
      </c>
      <c r="L148" s="707">
        <v>43497</v>
      </c>
      <c r="M148">
        <v>3</v>
      </c>
      <c r="N148">
        <v>0.15789473684210525</v>
      </c>
      <c r="P148" t="s">
        <v>2057</v>
      </c>
      <c r="Q148">
        <v>5</v>
      </c>
      <c r="R148" t="s">
        <v>1990</v>
      </c>
    </row>
    <row r="149" spans="1:18">
      <c r="A149" s="951" t="s">
        <v>2058</v>
      </c>
      <c r="B149" t="s">
        <v>135</v>
      </c>
      <c r="C149" t="s">
        <v>1586</v>
      </c>
      <c r="D149" t="s">
        <v>1587</v>
      </c>
      <c r="E149" s="859" t="s">
        <v>2040</v>
      </c>
      <c r="F149" t="s">
        <v>107</v>
      </c>
      <c r="H149" t="s">
        <v>43</v>
      </c>
      <c r="I149" t="s">
        <v>61</v>
      </c>
      <c r="J149" t="s">
        <v>2052</v>
      </c>
      <c r="K149">
        <v>15930</v>
      </c>
      <c r="L149" s="707">
        <v>43405</v>
      </c>
      <c r="M149">
        <v>8</v>
      </c>
      <c r="N149">
        <v>0.38095238095238093</v>
      </c>
      <c r="P149" t="s">
        <v>2057</v>
      </c>
      <c r="Q149">
        <v>5</v>
      </c>
      <c r="R149" t="s">
        <v>1990</v>
      </c>
    </row>
    <row r="150" spans="1:18">
      <c r="A150" s="951" t="s">
        <v>2058</v>
      </c>
      <c r="B150" t="s">
        <v>135</v>
      </c>
      <c r="C150" t="s">
        <v>1586</v>
      </c>
      <c r="D150" t="s">
        <v>1587</v>
      </c>
      <c r="E150" t="s">
        <v>2040</v>
      </c>
      <c r="F150" t="s">
        <v>107</v>
      </c>
      <c r="H150" t="s">
        <v>43</v>
      </c>
      <c r="I150" t="s">
        <v>61</v>
      </c>
      <c r="J150" t="s">
        <v>2052</v>
      </c>
      <c r="K150">
        <v>15930</v>
      </c>
      <c r="L150" s="707">
        <v>43435</v>
      </c>
      <c r="M150">
        <v>11</v>
      </c>
      <c r="N150">
        <v>0.52380952380952384</v>
      </c>
      <c r="P150" t="s">
        <v>2057</v>
      </c>
      <c r="Q150">
        <v>5</v>
      </c>
      <c r="R150" t="s">
        <v>1990</v>
      </c>
    </row>
    <row r="151" spans="1:18">
      <c r="A151" s="951" t="s">
        <v>2058</v>
      </c>
      <c r="B151" t="s">
        <v>135</v>
      </c>
      <c r="C151" t="s">
        <v>1586</v>
      </c>
      <c r="D151" t="s">
        <v>1587</v>
      </c>
      <c r="E151" t="s">
        <v>2040</v>
      </c>
      <c r="F151" t="s">
        <v>107</v>
      </c>
      <c r="H151" t="s">
        <v>43</v>
      </c>
      <c r="I151" t="s">
        <v>61</v>
      </c>
      <c r="J151" t="s">
        <v>2052</v>
      </c>
      <c r="K151">
        <v>15930</v>
      </c>
      <c r="L151" s="707">
        <v>43466</v>
      </c>
      <c r="M151">
        <v>5</v>
      </c>
      <c r="N151">
        <v>0.29411764705882354</v>
      </c>
      <c r="P151" t="s">
        <v>2057</v>
      </c>
      <c r="Q151">
        <v>5</v>
      </c>
      <c r="R151" t="s">
        <v>1990</v>
      </c>
    </row>
    <row r="152" spans="1:18">
      <c r="A152" s="951" t="s">
        <v>2058</v>
      </c>
      <c r="B152" t="s">
        <v>135</v>
      </c>
      <c r="C152" t="s">
        <v>1586</v>
      </c>
      <c r="D152" t="s">
        <v>1587</v>
      </c>
      <c r="E152" t="s">
        <v>2040</v>
      </c>
      <c r="F152" t="s">
        <v>107</v>
      </c>
      <c r="H152" t="s">
        <v>43</v>
      </c>
      <c r="I152" t="s">
        <v>61</v>
      </c>
      <c r="J152" t="s">
        <v>2052</v>
      </c>
      <c r="K152">
        <v>15930</v>
      </c>
      <c r="L152" s="707">
        <v>43497</v>
      </c>
      <c r="M152">
        <v>4</v>
      </c>
      <c r="N152">
        <v>0.21052631578947367</v>
      </c>
      <c r="P152" t="s">
        <v>2057</v>
      </c>
      <c r="Q152">
        <v>5</v>
      </c>
      <c r="R152" t="s">
        <v>1990</v>
      </c>
    </row>
    <row r="153" spans="1:18">
      <c r="A153" s="951" t="s">
        <v>2058</v>
      </c>
      <c r="B153" t="s">
        <v>135</v>
      </c>
      <c r="C153" t="s">
        <v>1586</v>
      </c>
      <c r="D153" t="s">
        <v>1587</v>
      </c>
      <c r="F153" t="s">
        <v>107</v>
      </c>
      <c r="H153" t="s">
        <v>43</v>
      </c>
      <c r="I153" t="s">
        <v>61</v>
      </c>
      <c r="J153" t="s">
        <v>2053</v>
      </c>
      <c r="K153">
        <v>15930</v>
      </c>
      <c r="L153" s="707">
        <v>43405</v>
      </c>
      <c r="M153">
        <v>8</v>
      </c>
      <c r="N153">
        <v>0.38095238095238093</v>
      </c>
      <c r="P153" t="s">
        <v>2057</v>
      </c>
      <c r="Q153">
        <v>5</v>
      </c>
      <c r="R153" t="s">
        <v>1990</v>
      </c>
    </row>
    <row r="154" spans="1:18">
      <c r="A154" s="951" t="s">
        <v>2058</v>
      </c>
      <c r="B154" t="s">
        <v>135</v>
      </c>
      <c r="C154" t="s">
        <v>1586</v>
      </c>
      <c r="D154" t="s">
        <v>1587</v>
      </c>
      <c r="F154" t="s">
        <v>107</v>
      </c>
      <c r="H154" t="s">
        <v>43</v>
      </c>
      <c r="I154" t="s">
        <v>61</v>
      </c>
      <c r="J154" t="s">
        <v>2053</v>
      </c>
      <c r="K154">
        <v>15930</v>
      </c>
      <c r="L154" s="707">
        <v>43435</v>
      </c>
      <c r="M154">
        <v>11</v>
      </c>
      <c r="N154">
        <v>0.52380952380952384</v>
      </c>
      <c r="P154" t="s">
        <v>2057</v>
      </c>
      <c r="Q154">
        <v>5</v>
      </c>
      <c r="R154" t="s">
        <v>1990</v>
      </c>
    </row>
    <row r="155" spans="1:18">
      <c r="A155" s="951" t="s">
        <v>2058</v>
      </c>
      <c r="B155" t="s">
        <v>135</v>
      </c>
      <c r="C155" t="s">
        <v>1586</v>
      </c>
      <c r="D155" t="s">
        <v>1587</v>
      </c>
      <c r="F155" t="s">
        <v>107</v>
      </c>
      <c r="H155" t="s">
        <v>43</v>
      </c>
      <c r="I155" t="s">
        <v>61</v>
      </c>
      <c r="J155" t="s">
        <v>2053</v>
      </c>
      <c r="K155">
        <v>15930</v>
      </c>
      <c r="L155" s="707">
        <v>43466</v>
      </c>
      <c r="M155">
        <v>5</v>
      </c>
      <c r="N155">
        <v>0.29411764705882354</v>
      </c>
      <c r="P155" t="s">
        <v>2057</v>
      </c>
      <c r="Q155">
        <v>5</v>
      </c>
      <c r="R155" t="s">
        <v>1990</v>
      </c>
    </row>
    <row r="156" spans="1:18">
      <c r="A156" s="951" t="s">
        <v>2058</v>
      </c>
      <c r="B156" t="s">
        <v>135</v>
      </c>
      <c r="C156" t="s">
        <v>1586</v>
      </c>
      <c r="D156" t="s">
        <v>1587</v>
      </c>
      <c r="F156" t="s">
        <v>107</v>
      </c>
      <c r="H156" t="s">
        <v>43</v>
      </c>
      <c r="I156" t="s">
        <v>61</v>
      </c>
      <c r="J156" t="s">
        <v>2053</v>
      </c>
      <c r="K156">
        <v>15930</v>
      </c>
      <c r="L156" s="707">
        <v>43497</v>
      </c>
      <c r="M156">
        <v>3</v>
      </c>
      <c r="N156">
        <v>0.15789473684210525</v>
      </c>
      <c r="P156" t="s">
        <v>2057</v>
      </c>
      <c r="Q156">
        <v>5</v>
      </c>
      <c r="R156" t="s">
        <v>1990</v>
      </c>
    </row>
    <row r="157" spans="1:18">
      <c r="A157" s="951" t="s">
        <v>2058</v>
      </c>
      <c r="B157" t="s">
        <v>135</v>
      </c>
      <c r="C157" t="s">
        <v>1586</v>
      </c>
      <c r="D157" t="s">
        <v>1587</v>
      </c>
      <c r="F157" t="s">
        <v>107</v>
      </c>
      <c r="H157" t="s">
        <v>1625</v>
      </c>
      <c r="I157" t="s">
        <v>58</v>
      </c>
      <c r="J157" t="s">
        <v>2054</v>
      </c>
      <c r="K157">
        <v>6980</v>
      </c>
      <c r="L157" s="707">
        <v>43405</v>
      </c>
      <c r="M157">
        <v>11</v>
      </c>
      <c r="N157">
        <v>0.52380952380952384</v>
      </c>
      <c r="P157" t="s">
        <v>2057</v>
      </c>
      <c r="Q157">
        <v>5</v>
      </c>
      <c r="R157" t="s">
        <v>1990</v>
      </c>
    </row>
    <row r="158" spans="1:18">
      <c r="A158" s="951" t="s">
        <v>2058</v>
      </c>
      <c r="B158" t="s">
        <v>135</v>
      </c>
      <c r="C158" t="s">
        <v>1586</v>
      </c>
      <c r="D158" t="s">
        <v>1587</v>
      </c>
      <c r="F158" t="s">
        <v>107</v>
      </c>
      <c r="H158" t="s">
        <v>1625</v>
      </c>
      <c r="I158" t="s">
        <v>58</v>
      </c>
      <c r="J158" t="s">
        <v>2054</v>
      </c>
      <c r="K158">
        <v>6980</v>
      </c>
      <c r="L158" s="707">
        <v>43435</v>
      </c>
      <c r="M158">
        <v>5</v>
      </c>
      <c r="N158">
        <v>0.23809523809523808</v>
      </c>
      <c r="P158" t="s">
        <v>2057</v>
      </c>
      <c r="Q158">
        <v>5</v>
      </c>
      <c r="R158" t="s">
        <v>1990</v>
      </c>
    </row>
    <row r="159" spans="1:18">
      <c r="A159" s="951" t="s">
        <v>2058</v>
      </c>
      <c r="B159" t="s">
        <v>135</v>
      </c>
      <c r="C159" t="s">
        <v>1586</v>
      </c>
      <c r="D159" t="s">
        <v>1587</v>
      </c>
      <c r="F159" t="s">
        <v>107</v>
      </c>
      <c r="H159" t="s">
        <v>1625</v>
      </c>
      <c r="I159" t="s">
        <v>58</v>
      </c>
      <c r="J159" t="s">
        <v>2055</v>
      </c>
      <c r="K159">
        <v>6980</v>
      </c>
      <c r="L159" s="707">
        <v>43405</v>
      </c>
      <c r="M159">
        <v>11</v>
      </c>
      <c r="N159">
        <v>0.52380952380952384</v>
      </c>
      <c r="P159" t="s">
        <v>2057</v>
      </c>
      <c r="Q159">
        <v>5</v>
      </c>
      <c r="R159" t="s">
        <v>1990</v>
      </c>
    </row>
    <row r="160" spans="1:18">
      <c r="A160" s="951" t="s">
        <v>2058</v>
      </c>
      <c r="B160" t="s">
        <v>135</v>
      </c>
      <c r="C160" t="s">
        <v>1586</v>
      </c>
      <c r="D160" t="s">
        <v>1587</v>
      </c>
      <c r="F160" t="s">
        <v>107</v>
      </c>
      <c r="H160" t="s">
        <v>1625</v>
      </c>
      <c r="I160" t="s">
        <v>58</v>
      </c>
      <c r="J160" t="s">
        <v>2055</v>
      </c>
      <c r="K160">
        <v>6980</v>
      </c>
      <c r="L160" s="707">
        <v>43435</v>
      </c>
      <c r="M160">
        <v>5</v>
      </c>
      <c r="N160">
        <v>0.23809523809523808</v>
      </c>
      <c r="P160" t="s">
        <v>2057</v>
      </c>
      <c r="Q160">
        <v>5</v>
      </c>
      <c r="R160" t="s">
        <v>1990</v>
      </c>
    </row>
    <row r="161" spans="1:18" ht="51">
      <c r="A161" s="951" t="s">
        <v>2058</v>
      </c>
      <c r="B161" t="s">
        <v>137</v>
      </c>
      <c r="C161" t="s">
        <v>1509</v>
      </c>
      <c r="D161" t="s">
        <v>93</v>
      </c>
      <c r="E161" s="859" t="s">
        <v>2041</v>
      </c>
      <c r="F161" t="s">
        <v>107</v>
      </c>
      <c r="H161" t="s">
        <v>43</v>
      </c>
      <c r="I161" t="s">
        <v>61</v>
      </c>
      <c r="J161" t="s">
        <v>2053</v>
      </c>
      <c r="K161">
        <v>15930</v>
      </c>
      <c r="L161" s="707">
        <v>43313</v>
      </c>
      <c r="M161">
        <v>13</v>
      </c>
      <c r="N161">
        <v>0.56521739130434778</v>
      </c>
      <c r="P161" t="s">
        <v>2057</v>
      </c>
      <c r="Q161">
        <v>5</v>
      </c>
      <c r="R161" t="s">
        <v>1990</v>
      </c>
    </row>
    <row r="162" spans="1:18" ht="51">
      <c r="A162" s="951" t="s">
        <v>2058</v>
      </c>
      <c r="B162" t="s">
        <v>137</v>
      </c>
      <c r="C162" t="s">
        <v>1509</v>
      </c>
      <c r="D162" t="s">
        <v>93</v>
      </c>
      <c r="E162" s="859" t="s">
        <v>2041</v>
      </c>
      <c r="F162" t="s">
        <v>107</v>
      </c>
      <c r="H162" t="s">
        <v>43</v>
      </c>
      <c r="I162" t="s">
        <v>61</v>
      </c>
      <c r="J162" t="s">
        <v>2053</v>
      </c>
      <c r="K162">
        <v>15930</v>
      </c>
      <c r="L162" s="707">
        <v>43344</v>
      </c>
      <c r="M162">
        <v>10</v>
      </c>
      <c r="N162">
        <v>0.5</v>
      </c>
      <c r="P162" t="s">
        <v>2057</v>
      </c>
      <c r="Q162">
        <v>5</v>
      </c>
      <c r="R162" t="s">
        <v>1990</v>
      </c>
    </row>
    <row r="163" spans="1:18" ht="51">
      <c r="A163" s="951" t="s">
        <v>2058</v>
      </c>
      <c r="B163" t="s">
        <v>137</v>
      </c>
      <c r="C163" t="s">
        <v>1509</v>
      </c>
      <c r="D163" t="s">
        <v>93</v>
      </c>
      <c r="E163" s="859" t="s">
        <v>2041</v>
      </c>
      <c r="F163" t="s">
        <v>107</v>
      </c>
      <c r="H163" t="s">
        <v>43</v>
      </c>
      <c r="I163" t="s">
        <v>61</v>
      </c>
      <c r="J163" t="s">
        <v>2053</v>
      </c>
      <c r="K163">
        <v>15930</v>
      </c>
      <c r="L163" s="707">
        <v>43497</v>
      </c>
      <c r="M163">
        <v>4</v>
      </c>
      <c r="N163">
        <v>0.21052631578947367</v>
      </c>
      <c r="P163" t="s">
        <v>2057</v>
      </c>
      <c r="Q163">
        <v>5</v>
      </c>
      <c r="R163" t="s">
        <v>1990</v>
      </c>
    </row>
    <row r="164" spans="1:18" ht="51">
      <c r="A164" s="951" t="s">
        <v>2058</v>
      </c>
      <c r="B164" t="s">
        <v>137</v>
      </c>
      <c r="C164" t="s">
        <v>1509</v>
      </c>
      <c r="D164" t="s">
        <v>93</v>
      </c>
      <c r="E164" s="859" t="s">
        <v>2041</v>
      </c>
      <c r="F164" t="s">
        <v>107</v>
      </c>
      <c r="H164" t="s">
        <v>43</v>
      </c>
      <c r="I164" t="s">
        <v>61</v>
      </c>
      <c r="J164" t="s">
        <v>2053</v>
      </c>
      <c r="K164">
        <v>15930</v>
      </c>
      <c r="L164" s="707">
        <v>43525</v>
      </c>
      <c r="M164">
        <v>5</v>
      </c>
      <c r="N164">
        <v>0.25</v>
      </c>
      <c r="P164" t="s">
        <v>2057</v>
      </c>
      <c r="Q164">
        <v>5</v>
      </c>
      <c r="R164" t="s">
        <v>1990</v>
      </c>
    </row>
    <row r="165" spans="1:18" ht="51">
      <c r="A165" s="951" t="s">
        <v>2058</v>
      </c>
      <c r="B165" t="s">
        <v>137</v>
      </c>
      <c r="C165" t="s">
        <v>1509</v>
      </c>
      <c r="D165" t="s">
        <v>93</v>
      </c>
      <c r="E165" s="859" t="s">
        <v>2041</v>
      </c>
      <c r="F165" t="s">
        <v>107</v>
      </c>
      <c r="H165" t="s">
        <v>43</v>
      </c>
      <c r="I165" t="s">
        <v>61</v>
      </c>
      <c r="J165" t="s">
        <v>2053</v>
      </c>
      <c r="K165">
        <v>15930</v>
      </c>
      <c r="L165" s="707">
        <v>43556</v>
      </c>
      <c r="M165">
        <v>5</v>
      </c>
      <c r="N165">
        <v>0.22727272727272727</v>
      </c>
      <c r="P165" t="s">
        <v>2057</v>
      </c>
      <c r="Q165">
        <v>5</v>
      </c>
      <c r="R165" t="s">
        <v>1990</v>
      </c>
    </row>
    <row r="166" spans="1:18" ht="51">
      <c r="A166" s="951" t="s">
        <v>2058</v>
      </c>
      <c r="B166" t="s">
        <v>137</v>
      </c>
      <c r="C166" t="s">
        <v>1509</v>
      </c>
      <c r="D166" t="s">
        <v>93</v>
      </c>
      <c r="E166" s="859" t="s">
        <v>2041</v>
      </c>
      <c r="F166" t="s">
        <v>107</v>
      </c>
      <c r="H166" t="s">
        <v>43</v>
      </c>
      <c r="I166" t="s">
        <v>61</v>
      </c>
      <c r="J166" t="s">
        <v>2052</v>
      </c>
      <c r="K166">
        <v>15930</v>
      </c>
      <c r="L166" s="707">
        <v>43313</v>
      </c>
      <c r="M166">
        <v>13</v>
      </c>
      <c r="N166">
        <v>0.56521739130434778</v>
      </c>
      <c r="P166" t="s">
        <v>2057</v>
      </c>
      <c r="Q166">
        <v>5</v>
      </c>
      <c r="R166" t="s">
        <v>1990</v>
      </c>
    </row>
    <row r="167" spans="1:18" ht="51">
      <c r="A167" s="951" t="s">
        <v>2058</v>
      </c>
      <c r="B167" t="s">
        <v>137</v>
      </c>
      <c r="C167" t="s">
        <v>1509</v>
      </c>
      <c r="D167" t="s">
        <v>93</v>
      </c>
      <c r="E167" s="859" t="s">
        <v>2041</v>
      </c>
      <c r="F167" t="s">
        <v>107</v>
      </c>
      <c r="H167" t="s">
        <v>43</v>
      </c>
      <c r="I167" t="s">
        <v>61</v>
      </c>
      <c r="J167" t="s">
        <v>2052</v>
      </c>
      <c r="K167">
        <v>15930</v>
      </c>
      <c r="L167" s="707">
        <v>43344</v>
      </c>
      <c r="M167">
        <v>10</v>
      </c>
      <c r="N167">
        <v>0.5</v>
      </c>
      <c r="P167" t="s">
        <v>2057</v>
      </c>
      <c r="Q167">
        <v>5</v>
      </c>
      <c r="R167" t="s">
        <v>1990</v>
      </c>
    </row>
    <row r="168" spans="1:18" ht="51">
      <c r="A168" s="951" t="s">
        <v>2058</v>
      </c>
      <c r="B168" t="s">
        <v>137</v>
      </c>
      <c r="C168" t="s">
        <v>1509</v>
      </c>
      <c r="D168" t="s">
        <v>93</v>
      </c>
      <c r="E168" s="859" t="s">
        <v>2041</v>
      </c>
      <c r="F168" t="s">
        <v>107</v>
      </c>
      <c r="H168" t="s">
        <v>43</v>
      </c>
      <c r="I168" t="s">
        <v>61</v>
      </c>
      <c r="J168" t="s">
        <v>2052</v>
      </c>
      <c r="K168">
        <v>15930</v>
      </c>
      <c r="L168" s="707">
        <v>43497</v>
      </c>
      <c r="M168">
        <v>3</v>
      </c>
      <c r="N168">
        <v>0.15789473684210525</v>
      </c>
      <c r="P168" t="s">
        <v>2057</v>
      </c>
      <c r="Q168">
        <v>5</v>
      </c>
      <c r="R168" t="s">
        <v>1990</v>
      </c>
    </row>
    <row r="169" spans="1:18" ht="51">
      <c r="A169" s="951" t="s">
        <v>2058</v>
      </c>
      <c r="B169" t="s">
        <v>137</v>
      </c>
      <c r="C169" t="s">
        <v>1509</v>
      </c>
      <c r="D169" t="s">
        <v>93</v>
      </c>
      <c r="E169" s="859" t="s">
        <v>2041</v>
      </c>
      <c r="F169" t="s">
        <v>107</v>
      </c>
      <c r="H169" t="s">
        <v>43</v>
      </c>
      <c r="I169" t="s">
        <v>61</v>
      </c>
      <c r="J169" t="s">
        <v>2052</v>
      </c>
      <c r="K169">
        <v>15930</v>
      </c>
      <c r="L169" s="707">
        <v>43525</v>
      </c>
      <c r="M169">
        <v>5</v>
      </c>
      <c r="N169">
        <v>0.25</v>
      </c>
      <c r="P169" t="s">
        <v>2057</v>
      </c>
      <c r="Q169">
        <v>5</v>
      </c>
      <c r="R169" t="s">
        <v>1990</v>
      </c>
    </row>
    <row r="170" spans="1:18" ht="51">
      <c r="A170" s="951" t="s">
        <v>2058</v>
      </c>
      <c r="B170" t="s">
        <v>137</v>
      </c>
      <c r="C170" t="s">
        <v>1509</v>
      </c>
      <c r="D170" t="s">
        <v>93</v>
      </c>
      <c r="E170" s="859" t="s">
        <v>2041</v>
      </c>
      <c r="F170" t="s">
        <v>107</v>
      </c>
      <c r="H170" t="s">
        <v>43</v>
      </c>
      <c r="I170" t="s">
        <v>61</v>
      </c>
      <c r="J170" t="s">
        <v>2052</v>
      </c>
      <c r="K170">
        <v>15930</v>
      </c>
      <c r="L170" s="707">
        <v>43556</v>
      </c>
      <c r="M170">
        <v>5</v>
      </c>
      <c r="N170">
        <v>0.22727272727272727</v>
      </c>
      <c r="P170" t="s">
        <v>2057</v>
      </c>
      <c r="Q170">
        <v>5</v>
      </c>
      <c r="R170" t="s">
        <v>1990</v>
      </c>
    </row>
    <row r="171" spans="1:18">
      <c r="A171" s="951" t="s">
        <v>2058</v>
      </c>
      <c r="B171" t="s">
        <v>139</v>
      </c>
      <c r="C171" t="s">
        <v>1679</v>
      </c>
      <c r="D171" t="s">
        <v>1534</v>
      </c>
      <c r="F171" t="s">
        <v>107</v>
      </c>
      <c r="H171" t="s">
        <v>40</v>
      </c>
      <c r="I171" t="s">
        <v>1453</v>
      </c>
      <c r="J171" t="s">
        <v>2049</v>
      </c>
      <c r="K171">
        <v>21520</v>
      </c>
      <c r="L171" s="707">
        <v>43344</v>
      </c>
      <c r="M171">
        <v>10</v>
      </c>
      <c r="N171">
        <v>0.5</v>
      </c>
      <c r="P171" t="s">
        <v>2057</v>
      </c>
      <c r="Q171">
        <v>5</v>
      </c>
      <c r="R171" t="s">
        <v>1990</v>
      </c>
    </row>
    <row r="172" spans="1:18">
      <c r="A172" s="951" t="s">
        <v>2058</v>
      </c>
      <c r="B172" t="s">
        <v>139</v>
      </c>
      <c r="C172" t="s">
        <v>1679</v>
      </c>
      <c r="D172" t="s">
        <v>1534</v>
      </c>
      <c r="F172" t="s">
        <v>107</v>
      </c>
      <c r="H172" t="s">
        <v>40</v>
      </c>
      <c r="I172" t="s">
        <v>1453</v>
      </c>
      <c r="J172" t="s">
        <v>2049</v>
      </c>
      <c r="K172">
        <v>21520</v>
      </c>
      <c r="L172" s="707">
        <v>43374</v>
      </c>
      <c r="M172">
        <v>10</v>
      </c>
      <c r="N172">
        <v>0.43478260869565216</v>
      </c>
      <c r="P172" t="s">
        <v>2057</v>
      </c>
      <c r="Q172">
        <v>5</v>
      </c>
      <c r="R172" t="s">
        <v>1990</v>
      </c>
    </row>
    <row r="173" spans="1:18">
      <c r="A173" s="951" t="s">
        <v>2058</v>
      </c>
      <c r="B173" t="s">
        <v>139</v>
      </c>
      <c r="C173" t="s">
        <v>1679</v>
      </c>
      <c r="D173" t="s">
        <v>1534</v>
      </c>
      <c r="F173" t="s">
        <v>107</v>
      </c>
      <c r="H173" t="s">
        <v>43</v>
      </c>
      <c r="I173" t="s">
        <v>61</v>
      </c>
      <c r="J173" t="s">
        <v>2053</v>
      </c>
      <c r="K173">
        <v>15930</v>
      </c>
      <c r="L173" s="707">
        <v>43344</v>
      </c>
      <c r="M173">
        <v>5</v>
      </c>
      <c r="N173">
        <v>0.25</v>
      </c>
      <c r="P173" t="s">
        <v>2057</v>
      </c>
      <c r="Q173">
        <v>5</v>
      </c>
      <c r="R173" t="s">
        <v>1990</v>
      </c>
    </row>
    <row r="174" spans="1:18">
      <c r="A174" s="951" t="s">
        <v>2058</v>
      </c>
      <c r="B174" t="s">
        <v>139</v>
      </c>
      <c r="C174" t="s">
        <v>1679</v>
      </c>
      <c r="D174" t="s">
        <v>1534</v>
      </c>
      <c r="F174" t="s">
        <v>107</v>
      </c>
      <c r="H174" t="s">
        <v>43</v>
      </c>
      <c r="I174" t="s">
        <v>61</v>
      </c>
      <c r="J174" t="s">
        <v>2053</v>
      </c>
      <c r="K174">
        <v>15930</v>
      </c>
      <c r="L174" s="707">
        <v>43374</v>
      </c>
      <c r="M174">
        <v>10</v>
      </c>
      <c r="N174">
        <v>0.43478260869565216</v>
      </c>
      <c r="P174" t="s">
        <v>2057</v>
      </c>
      <c r="Q174">
        <v>5</v>
      </c>
      <c r="R174" t="s">
        <v>1990</v>
      </c>
    </row>
    <row r="175" spans="1:18">
      <c r="A175" s="951" t="s">
        <v>2058</v>
      </c>
      <c r="B175" t="s">
        <v>139</v>
      </c>
      <c r="C175" t="s">
        <v>1679</v>
      </c>
      <c r="D175" t="s">
        <v>1534</v>
      </c>
      <c r="F175" t="s">
        <v>107</v>
      </c>
      <c r="H175" t="s">
        <v>43</v>
      </c>
      <c r="I175" t="s">
        <v>61</v>
      </c>
      <c r="J175" t="s">
        <v>2052</v>
      </c>
      <c r="K175">
        <v>15930</v>
      </c>
      <c r="L175" s="707">
        <v>43344</v>
      </c>
      <c r="M175">
        <v>5</v>
      </c>
      <c r="N175">
        <v>0.25</v>
      </c>
      <c r="P175" t="s">
        <v>2057</v>
      </c>
      <c r="Q175">
        <v>5</v>
      </c>
      <c r="R175" t="s">
        <v>1990</v>
      </c>
    </row>
    <row r="176" spans="1:18">
      <c r="A176" s="951" t="s">
        <v>2058</v>
      </c>
      <c r="B176" t="s">
        <v>139</v>
      </c>
      <c r="C176" t="s">
        <v>1679</v>
      </c>
      <c r="D176" t="s">
        <v>1534</v>
      </c>
      <c r="F176" t="s">
        <v>107</v>
      </c>
      <c r="H176" t="s">
        <v>43</v>
      </c>
      <c r="I176" t="s">
        <v>61</v>
      </c>
      <c r="J176" t="s">
        <v>2052</v>
      </c>
      <c r="K176">
        <v>15930</v>
      </c>
      <c r="L176" s="707">
        <v>43374</v>
      </c>
      <c r="M176">
        <v>10</v>
      </c>
      <c r="N176">
        <v>0.43478260869565216</v>
      </c>
      <c r="P176" t="s">
        <v>2057</v>
      </c>
      <c r="Q176">
        <v>5</v>
      </c>
      <c r="R176" t="s">
        <v>1990</v>
      </c>
    </row>
    <row r="177" spans="1:18">
      <c r="A177" s="951" t="s">
        <v>2058</v>
      </c>
      <c r="B177" t="s">
        <v>141</v>
      </c>
      <c r="C177" t="s">
        <v>1511</v>
      </c>
      <c r="D177" t="s">
        <v>1492</v>
      </c>
      <c r="E177" t="s">
        <v>2042</v>
      </c>
      <c r="F177" t="s">
        <v>107</v>
      </c>
      <c r="H177" t="s">
        <v>43</v>
      </c>
      <c r="I177" t="s">
        <v>61</v>
      </c>
      <c r="J177" t="s">
        <v>2052</v>
      </c>
      <c r="K177">
        <v>15930</v>
      </c>
      <c r="L177" s="707">
        <v>43191</v>
      </c>
      <c r="M177">
        <v>6</v>
      </c>
      <c r="N177">
        <v>0.2857142857142857</v>
      </c>
      <c r="P177" t="s">
        <v>2057</v>
      </c>
      <c r="Q177">
        <v>5</v>
      </c>
      <c r="R177" t="s">
        <v>1990</v>
      </c>
    </row>
    <row r="178" spans="1:18">
      <c r="A178" s="951" t="s">
        <v>2058</v>
      </c>
      <c r="B178" t="s">
        <v>141</v>
      </c>
      <c r="C178" t="s">
        <v>1511</v>
      </c>
      <c r="D178" t="s">
        <v>1492</v>
      </c>
      <c r="E178" t="s">
        <v>2042</v>
      </c>
      <c r="F178" t="s">
        <v>107</v>
      </c>
      <c r="H178" t="s">
        <v>43</v>
      </c>
      <c r="I178" t="s">
        <v>61</v>
      </c>
      <c r="J178" t="s">
        <v>2052</v>
      </c>
      <c r="K178">
        <v>15930</v>
      </c>
      <c r="L178" s="707">
        <v>43405</v>
      </c>
      <c r="M178">
        <v>3</v>
      </c>
      <c r="N178">
        <v>0.14285714285714285</v>
      </c>
      <c r="P178" t="s">
        <v>2057</v>
      </c>
      <c r="Q178">
        <v>5</v>
      </c>
      <c r="R178" t="s">
        <v>1990</v>
      </c>
    </row>
    <row r="179" spans="1:18">
      <c r="A179" s="951" t="s">
        <v>2058</v>
      </c>
      <c r="B179" t="s">
        <v>141</v>
      </c>
      <c r="C179" t="s">
        <v>1511</v>
      </c>
      <c r="D179" t="s">
        <v>1492</v>
      </c>
      <c r="E179" t="s">
        <v>2042</v>
      </c>
      <c r="F179" t="s">
        <v>107</v>
      </c>
      <c r="H179" t="s">
        <v>43</v>
      </c>
      <c r="I179" t="s">
        <v>61</v>
      </c>
      <c r="J179" t="s">
        <v>2052</v>
      </c>
      <c r="K179">
        <v>15930</v>
      </c>
      <c r="L179" s="707">
        <v>43556</v>
      </c>
      <c r="M179">
        <v>5</v>
      </c>
      <c r="N179">
        <v>0.22727272727272727</v>
      </c>
      <c r="P179" t="s">
        <v>2057</v>
      </c>
      <c r="Q179">
        <v>5</v>
      </c>
      <c r="R179" t="s">
        <v>1990</v>
      </c>
    </row>
    <row r="180" spans="1:18">
      <c r="A180" s="951" t="s">
        <v>2058</v>
      </c>
      <c r="B180" t="s">
        <v>141</v>
      </c>
      <c r="C180" t="s">
        <v>1511</v>
      </c>
      <c r="D180" t="s">
        <v>1492</v>
      </c>
      <c r="E180" t="s">
        <v>2042</v>
      </c>
      <c r="F180" t="s">
        <v>107</v>
      </c>
      <c r="H180" t="s">
        <v>43</v>
      </c>
      <c r="I180" t="s">
        <v>61</v>
      </c>
      <c r="J180" t="s">
        <v>2053</v>
      </c>
      <c r="K180">
        <v>15930</v>
      </c>
      <c r="L180" s="707">
        <v>43191</v>
      </c>
      <c r="M180">
        <v>6</v>
      </c>
      <c r="N180">
        <v>0.2857142857142857</v>
      </c>
      <c r="P180" t="s">
        <v>2057</v>
      </c>
      <c r="Q180">
        <v>5</v>
      </c>
      <c r="R180" t="s">
        <v>1990</v>
      </c>
    </row>
    <row r="181" spans="1:18">
      <c r="A181" s="951" t="s">
        <v>2058</v>
      </c>
      <c r="B181" t="s">
        <v>141</v>
      </c>
      <c r="C181" t="s">
        <v>1511</v>
      </c>
      <c r="D181" t="s">
        <v>1492</v>
      </c>
      <c r="E181" t="s">
        <v>2042</v>
      </c>
      <c r="F181" t="s">
        <v>107</v>
      </c>
      <c r="H181" t="s">
        <v>43</v>
      </c>
      <c r="I181" t="s">
        <v>61</v>
      </c>
      <c r="J181" t="s">
        <v>2053</v>
      </c>
      <c r="K181">
        <v>15930</v>
      </c>
      <c r="L181" s="707">
        <v>43405</v>
      </c>
      <c r="M181">
        <v>3</v>
      </c>
      <c r="N181">
        <v>0.14285714285714285</v>
      </c>
      <c r="P181" t="s">
        <v>2057</v>
      </c>
      <c r="Q181">
        <v>5</v>
      </c>
      <c r="R181" t="s">
        <v>1990</v>
      </c>
    </row>
    <row r="182" spans="1:18">
      <c r="A182" s="951" t="s">
        <v>2058</v>
      </c>
      <c r="B182" t="s">
        <v>141</v>
      </c>
      <c r="C182" t="s">
        <v>1511</v>
      </c>
      <c r="D182" t="s">
        <v>1492</v>
      </c>
      <c r="E182" t="s">
        <v>2042</v>
      </c>
      <c r="F182" t="s">
        <v>107</v>
      </c>
      <c r="H182" t="s">
        <v>43</v>
      </c>
      <c r="I182" t="s">
        <v>61</v>
      </c>
      <c r="J182" t="s">
        <v>2053</v>
      </c>
      <c r="K182">
        <v>15930</v>
      </c>
      <c r="L182" s="707">
        <v>43556</v>
      </c>
      <c r="M182">
        <v>5</v>
      </c>
      <c r="N182">
        <v>0.22727272727272727</v>
      </c>
      <c r="P182" t="s">
        <v>2057</v>
      </c>
      <c r="Q182">
        <v>5</v>
      </c>
      <c r="R182" t="s">
        <v>1990</v>
      </c>
    </row>
    <row r="183" spans="1:18">
      <c r="A183" s="951" t="s">
        <v>2058</v>
      </c>
      <c r="B183" t="s">
        <v>142</v>
      </c>
      <c r="C183" t="s">
        <v>95</v>
      </c>
      <c r="D183" t="s">
        <v>1536</v>
      </c>
      <c r="F183" t="s">
        <v>107</v>
      </c>
      <c r="H183" t="s">
        <v>43</v>
      </c>
      <c r="I183" t="s">
        <v>61</v>
      </c>
      <c r="J183" t="s">
        <v>2052</v>
      </c>
      <c r="K183">
        <v>15930</v>
      </c>
      <c r="L183" s="707">
        <v>43160</v>
      </c>
      <c r="M183">
        <v>10</v>
      </c>
      <c r="N183">
        <v>0.5</v>
      </c>
      <c r="P183" t="s">
        <v>2057</v>
      </c>
      <c r="Q183">
        <v>5</v>
      </c>
      <c r="R183" t="s">
        <v>1990</v>
      </c>
    </row>
    <row r="184" spans="1:18">
      <c r="A184" s="951" t="s">
        <v>2058</v>
      </c>
      <c r="B184" t="s">
        <v>142</v>
      </c>
      <c r="C184" t="s">
        <v>95</v>
      </c>
      <c r="D184" t="s">
        <v>1536</v>
      </c>
      <c r="F184" t="s">
        <v>107</v>
      </c>
      <c r="H184" t="s">
        <v>43</v>
      </c>
      <c r="I184" t="s">
        <v>61</v>
      </c>
      <c r="J184" t="s">
        <v>2053</v>
      </c>
      <c r="K184">
        <v>15930</v>
      </c>
      <c r="L184" s="707">
        <v>43160</v>
      </c>
      <c r="M184">
        <v>10</v>
      </c>
      <c r="N184">
        <v>0.5</v>
      </c>
      <c r="P184" t="s">
        <v>2057</v>
      </c>
      <c r="Q184">
        <v>5</v>
      </c>
      <c r="R184" t="s">
        <v>1990</v>
      </c>
    </row>
    <row r="185" spans="1:18">
      <c r="A185" s="951" t="s">
        <v>2058</v>
      </c>
      <c r="B185" t="s">
        <v>142</v>
      </c>
      <c r="C185" t="s">
        <v>95</v>
      </c>
      <c r="D185" t="s">
        <v>1536</v>
      </c>
      <c r="E185" s="859"/>
      <c r="F185" t="s">
        <v>107</v>
      </c>
      <c r="H185" t="s">
        <v>1628</v>
      </c>
      <c r="I185" t="s">
        <v>59</v>
      </c>
      <c r="J185" t="s">
        <v>2056</v>
      </c>
      <c r="K185">
        <v>9050</v>
      </c>
      <c r="L185" s="707">
        <v>43132</v>
      </c>
      <c r="M185">
        <v>5</v>
      </c>
      <c r="N185">
        <v>0.26315789473684209</v>
      </c>
      <c r="P185" t="s">
        <v>2057</v>
      </c>
      <c r="Q185">
        <v>5</v>
      </c>
      <c r="R185" t="s">
        <v>1990</v>
      </c>
    </row>
    <row r="186" spans="1:18">
      <c r="A186" s="951" t="s">
        <v>2058</v>
      </c>
      <c r="B186" t="s">
        <v>142</v>
      </c>
      <c r="C186" t="s">
        <v>95</v>
      </c>
      <c r="D186" t="s">
        <v>1536</v>
      </c>
      <c r="E186" s="859"/>
      <c r="F186" t="s">
        <v>107</v>
      </c>
      <c r="H186" t="s">
        <v>1628</v>
      </c>
      <c r="I186" t="s">
        <v>59</v>
      </c>
      <c r="J186" t="s">
        <v>2056</v>
      </c>
      <c r="K186">
        <v>9050</v>
      </c>
      <c r="L186" s="707">
        <v>43160</v>
      </c>
      <c r="M186">
        <v>10</v>
      </c>
      <c r="N186">
        <v>0.5</v>
      </c>
      <c r="P186" t="s">
        <v>2057</v>
      </c>
      <c r="Q186">
        <v>5</v>
      </c>
      <c r="R186" t="s">
        <v>1990</v>
      </c>
    </row>
    <row r="187" spans="1:18">
      <c r="A187" s="951" t="s">
        <v>2058</v>
      </c>
      <c r="B187" t="s">
        <v>143</v>
      </c>
      <c r="C187" t="s">
        <v>1538</v>
      </c>
      <c r="D187" t="s">
        <v>1539</v>
      </c>
      <c r="E187" s="859"/>
      <c r="F187" t="s">
        <v>107</v>
      </c>
      <c r="H187" t="s">
        <v>43</v>
      </c>
      <c r="I187" t="s">
        <v>61</v>
      </c>
      <c r="J187" t="s">
        <v>2053</v>
      </c>
      <c r="K187">
        <v>15930</v>
      </c>
      <c r="L187" s="707">
        <v>43160</v>
      </c>
      <c r="M187">
        <v>10</v>
      </c>
      <c r="N187">
        <v>0.5</v>
      </c>
      <c r="P187" t="s">
        <v>2057</v>
      </c>
      <c r="Q187">
        <v>5</v>
      </c>
      <c r="R187" t="s">
        <v>1990</v>
      </c>
    </row>
    <row r="188" spans="1:18">
      <c r="A188" s="951" t="s">
        <v>2058</v>
      </c>
      <c r="B188" t="s">
        <v>143</v>
      </c>
      <c r="C188" t="s">
        <v>1538</v>
      </c>
      <c r="D188" t="s">
        <v>1539</v>
      </c>
      <c r="E188" s="859"/>
      <c r="F188" t="s">
        <v>107</v>
      </c>
      <c r="H188" t="s">
        <v>43</v>
      </c>
      <c r="I188" t="s">
        <v>61</v>
      </c>
      <c r="J188" t="s">
        <v>2053</v>
      </c>
      <c r="K188">
        <v>15930</v>
      </c>
      <c r="L188" s="707">
        <v>43191</v>
      </c>
      <c r="M188">
        <v>15</v>
      </c>
      <c r="N188">
        <v>0.7142857142857143</v>
      </c>
      <c r="P188" t="s">
        <v>2057</v>
      </c>
      <c r="Q188">
        <v>5</v>
      </c>
      <c r="R188" t="s">
        <v>1990</v>
      </c>
    </row>
    <row r="189" spans="1:18">
      <c r="A189" s="951" t="s">
        <v>2058</v>
      </c>
      <c r="B189" t="s">
        <v>143</v>
      </c>
      <c r="C189" t="s">
        <v>1538</v>
      </c>
      <c r="D189" t="s">
        <v>1539</v>
      </c>
      <c r="E189" s="859"/>
      <c r="F189" t="s">
        <v>107</v>
      </c>
      <c r="H189" t="s">
        <v>43</v>
      </c>
      <c r="I189" t="s">
        <v>61</v>
      </c>
      <c r="J189" t="s">
        <v>2052</v>
      </c>
      <c r="K189">
        <v>15930</v>
      </c>
      <c r="L189" s="707">
        <v>43160</v>
      </c>
      <c r="M189">
        <v>10</v>
      </c>
      <c r="N189">
        <v>0.5</v>
      </c>
      <c r="P189" t="s">
        <v>2057</v>
      </c>
      <c r="Q189">
        <v>5</v>
      </c>
      <c r="R189" t="s">
        <v>1990</v>
      </c>
    </row>
    <row r="190" spans="1:18">
      <c r="A190" s="951" t="s">
        <v>2058</v>
      </c>
      <c r="B190" t="s">
        <v>143</v>
      </c>
      <c r="C190" t="s">
        <v>1538</v>
      </c>
      <c r="D190" t="s">
        <v>1539</v>
      </c>
      <c r="F190" t="s">
        <v>107</v>
      </c>
      <c r="H190" t="s">
        <v>43</v>
      </c>
      <c r="I190" t="s">
        <v>61</v>
      </c>
      <c r="J190" t="s">
        <v>2052</v>
      </c>
      <c r="K190">
        <v>15930</v>
      </c>
      <c r="L190" s="707">
        <v>43191</v>
      </c>
      <c r="M190">
        <v>15</v>
      </c>
      <c r="N190">
        <v>0.7142857142857143</v>
      </c>
      <c r="P190" t="s">
        <v>2057</v>
      </c>
      <c r="Q190">
        <v>5</v>
      </c>
      <c r="R190" t="s">
        <v>1990</v>
      </c>
    </row>
    <row r="191" spans="1:18">
      <c r="A191" s="951" t="s">
        <v>2058</v>
      </c>
      <c r="B191" t="s">
        <v>144</v>
      </c>
      <c r="C191" t="s">
        <v>1588</v>
      </c>
      <c r="D191" t="s">
        <v>1537</v>
      </c>
      <c r="F191" t="s">
        <v>107</v>
      </c>
      <c r="H191" t="s">
        <v>1628</v>
      </c>
      <c r="I191" t="s">
        <v>59</v>
      </c>
      <c r="J191" t="s">
        <v>2056</v>
      </c>
      <c r="K191">
        <v>9050</v>
      </c>
      <c r="L191" s="707">
        <v>43191</v>
      </c>
      <c r="M191">
        <v>14</v>
      </c>
      <c r="N191">
        <v>0.66666666666666663</v>
      </c>
      <c r="P191" t="s">
        <v>2057</v>
      </c>
      <c r="Q191">
        <v>5</v>
      </c>
      <c r="R191" t="s">
        <v>1990</v>
      </c>
    </row>
    <row r="192" spans="1:18">
      <c r="A192" s="951" t="s">
        <v>2058</v>
      </c>
      <c r="B192" t="s">
        <v>144</v>
      </c>
      <c r="C192" t="s">
        <v>1588</v>
      </c>
      <c r="D192" t="s">
        <v>1537</v>
      </c>
      <c r="F192" t="s">
        <v>107</v>
      </c>
      <c r="H192" t="s">
        <v>43</v>
      </c>
      <c r="I192" t="s">
        <v>61</v>
      </c>
      <c r="J192" t="s">
        <v>2051</v>
      </c>
      <c r="K192">
        <v>15930</v>
      </c>
      <c r="L192" s="707">
        <v>43221</v>
      </c>
      <c r="M192">
        <v>3</v>
      </c>
      <c r="N192">
        <v>0.15</v>
      </c>
      <c r="P192" t="s">
        <v>2057</v>
      </c>
      <c r="Q192">
        <v>5</v>
      </c>
      <c r="R192" t="s">
        <v>1990</v>
      </c>
    </row>
    <row r="193" spans="1:18">
      <c r="A193" s="951" t="s">
        <v>2058</v>
      </c>
      <c r="B193" t="s">
        <v>145</v>
      </c>
      <c r="C193" t="s">
        <v>1589</v>
      </c>
      <c r="D193" t="s">
        <v>1680</v>
      </c>
      <c r="F193" t="s">
        <v>107</v>
      </c>
      <c r="H193" t="s">
        <v>1628</v>
      </c>
      <c r="I193" t="s">
        <v>59</v>
      </c>
      <c r="J193" t="s">
        <v>2056</v>
      </c>
      <c r="K193">
        <v>9050</v>
      </c>
      <c r="L193" s="707">
        <v>43221</v>
      </c>
      <c r="M193">
        <v>5</v>
      </c>
      <c r="N193">
        <v>0.25</v>
      </c>
      <c r="P193" t="s">
        <v>2057</v>
      </c>
      <c r="Q193">
        <v>5</v>
      </c>
      <c r="R193" t="s">
        <v>1990</v>
      </c>
    </row>
    <row r="194" spans="1:18">
      <c r="A194" s="951" t="s">
        <v>2058</v>
      </c>
      <c r="B194" t="s">
        <v>145</v>
      </c>
      <c r="C194" t="s">
        <v>1589</v>
      </c>
      <c r="D194" t="s">
        <v>1680</v>
      </c>
      <c r="F194" t="s">
        <v>107</v>
      </c>
      <c r="H194" t="s">
        <v>43</v>
      </c>
      <c r="I194" t="s">
        <v>61</v>
      </c>
      <c r="J194" t="s">
        <v>2051</v>
      </c>
      <c r="K194">
        <v>15930</v>
      </c>
      <c r="L194" s="707">
        <v>43221</v>
      </c>
      <c r="M194">
        <v>3</v>
      </c>
      <c r="N194">
        <v>0.15</v>
      </c>
      <c r="P194" t="s">
        <v>2057</v>
      </c>
      <c r="Q194">
        <v>5</v>
      </c>
      <c r="R194" t="s">
        <v>1990</v>
      </c>
    </row>
    <row r="195" spans="1:18">
      <c r="A195" s="951" t="s">
        <v>2058</v>
      </c>
      <c r="B195" t="s">
        <v>145</v>
      </c>
      <c r="C195" t="s">
        <v>1589</v>
      </c>
      <c r="D195" t="s">
        <v>1680</v>
      </c>
      <c r="F195" t="s">
        <v>107</v>
      </c>
      <c r="H195" t="s">
        <v>43</v>
      </c>
      <c r="I195" t="s">
        <v>61</v>
      </c>
      <c r="J195" t="s">
        <v>2053</v>
      </c>
      <c r="K195">
        <v>15930</v>
      </c>
      <c r="L195" s="707">
        <v>43221</v>
      </c>
      <c r="M195">
        <v>20</v>
      </c>
      <c r="N195">
        <v>1</v>
      </c>
      <c r="P195" t="s">
        <v>2057</v>
      </c>
      <c r="Q195">
        <v>5</v>
      </c>
      <c r="R195" t="s">
        <v>1990</v>
      </c>
    </row>
    <row r="196" spans="1:18">
      <c r="A196" s="951" t="s">
        <v>2058</v>
      </c>
      <c r="B196" t="s">
        <v>145</v>
      </c>
      <c r="C196" t="s">
        <v>1589</v>
      </c>
      <c r="D196" t="s">
        <v>1680</v>
      </c>
      <c r="F196" t="s">
        <v>107</v>
      </c>
      <c r="H196" t="s">
        <v>43</v>
      </c>
      <c r="I196" t="s">
        <v>61</v>
      </c>
      <c r="J196" t="s">
        <v>2053</v>
      </c>
      <c r="K196">
        <v>15930</v>
      </c>
      <c r="L196" s="707">
        <v>43252</v>
      </c>
      <c r="M196">
        <v>10</v>
      </c>
      <c r="N196">
        <v>0.5</v>
      </c>
      <c r="P196" t="s">
        <v>2057</v>
      </c>
      <c r="Q196">
        <v>5</v>
      </c>
      <c r="R196" t="s">
        <v>1990</v>
      </c>
    </row>
    <row r="197" spans="1:18">
      <c r="A197" s="951" t="s">
        <v>2058</v>
      </c>
      <c r="B197" t="s">
        <v>145</v>
      </c>
      <c r="C197" t="s">
        <v>1589</v>
      </c>
      <c r="D197" t="s">
        <v>1680</v>
      </c>
      <c r="F197" t="s">
        <v>107</v>
      </c>
      <c r="H197" t="s">
        <v>43</v>
      </c>
      <c r="I197" t="s">
        <v>61</v>
      </c>
      <c r="J197" t="s">
        <v>2052</v>
      </c>
      <c r="K197">
        <v>15930</v>
      </c>
      <c r="L197" s="707">
        <v>43221</v>
      </c>
      <c r="M197">
        <v>20</v>
      </c>
      <c r="N197">
        <v>1</v>
      </c>
      <c r="P197" t="s">
        <v>2057</v>
      </c>
      <c r="Q197">
        <v>5</v>
      </c>
      <c r="R197" t="s">
        <v>1990</v>
      </c>
    </row>
    <row r="198" spans="1:18">
      <c r="A198" s="951" t="s">
        <v>2058</v>
      </c>
      <c r="B198" t="s">
        <v>145</v>
      </c>
      <c r="C198" t="s">
        <v>1589</v>
      </c>
      <c r="D198" t="s">
        <v>1680</v>
      </c>
      <c r="F198" t="s">
        <v>107</v>
      </c>
      <c r="H198" t="s">
        <v>43</v>
      </c>
      <c r="I198" t="s">
        <v>61</v>
      </c>
      <c r="J198" t="s">
        <v>2052</v>
      </c>
      <c r="K198">
        <v>15930</v>
      </c>
      <c r="L198" s="707">
        <v>43252</v>
      </c>
      <c r="M198">
        <v>10</v>
      </c>
      <c r="N198">
        <v>0.5</v>
      </c>
      <c r="P198" t="s">
        <v>2057</v>
      </c>
      <c r="Q198">
        <v>5</v>
      </c>
      <c r="R198" t="s">
        <v>1990</v>
      </c>
    </row>
    <row r="199" spans="1:18">
      <c r="A199" s="951" t="s">
        <v>2058</v>
      </c>
      <c r="B199" t="s">
        <v>146</v>
      </c>
      <c r="C199" t="s">
        <v>1590</v>
      </c>
      <c r="D199" t="s">
        <v>1540</v>
      </c>
      <c r="E199" t="s">
        <v>2043</v>
      </c>
      <c r="F199" t="s">
        <v>107</v>
      </c>
      <c r="H199" t="s">
        <v>1628</v>
      </c>
      <c r="I199" t="s">
        <v>59</v>
      </c>
      <c r="J199" t="s">
        <v>2056</v>
      </c>
      <c r="K199">
        <v>9050</v>
      </c>
      <c r="L199" s="707">
        <v>43191</v>
      </c>
      <c r="M199">
        <v>5</v>
      </c>
      <c r="N199">
        <v>0.23809523809523808</v>
      </c>
      <c r="P199" t="s">
        <v>2057</v>
      </c>
      <c r="Q199">
        <v>5</v>
      </c>
      <c r="R199" t="s">
        <v>1990</v>
      </c>
    </row>
    <row r="200" spans="1:18">
      <c r="A200" s="951" t="s">
        <v>2058</v>
      </c>
      <c r="B200" t="s">
        <v>146</v>
      </c>
      <c r="C200" t="s">
        <v>1590</v>
      </c>
      <c r="D200" t="s">
        <v>1540</v>
      </c>
      <c r="E200" t="s">
        <v>2043</v>
      </c>
      <c r="F200" t="s">
        <v>107</v>
      </c>
      <c r="H200" t="s">
        <v>1628</v>
      </c>
      <c r="I200" t="s">
        <v>59</v>
      </c>
      <c r="J200" t="s">
        <v>2056</v>
      </c>
      <c r="K200">
        <v>9050</v>
      </c>
      <c r="L200" s="707">
        <v>43497</v>
      </c>
      <c r="M200">
        <v>5</v>
      </c>
      <c r="N200">
        <v>0.26315789473684209</v>
      </c>
      <c r="P200" t="s">
        <v>2057</v>
      </c>
      <c r="Q200">
        <v>5</v>
      </c>
      <c r="R200" t="s">
        <v>1990</v>
      </c>
    </row>
    <row r="201" spans="1:18">
      <c r="A201" s="951" t="s">
        <v>2058</v>
      </c>
      <c r="B201" t="s">
        <v>146</v>
      </c>
      <c r="C201" t="s">
        <v>1590</v>
      </c>
      <c r="D201" t="s">
        <v>1540</v>
      </c>
      <c r="E201" t="s">
        <v>2043</v>
      </c>
      <c r="F201" t="s">
        <v>107</v>
      </c>
      <c r="H201" t="s">
        <v>43</v>
      </c>
      <c r="I201" t="s">
        <v>61</v>
      </c>
      <c r="J201" t="s">
        <v>2053</v>
      </c>
      <c r="K201">
        <v>15930</v>
      </c>
      <c r="L201" s="707">
        <v>43252</v>
      </c>
      <c r="M201">
        <v>10</v>
      </c>
      <c r="N201">
        <v>0.5</v>
      </c>
      <c r="P201" t="s">
        <v>2057</v>
      </c>
      <c r="Q201">
        <v>5</v>
      </c>
      <c r="R201" t="s">
        <v>1990</v>
      </c>
    </row>
    <row r="202" spans="1:18">
      <c r="A202" s="951" t="s">
        <v>2058</v>
      </c>
      <c r="B202" t="s">
        <v>146</v>
      </c>
      <c r="C202" t="s">
        <v>1590</v>
      </c>
      <c r="D202" t="s">
        <v>1540</v>
      </c>
      <c r="E202" t="s">
        <v>2043</v>
      </c>
      <c r="F202" t="s">
        <v>107</v>
      </c>
      <c r="H202" t="s">
        <v>43</v>
      </c>
      <c r="I202" t="s">
        <v>61</v>
      </c>
      <c r="J202" t="s">
        <v>2053</v>
      </c>
      <c r="K202">
        <v>15930</v>
      </c>
      <c r="L202" s="707">
        <v>43466</v>
      </c>
      <c r="M202">
        <v>2</v>
      </c>
      <c r="N202">
        <v>0.11764705882352941</v>
      </c>
      <c r="P202" t="s">
        <v>2057</v>
      </c>
      <c r="Q202">
        <v>5</v>
      </c>
      <c r="R202" t="s">
        <v>1990</v>
      </c>
    </row>
    <row r="203" spans="1:18">
      <c r="A203" s="951" t="s">
        <v>2058</v>
      </c>
      <c r="B203" t="s">
        <v>146</v>
      </c>
      <c r="C203" t="s">
        <v>1590</v>
      </c>
      <c r="D203" t="s">
        <v>1540</v>
      </c>
      <c r="E203" t="s">
        <v>2043</v>
      </c>
      <c r="F203" t="s">
        <v>107</v>
      </c>
      <c r="H203" t="s">
        <v>43</v>
      </c>
      <c r="I203" t="s">
        <v>61</v>
      </c>
      <c r="J203" t="s">
        <v>2053</v>
      </c>
      <c r="K203">
        <v>15930</v>
      </c>
      <c r="L203" s="707">
        <v>43497</v>
      </c>
      <c r="M203">
        <v>2</v>
      </c>
      <c r="N203">
        <v>0.10526315789473684</v>
      </c>
      <c r="P203" t="s">
        <v>2057</v>
      </c>
      <c r="Q203">
        <v>5</v>
      </c>
      <c r="R203" t="s">
        <v>1990</v>
      </c>
    </row>
    <row r="204" spans="1:18">
      <c r="A204" s="951" t="s">
        <v>2058</v>
      </c>
      <c r="B204" t="s">
        <v>146</v>
      </c>
      <c r="C204" t="s">
        <v>1590</v>
      </c>
      <c r="D204" t="s">
        <v>1540</v>
      </c>
      <c r="E204" t="s">
        <v>2043</v>
      </c>
      <c r="F204" t="s">
        <v>107</v>
      </c>
      <c r="H204" t="s">
        <v>43</v>
      </c>
      <c r="I204" t="s">
        <v>61</v>
      </c>
      <c r="J204" t="s">
        <v>2052</v>
      </c>
      <c r="K204">
        <v>15930</v>
      </c>
      <c r="L204" s="707">
        <v>43252</v>
      </c>
      <c r="M204">
        <v>10</v>
      </c>
      <c r="N204">
        <v>0.5</v>
      </c>
      <c r="P204" t="s">
        <v>2057</v>
      </c>
      <c r="Q204">
        <v>5</v>
      </c>
      <c r="R204" t="s">
        <v>1990</v>
      </c>
    </row>
    <row r="205" spans="1:18">
      <c r="A205" s="951" t="s">
        <v>2058</v>
      </c>
      <c r="B205" t="s">
        <v>146</v>
      </c>
      <c r="C205" t="s">
        <v>1590</v>
      </c>
      <c r="D205" t="s">
        <v>1540</v>
      </c>
      <c r="E205" t="s">
        <v>2043</v>
      </c>
      <c r="F205" t="s">
        <v>107</v>
      </c>
      <c r="H205" t="s">
        <v>43</v>
      </c>
      <c r="I205" t="s">
        <v>61</v>
      </c>
      <c r="J205" t="s">
        <v>2052</v>
      </c>
      <c r="K205">
        <v>15930</v>
      </c>
      <c r="L205" s="707">
        <v>43466</v>
      </c>
      <c r="M205">
        <v>2</v>
      </c>
      <c r="N205">
        <v>0.11764705882352941</v>
      </c>
      <c r="P205" t="s">
        <v>2057</v>
      </c>
      <c r="Q205">
        <v>5</v>
      </c>
      <c r="R205" t="s">
        <v>1990</v>
      </c>
    </row>
    <row r="206" spans="1:18">
      <c r="A206" s="951" t="s">
        <v>2058</v>
      </c>
      <c r="B206" t="s">
        <v>146</v>
      </c>
      <c r="C206" t="s">
        <v>1590</v>
      </c>
      <c r="D206" t="s">
        <v>1540</v>
      </c>
      <c r="E206" t="s">
        <v>2043</v>
      </c>
      <c r="F206" t="s">
        <v>107</v>
      </c>
      <c r="H206" t="s">
        <v>43</v>
      </c>
      <c r="I206" t="s">
        <v>61</v>
      </c>
      <c r="J206" t="s">
        <v>2052</v>
      </c>
      <c r="K206">
        <v>15930</v>
      </c>
      <c r="L206" s="707">
        <v>43497</v>
      </c>
      <c r="M206">
        <v>2</v>
      </c>
      <c r="N206">
        <v>0.10526315789473684</v>
      </c>
      <c r="P206" t="s">
        <v>2057</v>
      </c>
      <c r="Q206">
        <v>5</v>
      </c>
      <c r="R206" t="s">
        <v>1990</v>
      </c>
    </row>
    <row r="207" spans="1:18">
      <c r="A207" s="951" t="s">
        <v>2058</v>
      </c>
      <c r="B207" t="s">
        <v>147</v>
      </c>
      <c r="C207" t="s">
        <v>1514</v>
      </c>
      <c r="D207" t="s">
        <v>96</v>
      </c>
      <c r="F207" t="s">
        <v>106</v>
      </c>
      <c r="H207" t="s">
        <v>40</v>
      </c>
      <c r="I207" t="s">
        <v>1453</v>
      </c>
      <c r="J207" t="s">
        <v>2049</v>
      </c>
      <c r="K207">
        <v>21520</v>
      </c>
      <c r="L207" s="707">
        <v>43252</v>
      </c>
      <c r="M207">
        <v>5</v>
      </c>
      <c r="N207">
        <v>0.25</v>
      </c>
      <c r="P207" t="s">
        <v>2057</v>
      </c>
      <c r="Q207">
        <v>5</v>
      </c>
      <c r="R207" t="s">
        <v>1990</v>
      </c>
    </row>
    <row r="208" spans="1:18">
      <c r="A208" s="951" t="s">
        <v>2058</v>
      </c>
      <c r="B208" t="s">
        <v>147</v>
      </c>
      <c r="C208" t="s">
        <v>1514</v>
      </c>
      <c r="D208" t="s">
        <v>96</v>
      </c>
      <c r="F208" t="s">
        <v>106</v>
      </c>
      <c r="H208" t="s">
        <v>40</v>
      </c>
      <c r="I208" t="s">
        <v>1453</v>
      </c>
      <c r="J208" t="s">
        <v>2049</v>
      </c>
      <c r="K208">
        <v>21520</v>
      </c>
      <c r="L208" s="707">
        <v>43282</v>
      </c>
      <c r="M208">
        <v>5</v>
      </c>
      <c r="N208">
        <v>0.22727272727272727</v>
      </c>
      <c r="P208" t="s">
        <v>2057</v>
      </c>
      <c r="Q208">
        <v>5</v>
      </c>
      <c r="R208" t="s">
        <v>1990</v>
      </c>
    </row>
    <row r="209" spans="1:18" ht="165.75">
      <c r="A209" s="951" t="s">
        <v>2058</v>
      </c>
      <c r="B209" t="s">
        <v>148</v>
      </c>
      <c r="C209" t="s">
        <v>1515</v>
      </c>
      <c r="D209" t="s">
        <v>97</v>
      </c>
      <c r="E209" s="859" t="s">
        <v>2044</v>
      </c>
      <c r="F209" t="s">
        <v>106</v>
      </c>
      <c r="H209" t="s">
        <v>40</v>
      </c>
      <c r="I209" t="s">
        <v>1453</v>
      </c>
      <c r="J209" t="s">
        <v>2049</v>
      </c>
      <c r="K209">
        <v>21520</v>
      </c>
      <c r="L209" s="707">
        <v>43282</v>
      </c>
      <c r="M209">
        <v>17</v>
      </c>
      <c r="N209">
        <v>0.77272727272727271</v>
      </c>
      <c r="P209" t="s">
        <v>2057</v>
      </c>
      <c r="Q209">
        <v>5</v>
      </c>
      <c r="R209" t="s">
        <v>1990</v>
      </c>
    </row>
    <row r="210" spans="1:18" ht="165.75">
      <c r="A210" s="951" t="s">
        <v>2058</v>
      </c>
      <c r="B210" t="s">
        <v>148</v>
      </c>
      <c r="C210" t="s">
        <v>1515</v>
      </c>
      <c r="D210" t="s">
        <v>97</v>
      </c>
      <c r="E210" s="859" t="s">
        <v>2044</v>
      </c>
      <c r="F210" t="s">
        <v>106</v>
      </c>
      <c r="H210" t="s">
        <v>40</v>
      </c>
      <c r="I210" t="s">
        <v>1453</v>
      </c>
      <c r="J210" t="s">
        <v>2049</v>
      </c>
      <c r="K210">
        <v>21520</v>
      </c>
      <c r="L210" s="707">
        <v>43313</v>
      </c>
      <c r="M210">
        <v>23</v>
      </c>
      <c r="N210">
        <v>1</v>
      </c>
      <c r="P210" t="s">
        <v>2057</v>
      </c>
      <c r="Q210">
        <v>5</v>
      </c>
      <c r="R210" t="s">
        <v>1990</v>
      </c>
    </row>
    <row r="211" spans="1:18" ht="165.75">
      <c r="A211" s="951" t="s">
        <v>2058</v>
      </c>
      <c r="B211" t="s">
        <v>148</v>
      </c>
      <c r="C211" t="s">
        <v>1515</v>
      </c>
      <c r="D211" t="s">
        <v>97</v>
      </c>
      <c r="E211" s="859" t="s">
        <v>2044</v>
      </c>
      <c r="F211" t="s">
        <v>106</v>
      </c>
      <c r="H211" t="s">
        <v>40</v>
      </c>
      <c r="I211" t="s">
        <v>1453</v>
      </c>
      <c r="J211" t="s">
        <v>2049</v>
      </c>
      <c r="K211">
        <v>21520</v>
      </c>
      <c r="L211" s="707">
        <v>43344</v>
      </c>
      <c r="M211">
        <v>10</v>
      </c>
      <c r="N211">
        <v>0.5</v>
      </c>
      <c r="P211" t="s">
        <v>2057</v>
      </c>
      <c r="Q211">
        <v>5</v>
      </c>
      <c r="R211" t="s">
        <v>1990</v>
      </c>
    </row>
    <row r="212" spans="1:18" ht="165.75">
      <c r="A212" s="951" t="s">
        <v>2058</v>
      </c>
      <c r="B212" t="s">
        <v>148</v>
      </c>
      <c r="C212" t="s">
        <v>1515</v>
      </c>
      <c r="D212" t="s">
        <v>97</v>
      </c>
      <c r="E212" s="859" t="s">
        <v>2044</v>
      </c>
      <c r="F212" t="s">
        <v>106</v>
      </c>
      <c r="H212" t="s">
        <v>40</v>
      </c>
      <c r="I212" t="s">
        <v>1453</v>
      </c>
      <c r="J212" t="s">
        <v>2049</v>
      </c>
      <c r="K212">
        <v>21520</v>
      </c>
      <c r="L212" s="707">
        <v>43374</v>
      </c>
      <c r="M212">
        <v>13</v>
      </c>
      <c r="N212">
        <v>0.56521739130434778</v>
      </c>
      <c r="P212" t="s">
        <v>2057</v>
      </c>
      <c r="Q212">
        <v>5</v>
      </c>
      <c r="R212" t="s">
        <v>1990</v>
      </c>
    </row>
    <row r="213" spans="1:18" ht="165.75">
      <c r="A213" s="951" t="s">
        <v>2058</v>
      </c>
      <c r="B213" t="s">
        <v>148</v>
      </c>
      <c r="C213" t="s">
        <v>1515</v>
      </c>
      <c r="D213" t="s">
        <v>97</v>
      </c>
      <c r="E213" s="859" t="s">
        <v>2044</v>
      </c>
      <c r="F213" t="s">
        <v>106</v>
      </c>
      <c r="H213" t="s">
        <v>40</v>
      </c>
      <c r="I213" t="s">
        <v>1453</v>
      </c>
      <c r="J213" t="s">
        <v>2049</v>
      </c>
      <c r="K213">
        <v>21520</v>
      </c>
      <c r="L213" s="707">
        <v>43405</v>
      </c>
      <c r="M213">
        <v>10</v>
      </c>
      <c r="N213">
        <v>0.47619047619047616</v>
      </c>
      <c r="P213" t="s">
        <v>2057</v>
      </c>
      <c r="Q213">
        <v>5</v>
      </c>
      <c r="R213" t="s">
        <v>1990</v>
      </c>
    </row>
    <row r="214" spans="1:18">
      <c r="A214" s="951" t="s">
        <v>2058</v>
      </c>
      <c r="B214" t="s">
        <v>149</v>
      </c>
      <c r="C214" t="s">
        <v>1516</v>
      </c>
      <c r="D214" t="s">
        <v>98</v>
      </c>
      <c r="F214" t="s">
        <v>106</v>
      </c>
      <c r="H214" t="s">
        <v>40</v>
      </c>
      <c r="I214" t="s">
        <v>1453</v>
      </c>
      <c r="J214" t="s">
        <v>2049</v>
      </c>
      <c r="K214">
        <v>21520</v>
      </c>
      <c r="L214" s="707">
        <v>43405</v>
      </c>
      <c r="M214">
        <v>11</v>
      </c>
      <c r="N214">
        <v>0.52380952380952384</v>
      </c>
      <c r="P214" t="s">
        <v>2057</v>
      </c>
      <c r="Q214">
        <v>5</v>
      </c>
      <c r="R214" t="s">
        <v>1990</v>
      </c>
    </row>
    <row r="215" spans="1:18">
      <c r="A215" s="951" t="s">
        <v>2058</v>
      </c>
      <c r="B215" t="s">
        <v>149</v>
      </c>
      <c r="C215" t="s">
        <v>1516</v>
      </c>
      <c r="D215" t="s">
        <v>98</v>
      </c>
      <c r="F215" t="s">
        <v>106</v>
      </c>
      <c r="H215" t="s">
        <v>40</v>
      </c>
      <c r="I215" t="s">
        <v>1453</v>
      </c>
      <c r="J215" t="s">
        <v>2049</v>
      </c>
      <c r="K215">
        <v>21520</v>
      </c>
      <c r="L215" s="707">
        <v>43435</v>
      </c>
      <c r="M215">
        <v>21</v>
      </c>
      <c r="N215">
        <v>1</v>
      </c>
      <c r="P215" t="s">
        <v>2057</v>
      </c>
      <c r="Q215">
        <v>5</v>
      </c>
      <c r="R215" t="s">
        <v>1990</v>
      </c>
    </row>
    <row r="216" spans="1:18">
      <c r="A216" s="951" t="s">
        <v>2058</v>
      </c>
      <c r="B216" t="s">
        <v>149</v>
      </c>
      <c r="C216" t="s">
        <v>1516</v>
      </c>
      <c r="D216" t="s">
        <v>98</v>
      </c>
      <c r="F216" t="s">
        <v>106</v>
      </c>
      <c r="H216" t="s">
        <v>40</v>
      </c>
      <c r="I216" t="s">
        <v>1453</v>
      </c>
      <c r="J216" t="s">
        <v>2049</v>
      </c>
      <c r="K216">
        <v>21520</v>
      </c>
      <c r="L216" s="707">
        <v>43466</v>
      </c>
      <c r="M216">
        <v>17</v>
      </c>
      <c r="N216">
        <v>1</v>
      </c>
      <c r="P216" t="s">
        <v>2057</v>
      </c>
      <c r="Q216">
        <v>5</v>
      </c>
      <c r="R216" t="s">
        <v>1990</v>
      </c>
    </row>
    <row r="217" spans="1:18">
      <c r="A217" s="951" t="s">
        <v>2058</v>
      </c>
      <c r="B217" t="s">
        <v>149</v>
      </c>
      <c r="C217" t="s">
        <v>1516</v>
      </c>
      <c r="D217" t="s">
        <v>98</v>
      </c>
      <c r="F217" t="s">
        <v>106</v>
      </c>
      <c r="H217" t="s">
        <v>40</v>
      </c>
      <c r="I217" t="s">
        <v>1453</v>
      </c>
      <c r="J217" t="s">
        <v>2049</v>
      </c>
      <c r="K217">
        <v>21520</v>
      </c>
      <c r="L217" s="707">
        <v>43497</v>
      </c>
      <c r="M217">
        <v>5</v>
      </c>
      <c r="N217">
        <v>0.26315789473684209</v>
      </c>
      <c r="P217" t="s">
        <v>2057</v>
      </c>
      <c r="Q217">
        <v>5</v>
      </c>
      <c r="R217" t="s">
        <v>1990</v>
      </c>
    </row>
    <row r="218" spans="1:18">
      <c r="A218" s="951" t="s">
        <v>2058</v>
      </c>
      <c r="B218" t="s">
        <v>138</v>
      </c>
      <c r="C218" t="s">
        <v>1517</v>
      </c>
      <c r="D218" t="s">
        <v>94</v>
      </c>
      <c r="F218" t="s">
        <v>106</v>
      </c>
      <c r="H218" t="s">
        <v>1625</v>
      </c>
      <c r="I218" t="s">
        <v>58</v>
      </c>
      <c r="J218" t="s">
        <v>2054</v>
      </c>
      <c r="K218">
        <v>6980</v>
      </c>
      <c r="L218" s="707">
        <v>43435</v>
      </c>
      <c r="M218">
        <v>11</v>
      </c>
      <c r="N218">
        <v>0.52380952380952384</v>
      </c>
      <c r="P218" t="s">
        <v>2057</v>
      </c>
      <c r="Q218">
        <v>5</v>
      </c>
      <c r="R218" t="s">
        <v>1990</v>
      </c>
    </row>
    <row r="219" spans="1:18">
      <c r="A219" s="951" t="s">
        <v>2058</v>
      </c>
      <c r="B219" t="s">
        <v>138</v>
      </c>
      <c r="C219" t="s">
        <v>1517</v>
      </c>
      <c r="D219" t="s">
        <v>94</v>
      </c>
      <c r="F219" t="s">
        <v>106</v>
      </c>
      <c r="H219" t="s">
        <v>1625</v>
      </c>
      <c r="I219" t="s">
        <v>58</v>
      </c>
      <c r="J219" t="s">
        <v>2055</v>
      </c>
      <c r="K219">
        <v>6980</v>
      </c>
      <c r="L219" s="707">
        <v>43435</v>
      </c>
      <c r="M219">
        <v>11</v>
      </c>
      <c r="N219">
        <v>0.52380952380952384</v>
      </c>
      <c r="P219" t="s">
        <v>2057</v>
      </c>
      <c r="Q219">
        <v>5</v>
      </c>
      <c r="R219" t="s">
        <v>1990</v>
      </c>
    </row>
    <row r="220" spans="1:18">
      <c r="A220" s="951" t="s">
        <v>2058</v>
      </c>
      <c r="B220" t="s">
        <v>150</v>
      </c>
      <c r="C220" t="s">
        <v>1518</v>
      </c>
      <c r="D220" t="s">
        <v>1523</v>
      </c>
      <c r="F220" t="s">
        <v>106</v>
      </c>
      <c r="H220" t="s">
        <v>1625</v>
      </c>
      <c r="I220" t="s">
        <v>58</v>
      </c>
      <c r="J220" t="s">
        <v>2054</v>
      </c>
      <c r="K220">
        <v>6980</v>
      </c>
      <c r="L220" s="707">
        <v>43466</v>
      </c>
      <c r="M220">
        <v>5</v>
      </c>
      <c r="N220">
        <v>0.29411764705882354</v>
      </c>
      <c r="P220" t="s">
        <v>2057</v>
      </c>
      <c r="Q220">
        <v>5</v>
      </c>
      <c r="R220" t="s">
        <v>1990</v>
      </c>
    </row>
    <row r="221" spans="1:18">
      <c r="A221" s="951" t="s">
        <v>2058</v>
      </c>
      <c r="B221" t="s">
        <v>150</v>
      </c>
      <c r="C221" t="s">
        <v>1518</v>
      </c>
      <c r="D221" t="s">
        <v>1523</v>
      </c>
      <c r="F221" t="s">
        <v>106</v>
      </c>
      <c r="H221" t="s">
        <v>1625</v>
      </c>
      <c r="I221" t="s">
        <v>58</v>
      </c>
      <c r="J221" t="s">
        <v>2054</v>
      </c>
      <c r="K221">
        <v>6980</v>
      </c>
      <c r="L221" s="707">
        <v>43497</v>
      </c>
      <c r="M221">
        <v>5</v>
      </c>
      <c r="N221">
        <v>0.26315789473684209</v>
      </c>
      <c r="P221" t="s">
        <v>2057</v>
      </c>
      <c r="Q221">
        <v>5</v>
      </c>
      <c r="R221" t="s">
        <v>1990</v>
      </c>
    </row>
    <row r="222" spans="1:18">
      <c r="A222" s="951" t="s">
        <v>2058</v>
      </c>
      <c r="B222" t="s">
        <v>150</v>
      </c>
      <c r="C222" t="s">
        <v>1518</v>
      </c>
      <c r="D222" t="s">
        <v>1523</v>
      </c>
      <c r="F222" t="s">
        <v>106</v>
      </c>
      <c r="H222" t="s">
        <v>1625</v>
      </c>
      <c r="I222" t="s">
        <v>58</v>
      </c>
      <c r="J222" t="s">
        <v>2055</v>
      </c>
      <c r="K222">
        <v>6980</v>
      </c>
      <c r="L222" s="707">
        <v>43466</v>
      </c>
      <c r="M222">
        <v>5</v>
      </c>
      <c r="N222">
        <v>0.29411764705882354</v>
      </c>
      <c r="P222" t="s">
        <v>2057</v>
      </c>
      <c r="Q222">
        <v>5</v>
      </c>
      <c r="R222" t="s">
        <v>1990</v>
      </c>
    </row>
    <row r="223" spans="1:18">
      <c r="A223" s="951" t="s">
        <v>2058</v>
      </c>
      <c r="B223" t="s">
        <v>150</v>
      </c>
      <c r="C223" t="s">
        <v>1518</v>
      </c>
      <c r="D223" t="s">
        <v>1523</v>
      </c>
      <c r="F223" t="s">
        <v>106</v>
      </c>
      <c r="H223" t="s">
        <v>1625</v>
      </c>
      <c r="I223" t="s">
        <v>58</v>
      </c>
      <c r="J223" t="s">
        <v>2055</v>
      </c>
      <c r="K223">
        <v>6980</v>
      </c>
      <c r="L223" s="707">
        <v>43497</v>
      </c>
      <c r="M223">
        <v>5</v>
      </c>
      <c r="N223">
        <v>0.26315789473684209</v>
      </c>
      <c r="P223" t="s">
        <v>2057</v>
      </c>
      <c r="Q223">
        <v>5</v>
      </c>
      <c r="R223" t="s">
        <v>1990</v>
      </c>
    </row>
    <row r="224" spans="1:18">
      <c r="A224" s="951" t="s">
        <v>2058</v>
      </c>
      <c r="B224" t="s">
        <v>151</v>
      </c>
      <c r="C224" t="s">
        <v>1519</v>
      </c>
      <c r="D224" t="s">
        <v>116</v>
      </c>
      <c r="F224" t="s">
        <v>106</v>
      </c>
      <c r="H224" t="s">
        <v>40</v>
      </c>
      <c r="I224" t="s">
        <v>1453</v>
      </c>
      <c r="J224" t="s">
        <v>2049</v>
      </c>
      <c r="K224">
        <v>21520</v>
      </c>
      <c r="L224" s="707">
        <v>43525</v>
      </c>
      <c r="M224">
        <v>20</v>
      </c>
      <c r="N224">
        <v>1</v>
      </c>
      <c r="P224" t="s">
        <v>2057</v>
      </c>
      <c r="Q224">
        <v>5</v>
      </c>
      <c r="R224" t="s">
        <v>1990</v>
      </c>
    </row>
    <row r="225" spans="1:18">
      <c r="A225" s="951" t="s">
        <v>2058</v>
      </c>
      <c r="B225" t="s">
        <v>151</v>
      </c>
      <c r="C225" t="s">
        <v>1519</v>
      </c>
      <c r="D225" t="s">
        <v>116</v>
      </c>
      <c r="F225" t="s">
        <v>106</v>
      </c>
      <c r="H225" t="s">
        <v>40</v>
      </c>
      <c r="I225" t="s">
        <v>1453</v>
      </c>
      <c r="J225" t="s">
        <v>2049</v>
      </c>
      <c r="K225">
        <v>21520</v>
      </c>
      <c r="L225" s="707">
        <v>43556</v>
      </c>
      <c r="M225">
        <v>22</v>
      </c>
      <c r="N225">
        <v>1</v>
      </c>
      <c r="P225" t="s">
        <v>2057</v>
      </c>
      <c r="Q225">
        <v>5</v>
      </c>
      <c r="R225" t="s">
        <v>1990</v>
      </c>
    </row>
    <row r="226" spans="1:18">
      <c r="A226" s="951" t="s">
        <v>2058</v>
      </c>
      <c r="B226" t="s">
        <v>151</v>
      </c>
      <c r="C226" t="s">
        <v>1519</v>
      </c>
      <c r="D226" t="s">
        <v>116</v>
      </c>
      <c r="F226" t="s">
        <v>106</v>
      </c>
      <c r="H226" t="s">
        <v>40</v>
      </c>
      <c r="I226" t="s">
        <v>1453</v>
      </c>
      <c r="J226" t="s">
        <v>2049</v>
      </c>
      <c r="K226">
        <v>21520</v>
      </c>
      <c r="L226" s="707">
        <v>43586</v>
      </c>
      <c r="M226">
        <v>21</v>
      </c>
      <c r="N226">
        <v>1</v>
      </c>
      <c r="P226" t="s">
        <v>2057</v>
      </c>
      <c r="Q226">
        <v>5</v>
      </c>
      <c r="R226" t="s">
        <v>1990</v>
      </c>
    </row>
    <row r="227" spans="1:18">
      <c r="A227" s="951" t="s">
        <v>2058</v>
      </c>
      <c r="B227" t="s">
        <v>151</v>
      </c>
      <c r="C227" t="s">
        <v>1519</v>
      </c>
      <c r="D227" t="s">
        <v>116</v>
      </c>
      <c r="F227" t="s">
        <v>106</v>
      </c>
      <c r="H227" t="s">
        <v>40</v>
      </c>
      <c r="I227" t="s">
        <v>1453</v>
      </c>
      <c r="J227" t="s">
        <v>2049</v>
      </c>
      <c r="K227">
        <v>21520</v>
      </c>
      <c r="L227" s="707">
        <v>43617</v>
      </c>
      <c r="M227">
        <v>10</v>
      </c>
      <c r="N227">
        <v>0.52631578947368418</v>
      </c>
      <c r="P227" t="s">
        <v>2057</v>
      </c>
      <c r="Q227">
        <v>5</v>
      </c>
      <c r="R227" t="s">
        <v>1990</v>
      </c>
    </row>
    <row r="228" spans="1:18">
      <c r="A228" s="951" t="s">
        <v>2058</v>
      </c>
      <c r="B228" t="s">
        <v>151</v>
      </c>
      <c r="C228" t="s">
        <v>1519</v>
      </c>
      <c r="D228" t="s">
        <v>116</v>
      </c>
      <c r="F228" t="s">
        <v>106</v>
      </c>
      <c r="H228" t="s">
        <v>40</v>
      </c>
      <c r="I228" t="s">
        <v>1453</v>
      </c>
      <c r="J228" t="s">
        <v>2049</v>
      </c>
      <c r="K228">
        <v>21520</v>
      </c>
      <c r="L228" s="707">
        <v>43647</v>
      </c>
      <c r="M228">
        <v>23</v>
      </c>
      <c r="N228">
        <v>1</v>
      </c>
      <c r="P228" t="s">
        <v>2057</v>
      </c>
      <c r="Q228">
        <v>5</v>
      </c>
      <c r="R228" t="s">
        <v>1990</v>
      </c>
    </row>
    <row r="229" spans="1:18">
      <c r="A229" s="951" t="s">
        <v>2058</v>
      </c>
      <c r="B229" t="s">
        <v>151</v>
      </c>
      <c r="C229" t="s">
        <v>1519</v>
      </c>
      <c r="D229" t="s">
        <v>116</v>
      </c>
      <c r="F229" t="s">
        <v>106</v>
      </c>
      <c r="H229" t="s">
        <v>40</v>
      </c>
      <c r="I229" t="s">
        <v>1453</v>
      </c>
      <c r="J229" t="s">
        <v>2049</v>
      </c>
      <c r="K229">
        <v>21520</v>
      </c>
      <c r="L229" s="707">
        <v>43678</v>
      </c>
      <c r="M229">
        <v>22</v>
      </c>
      <c r="N229">
        <v>1</v>
      </c>
      <c r="P229" t="s">
        <v>2057</v>
      </c>
      <c r="Q229">
        <v>5</v>
      </c>
      <c r="R229" t="s">
        <v>1990</v>
      </c>
    </row>
    <row r="230" spans="1:18">
      <c r="A230" s="951" t="s">
        <v>2058</v>
      </c>
      <c r="B230" t="s">
        <v>151</v>
      </c>
      <c r="C230" t="s">
        <v>1519</v>
      </c>
      <c r="D230" t="s">
        <v>116</v>
      </c>
      <c r="F230" t="s">
        <v>106</v>
      </c>
      <c r="H230" t="s">
        <v>40</v>
      </c>
      <c r="I230" t="s">
        <v>1453</v>
      </c>
      <c r="J230" t="s">
        <v>2049</v>
      </c>
      <c r="K230">
        <v>21520</v>
      </c>
      <c r="L230" s="707">
        <v>43709</v>
      </c>
      <c r="M230">
        <v>21</v>
      </c>
      <c r="N230">
        <v>1</v>
      </c>
      <c r="P230" t="s">
        <v>2057</v>
      </c>
      <c r="Q230">
        <v>5</v>
      </c>
      <c r="R230" t="s">
        <v>1990</v>
      </c>
    </row>
    <row r="231" spans="1:18">
      <c r="A231" s="951" t="s">
        <v>2058</v>
      </c>
      <c r="B231" t="s">
        <v>151</v>
      </c>
      <c r="C231" t="s">
        <v>1519</v>
      </c>
      <c r="D231" t="s">
        <v>116</v>
      </c>
      <c r="F231" t="s">
        <v>106</v>
      </c>
      <c r="H231" t="s">
        <v>40</v>
      </c>
      <c r="I231" t="s">
        <v>1453</v>
      </c>
      <c r="J231" t="s">
        <v>2049</v>
      </c>
      <c r="K231">
        <v>21520</v>
      </c>
      <c r="L231" s="707">
        <v>43739</v>
      </c>
      <c r="M231">
        <v>10</v>
      </c>
      <c r="N231">
        <v>0.43478260869565216</v>
      </c>
      <c r="P231" t="s">
        <v>2057</v>
      </c>
      <c r="Q231">
        <v>5</v>
      </c>
      <c r="R231" t="s">
        <v>1990</v>
      </c>
    </row>
    <row r="232" spans="1:18">
      <c r="A232" s="951" t="s">
        <v>2058</v>
      </c>
      <c r="B232" t="s">
        <v>151</v>
      </c>
      <c r="C232" t="s">
        <v>1519</v>
      </c>
      <c r="D232" t="s">
        <v>116</v>
      </c>
      <c r="F232" t="s">
        <v>106</v>
      </c>
      <c r="H232" t="s">
        <v>1625</v>
      </c>
      <c r="I232" t="s">
        <v>58</v>
      </c>
      <c r="J232" t="s">
        <v>2054</v>
      </c>
      <c r="K232">
        <v>6980</v>
      </c>
      <c r="L232" s="707">
        <v>43525</v>
      </c>
      <c r="M232">
        <v>15</v>
      </c>
      <c r="N232">
        <v>0.75</v>
      </c>
      <c r="P232" t="s">
        <v>2057</v>
      </c>
      <c r="Q232">
        <v>5</v>
      </c>
      <c r="R232" t="s">
        <v>1990</v>
      </c>
    </row>
    <row r="233" spans="1:18">
      <c r="A233" s="951" t="s">
        <v>2058</v>
      </c>
      <c r="B233" t="s">
        <v>151</v>
      </c>
      <c r="C233" t="s">
        <v>1519</v>
      </c>
      <c r="D233" t="s">
        <v>116</v>
      </c>
      <c r="F233" t="s">
        <v>106</v>
      </c>
      <c r="H233" t="s">
        <v>1625</v>
      </c>
      <c r="I233" t="s">
        <v>58</v>
      </c>
      <c r="J233" t="s">
        <v>2054</v>
      </c>
      <c r="K233">
        <v>6980</v>
      </c>
      <c r="L233" s="707">
        <v>43556</v>
      </c>
      <c r="M233">
        <v>17</v>
      </c>
      <c r="N233">
        <v>0.77272727272727271</v>
      </c>
      <c r="P233" t="s">
        <v>2057</v>
      </c>
      <c r="Q233">
        <v>5</v>
      </c>
      <c r="R233" t="s">
        <v>1990</v>
      </c>
    </row>
    <row r="234" spans="1:18">
      <c r="A234" s="951" t="s">
        <v>2058</v>
      </c>
      <c r="B234" t="s">
        <v>151</v>
      </c>
      <c r="C234" t="s">
        <v>1519</v>
      </c>
      <c r="D234" t="s">
        <v>116</v>
      </c>
      <c r="F234" t="s">
        <v>106</v>
      </c>
      <c r="H234" t="s">
        <v>1625</v>
      </c>
      <c r="I234" t="s">
        <v>58</v>
      </c>
      <c r="J234" t="s">
        <v>2054</v>
      </c>
      <c r="K234">
        <v>6980</v>
      </c>
      <c r="L234" s="707">
        <v>43586</v>
      </c>
      <c r="M234">
        <v>16</v>
      </c>
      <c r="N234">
        <v>0.76190476190476186</v>
      </c>
      <c r="P234" t="s">
        <v>2057</v>
      </c>
      <c r="Q234">
        <v>5</v>
      </c>
      <c r="R234" t="s">
        <v>1990</v>
      </c>
    </row>
    <row r="235" spans="1:18">
      <c r="A235" s="951" t="s">
        <v>2058</v>
      </c>
      <c r="B235" t="s">
        <v>151</v>
      </c>
      <c r="C235" t="s">
        <v>1519</v>
      </c>
      <c r="D235" t="s">
        <v>116</v>
      </c>
      <c r="F235" t="s">
        <v>106</v>
      </c>
      <c r="H235" t="s">
        <v>1625</v>
      </c>
      <c r="I235" t="s">
        <v>58</v>
      </c>
      <c r="J235" t="s">
        <v>2054</v>
      </c>
      <c r="K235">
        <v>6980</v>
      </c>
      <c r="L235" s="707">
        <v>43617</v>
      </c>
      <c r="M235">
        <v>14</v>
      </c>
      <c r="N235">
        <v>0.73684210526315785</v>
      </c>
      <c r="P235" t="s">
        <v>2057</v>
      </c>
      <c r="Q235">
        <v>5</v>
      </c>
      <c r="R235" t="s">
        <v>1990</v>
      </c>
    </row>
    <row r="236" spans="1:18">
      <c r="A236" s="951" t="s">
        <v>2058</v>
      </c>
      <c r="B236" t="s">
        <v>151</v>
      </c>
      <c r="C236" t="s">
        <v>1519</v>
      </c>
      <c r="D236" t="s">
        <v>116</v>
      </c>
      <c r="F236" t="s">
        <v>106</v>
      </c>
      <c r="H236" t="s">
        <v>1625</v>
      </c>
      <c r="I236" t="s">
        <v>58</v>
      </c>
      <c r="J236" t="s">
        <v>2054</v>
      </c>
      <c r="K236">
        <v>6980</v>
      </c>
      <c r="L236" s="707">
        <v>43647</v>
      </c>
      <c r="M236">
        <v>23</v>
      </c>
      <c r="N236">
        <v>1</v>
      </c>
      <c r="P236" t="s">
        <v>2057</v>
      </c>
      <c r="Q236">
        <v>5</v>
      </c>
      <c r="R236" t="s">
        <v>1990</v>
      </c>
    </row>
    <row r="237" spans="1:18">
      <c r="A237" s="951" t="s">
        <v>2058</v>
      </c>
      <c r="B237" t="s">
        <v>151</v>
      </c>
      <c r="C237" t="s">
        <v>1519</v>
      </c>
      <c r="D237" t="s">
        <v>116</v>
      </c>
      <c r="F237" t="s">
        <v>106</v>
      </c>
      <c r="H237" t="s">
        <v>1625</v>
      </c>
      <c r="I237" t="s">
        <v>58</v>
      </c>
      <c r="J237" t="s">
        <v>2054</v>
      </c>
      <c r="K237">
        <v>6980</v>
      </c>
      <c r="L237" s="707">
        <v>43678</v>
      </c>
      <c r="M237">
        <v>22</v>
      </c>
      <c r="N237">
        <v>1</v>
      </c>
      <c r="P237" t="s">
        <v>2057</v>
      </c>
      <c r="Q237">
        <v>5</v>
      </c>
      <c r="R237" t="s">
        <v>1990</v>
      </c>
    </row>
    <row r="238" spans="1:18">
      <c r="A238" s="951" t="s">
        <v>2058</v>
      </c>
      <c r="B238" t="s">
        <v>151</v>
      </c>
      <c r="C238" t="s">
        <v>1519</v>
      </c>
      <c r="D238" t="s">
        <v>116</v>
      </c>
      <c r="F238" t="s">
        <v>106</v>
      </c>
      <c r="H238" t="s">
        <v>1625</v>
      </c>
      <c r="I238" t="s">
        <v>58</v>
      </c>
      <c r="J238" t="s">
        <v>2054</v>
      </c>
      <c r="K238">
        <v>6980</v>
      </c>
      <c r="L238" s="707">
        <v>43709</v>
      </c>
      <c r="M238">
        <v>21</v>
      </c>
      <c r="N238">
        <v>1</v>
      </c>
      <c r="P238" t="s">
        <v>2057</v>
      </c>
      <c r="Q238">
        <v>5</v>
      </c>
      <c r="R238" t="s">
        <v>1990</v>
      </c>
    </row>
    <row r="239" spans="1:18">
      <c r="A239" s="951" t="s">
        <v>2058</v>
      </c>
      <c r="B239" t="s">
        <v>151</v>
      </c>
      <c r="C239" t="s">
        <v>1519</v>
      </c>
      <c r="D239" t="s">
        <v>116</v>
      </c>
      <c r="F239" t="s">
        <v>106</v>
      </c>
      <c r="H239" t="s">
        <v>1625</v>
      </c>
      <c r="I239" t="s">
        <v>58</v>
      </c>
      <c r="J239" t="s">
        <v>2054</v>
      </c>
      <c r="K239">
        <v>6980</v>
      </c>
      <c r="L239" s="707">
        <v>43739</v>
      </c>
      <c r="M239">
        <v>23</v>
      </c>
      <c r="N239">
        <v>1</v>
      </c>
      <c r="P239" t="s">
        <v>2057</v>
      </c>
      <c r="Q239">
        <v>5</v>
      </c>
      <c r="R239" t="s">
        <v>1990</v>
      </c>
    </row>
    <row r="240" spans="1:18">
      <c r="A240" s="951" t="s">
        <v>2058</v>
      </c>
      <c r="B240" t="s">
        <v>151</v>
      </c>
      <c r="C240" t="s">
        <v>1519</v>
      </c>
      <c r="D240" t="s">
        <v>116</v>
      </c>
      <c r="F240" t="s">
        <v>106</v>
      </c>
      <c r="H240" t="s">
        <v>1625</v>
      </c>
      <c r="I240" t="s">
        <v>58</v>
      </c>
      <c r="J240" t="s">
        <v>2054</v>
      </c>
      <c r="K240">
        <v>6980</v>
      </c>
      <c r="L240" s="707">
        <v>43770</v>
      </c>
      <c r="M240">
        <v>20</v>
      </c>
      <c r="N240">
        <v>1</v>
      </c>
      <c r="P240" t="s">
        <v>2057</v>
      </c>
      <c r="Q240">
        <v>5</v>
      </c>
      <c r="R240" t="s">
        <v>1990</v>
      </c>
    </row>
    <row r="241" spans="1:18">
      <c r="A241" s="951" t="s">
        <v>2058</v>
      </c>
      <c r="B241" t="s">
        <v>151</v>
      </c>
      <c r="C241" t="s">
        <v>1519</v>
      </c>
      <c r="D241" t="s">
        <v>116</v>
      </c>
      <c r="F241" t="s">
        <v>106</v>
      </c>
      <c r="H241" t="s">
        <v>43</v>
      </c>
      <c r="I241" t="s">
        <v>61</v>
      </c>
      <c r="J241" t="s">
        <v>2052</v>
      </c>
      <c r="K241">
        <v>15930</v>
      </c>
      <c r="L241" s="707">
        <v>43525</v>
      </c>
      <c r="M241">
        <v>3</v>
      </c>
      <c r="N241">
        <v>0.15</v>
      </c>
      <c r="P241" t="s">
        <v>2057</v>
      </c>
      <c r="Q241">
        <v>5</v>
      </c>
      <c r="R241" t="s">
        <v>1990</v>
      </c>
    </row>
    <row r="242" spans="1:18">
      <c r="A242" s="951" t="s">
        <v>2058</v>
      </c>
      <c r="B242" t="s">
        <v>151</v>
      </c>
      <c r="C242" t="s">
        <v>1519</v>
      </c>
      <c r="D242" t="s">
        <v>116</v>
      </c>
      <c r="F242" t="s">
        <v>106</v>
      </c>
      <c r="H242" t="s">
        <v>43</v>
      </c>
      <c r="I242" t="s">
        <v>61</v>
      </c>
      <c r="J242" t="s">
        <v>2052</v>
      </c>
      <c r="K242">
        <v>15930</v>
      </c>
      <c r="L242" s="707">
        <v>43556</v>
      </c>
      <c r="M242">
        <v>3</v>
      </c>
      <c r="N242">
        <v>0.13636363636363635</v>
      </c>
      <c r="P242" t="s">
        <v>2057</v>
      </c>
      <c r="Q242">
        <v>5</v>
      </c>
      <c r="R242" t="s">
        <v>1990</v>
      </c>
    </row>
    <row r="243" spans="1:18">
      <c r="A243" s="951" t="s">
        <v>2058</v>
      </c>
      <c r="B243" t="s">
        <v>151</v>
      </c>
      <c r="C243" t="s">
        <v>1519</v>
      </c>
      <c r="D243" t="s">
        <v>116</v>
      </c>
      <c r="F243" t="s">
        <v>106</v>
      </c>
      <c r="H243" t="s">
        <v>43</v>
      </c>
      <c r="I243" t="s">
        <v>61</v>
      </c>
      <c r="J243" t="s">
        <v>2052</v>
      </c>
      <c r="K243">
        <v>15930</v>
      </c>
      <c r="L243" s="707">
        <v>43586</v>
      </c>
      <c r="M243">
        <v>3</v>
      </c>
      <c r="N243">
        <v>0.14285714285714285</v>
      </c>
      <c r="P243" t="s">
        <v>2057</v>
      </c>
      <c r="Q243">
        <v>5</v>
      </c>
      <c r="R243" t="s">
        <v>1990</v>
      </c>
    </row>
    <row r="244" spans="1:18">
      <c r="A244" s="951" t="s">
        <v>2058</v>
      </c>
      <c r="B244" t="s">
        <v>151</v>
      </c>
      <c r="C244" t="s">
        <v>1519</v>
      </c>
      <c r="D244" t="s">
        <v>116</v>
      </c>
      <c r="F244" t="s">
        <v>106</v>
      </c>
      <c r="H244" t="s">
        <v>43</v>
      </c>
      <c r="I244" t="s">
        <v>61</v>
      </c>
      <c r="J244" t="s">
        <v>2052</v>
      </c>
      <c r="K244">
        <v>15930</v>
      </c>
      <c r="L244" s="707">
        <v>43617</v>
      </c>
      <c r="M244">
        <v>3</v>
      </c>
      <c r="N244">
        <v>0.15789473684210525</v>
      </c>
      <c r="P244" t="s">
        <v>2057</v>
      </c>
      <c r="Q244">
        <v>5</v>
      </c>
      <c r="R244" t="s">
        <v>1990</v>
      </c>
    </row>
    <row r="245" spans="1:18">
      <c r="A245" s="951" t="s">
        <v>2058</v>
      </c>
      <c r="B245" t="s">
        <v>151</v>
      </c>
      <c r="C245" t="s">
        <v>1519</v>
      </c>
      <c r="D245" t="s">
        <v>116</v>
      </c>
      <c r="F245" t="s">
        <v>106</v>
      </c>
      <c r="H245" t="s">
        <v>43</v>
      </c>
      <c r="I245" t="s">
        <v>61</v>
      </c>
      <c r="J245" t="s">
        <v>2053</v>
      </c>
      <c r="K245">
        <v>15930</v>
      </c>
      <c r="L245" s="707">
        <v>43525</v>
      </c>
      <c r="M245">
        <v>3</v>
      </c>
      <c r="N245">
        <v>0.15</v>
      </c>
      <c r="P245" t="s">
        <v>2057</v>
      </c>
      <c r="Q245">
        <v>5</v>
      </c>
      <c r="R245" t="s">
        <v>1990</v>
      </c>
    </row>
    <row r="246" spans="1:18">
      <c r="A246" s="951" t="s">
        <v>2058</v>
      </c>
      <c r="B246" t="s">
        <v>151</v>
      </c>
      <c r="C246" t="s">
        <v>1519</v>
      </c>
      <c r="D246" t="s">
        <v>116</v>
      </c>
      <c r="F246" t="s">
        <v>106</v>
      </c>
      <c r="H246" t="s">
        <v>43</v>
      </c>
      <c r="I246" t="s">
        <v>61</v>
      </c>
      <c r="J246" t="s">
        <v>2053</v>
      </c>
      <c r="K246">
        <v>15930</v>
      </c>
      <c r="L246" s="707">
        <v>43556</v>
      </c>
      <c r="M246">
        <v>3</v>
      </c>
      <c r="N246">
        <v>0.13636363636363635</v>
      </c>
      <c r="P246" t="s">
        <v>2057</v>
      </c>
      <c r="Q246">
        <v>5</v>
      </c>
      <c r="R246" t="s">
        <v>1990</v>
      </c>
    </row>
    <row r="247" spans="1:18">
      <c r="A247" s="951" t="s">
        <v>2058</v>
      </c>
      <c r="B247" t="s">
        <v>151</v>
      </c>
      <c r="C247" t="s">
        <v>1519</v>
      </c>
      <c r="D247" t="s">
        <v>116</v>
      </c>
      <c r="F247" t="s">
        <v>106</v>
      </c>
      <c r="H247" t="s">
        <v>43</v>
      </c>
      <c r="I247" t="s">
        <v>61</v>
      </c>
      <c r="J247" t="s">
        <v>2053</v>
      </c>
      <c r="K247">
        <v>15930</v>
      </c>
      <c r="L247" s="707">
        <v>43586</v>
      </c>
      <c r="M247">
        <v>3</v>
      </c>
      <c r="N247">
        <v>0.14285714285714285</v>
      </c>
      <c r="P247" t="s">
        <v>2057</v>
      </c>
      <c r="Q247">
        <v>5</v>
      </c>
      <c r="R247" t="s">
        <v>1990</v>
      </c>
    </row>
    <row r="248" spans="1:18">
      <c r="A248" s="951" t="s">
        <v>2058</v>
      </c>
      <c r="B248" t="s">
        <v>151</v>
      </c>
      <c r="C248" t="s">
        <v>1519</v>
      </c>
      <c r="D248" t="s">
        <v>116</v>
      </c>
      <c r="F248" t="s">
        <v>106</v>
      </c>
      <c r="H248" t="s">
        <v>43</v>
      </c>
      <c r="I248" t="s">
        <v>61</v>
      </c>
      <c r="J248" t="s">
        <v>2053</v>
      </c>
      <c r="K248">
        <v>15930</v>
      </c>
      <c r="L248" s="707">
        <v>43617</v>
      </c>
      <c r="M248">
        <v>3</v>
      </c>
      <c r="N248">
        <v>0.15789473684210525</v>
      </c>
      <c r="P248" t="s">
        <v>2057</v>
      </c>
      <c r="Q248">
        <v>5</v>
      </c>
      <c r="R248" t="s">
        <v>1990</v>
      </c>
    </row>
    <row r="249" spans="1:18">
      <c r="A249" s="951" t="s">
        <v>2058</v>
      </c>
      <c r="B249" t="s">
        <v>151</v>
      </c>
      <c r="C249" t="s">
        <v>1519</v>
      </c>
      <c r="D249" t="s">
        <v>116</v>
      </c>
      <c r="F249" t="s">
        <v>106</v>
      </c>
      <c r="H249" t="s">
        <v>1625</v>
      </c>
      <c r="I249" t="s">
        <v>58</v>
      </c>
      <c r="J249" t="s">
        <v>2055</v>
      </c>
      <c r="K249">
        <v>6980</v>
      </c>
      <c r="L249" s="707">
        <v>43525</v>
      </c>
      <c r="M249">
        <v>15</v>
      </c>
      <c r="N249">
        <v>0.75</v>
      </c>
      <c r="P249" t="s">
        <v>2057</v>
      </c>
      <c r="Q249">
        <v>5</v>
      </c>
      <c r="R249" t="s">
        <v>1990</v>
      </c>
    </row>
    <row r="250" spans="1:18">
      <c r="A250" s="951" t="s">
        <v>2058</v>
      </c>
      <c r="B250" t="s">
        <v>151</v>
      </c>
      <c r="C250" t="s">
        <v>1519</v>
      </c>
      <c r="D250" t="s">
        <v>116</v>
      </c>
      <c r="F250" t="s">
        <v>106</v>
      </c>
      <c r="H250" t="s">
        <v>1625</v>
      </c>
      <c r="I250" t="s">
        <v>58</v>
      </c>
      <c r="J250" t="s">
        <v>2055</v>
      </c>
      <c r="K250">
        <v>6980</v>
      </c>
      <c r="L250" s="707">
        <v>43556</v>
      </c>
      <c r="M250">
        <v>17</v>
      </c>
      <c r="N250">
        <v>0.77272727272727271</v>
      </c>
      <c r="P250" t="s">
        <v>2057</v>
      </c>
      <c r="Q250">
        <v>5</v>
      </c>
      <c r="R250" t="s">
        <v>1990</v>
      </c>
    </row>
    <row r="251" spans="1:18">
      <c r="A251" s="951" t="s">
        <v>2058</v>
      </c>
      <c r="B251" t="s">
        <v>151</v>
      </c>
      <c r="C251" t="s">
        <v>1519</v>
      </c>
      <c r="D251" t="s">
        <v>116</v>
      </c>
      <c r="F251" t="s">
        <v>106</v>
      </c>
      <c r="H251" t="s">
        <v>1625</v>
      </c>
      <c r="I251" t="s">
        <v>58</v>
      </c>
      <c r="J251" t="s">
        <v>2055</v>
      </c>
      <c r="K251">
        <v>6980</v>
      </c>
      <c r="L251" s="707">
        <v>43586</v>
      </c>
      <c r="M251">
        <v>16</v>
      </c>
      <c r="N251">
        <v>0.76190476190476186</v>
      </c>
      <c r="P251" t="s">
        <v>2057</v>
      </c>
      <c r="Q251">
        <v>5</v>
      </c>
      <c r="R251" t="s">
        <v>1990</v>
      </c>
    </row>
    <row r="252" spans="1:18">
      <c r="A252" s="951" t="s">
        <v>2058</v>
      </c>
      <c r="B252" t="s">
        <v>151</v>
      </c>
      <c r="C252" t="s">
        <v>1519</v>
      </c>
      <c r="D252" t="s">
        <v>116</v>
      </c>
      <c r="F252" t="s">
        <v>106</v>
      </c>
      <c r="H252" t="s">
        <v>1625</v>
      </c>
      <c r="I252" t="s">
        <v>58</v>
      </c>
      <c r="J252" t="s">
        <v>2055</v>
      </c>
      <c r="K252">
        <v>6980</v>
      </c>
      <c r="L252" s="707">
        <v>43617</v>
      </c>
      <c r="M252">
        <v>14</v>
      </c>
      <c r="N252">
        <v>0.73684210526315785</v>
      </c>
      <c r="P252" t="s">
        <v>2057</v>
      </c>
      <c r="Q252">
        <v>5</v>
      </c>
      <c r="R252" t="s">
        <v>1990</v>
      </c>
    </row>
    <row r="253" spans="1:18">
      <c r="A253" s="951" t="s">
        <v>2058</v>
      </c>
      <c r="B253" t="s">
        <v>151</v>
      </c>
      <c r="C253" t="s">
        <v>1519</v>
      </c>
      <c r="D253" t="s">
        <v>116</v>
      </c>
      <c r="F253" t="s">
        <v>106</v>
      </c>
      <c r="H253" t="s">
        <v>1625</v>
      </c>
      <c r="I253" t="s">
        <v>58</v>
      </c>
      <c r="J253" t="s">
        <v>2055</v>
      </c>
      <c r="K253">
        <v>6980</v>
      </c>
      <c r="L253" s="707">
        <v>43647</v>
      </c>
      <c r="M253">
        <v>23</v>
      </c>
      <c r="N253">
        <v>1</v>
      </c>
      <c r="P253" t="s">
        <v>2057</v>
      </c>
      <c r="Q253">
        <v>5</v>
      </c>
      <c r="R253" t="s">
        <v>1990</v>
      </c>
    </row>
    <row r="254" spans="1:18">
      <c r="A254" s="951" t="s">
        <v>2058</v>
      </c>
      <c r="B254" t="s">
        <v>151</v>
      </c>
      <c r="C254" t="s">
        <v>1519</v>
      </c>
      <c r="D254" t="s">
        <v>116</v>
      </c>
      <c r="F254" t="s">
        <v>106</v>
      </c>
      <c r="H254" t="s">
        <v>1625</v>
      </c>
      <c r="I254" t="s">
        <v>58</v>
      </c>
      <c r="J254" t="s">
        <v>2055</v>
      </c>
      <c r="K254">
        <v>6980</v>
      </c>
      <c r="L254" s="707">
        <v>43678</v>
      </c>
      <c r="M254">
        <v>22</v>
      </c>
      <c r="N254">
        <v>1</v>
      </c>
      <c r="P254" t="s">
        <v>2057</v>
      </c>
      <c r="Q254">
        <v>5</v>
      </c>
      <c r="R254" t="s">
        <v>1990</v>
      </c>
    </row>
    <row r="255" spans="1:18">
      <c r="A255" s="951" t="s">
        <v>2058</v>
      </c>
      <c r="B255" t="s">
        <v>151</v>
      </c>
      <c r="C255" t="s">
        <v>1519</v>
      </c>
      <c r="D255" t="s">
        <v>116</v>
      </c>
      <c r="F255" t="s">
        <v>106</v>
      </c>
      <c r="H255" t="s">
        <v>1625</v>
      </c>
      <c r="I255" t="s">
        <v>58</v>
      </c>
      <c r="J255" t="s">
        <v>2055</v>
      </c>
      <c r="K255">
        <v>6980</v>
      </c>
      <c r="L255" s="707">
        <v>43709</v>
      </c>
      <c r="M255">
        <v>21</v>
      </c>
      <c r="N255">
        <v>1</v>
      </c>
      <c r="P255" t="s">
        <v>2057</v>
      </c>
      <c r="Q255">
        <v>5</v>
      </c>
      <c r="R255" t="s">
        <v>1990</v>
      </c>
    </row>
    <row r="256" spans="1:18">
      <c r="A256" s="951" t="s">
        <v>2058</v>
      </c>
      <c r="B256" t="s">
        <v>151</v>
      </c>
      <c r="C256" t="s">
        <v>1519</v>
      </c>
      <c r="D256" t="s">
        <v>116</v>
      </c>
      <c r="F256" t="s">
        <v>106</v>
      </c>
      <c r="H256" t="s">
        <v>1625</v>
      </c>
      <c r="I256" t="s">
        <v>58</v>
      </c>
      <c r="J256" t="s">
        <v>2055</v>
      </c>
      <c r="K256">
        <v>6980</v>
      </c>
      <c r="L256" s="707">
        <v>43739</v>
      </c>
      <c r="M256">
        <v>23</v>
      </c>
      <c r="N256">
        <v>1</v>
      </c>
      <c r="P256" t="s">
        <v>2057</v>
      </c>
      <c r="Q256">
        <v>5</v>
      </c>
      <c r="R256" t="s">
        <v>1990</v>
      </c>
    </row>
    <row r="257" spans="1:18">
      <c r="A257" s="951" t="s">
        <v>2058</v>
      </c>
      <c r="B257" t="s">
        <v>151</v>
      </c>
      <c r="C257" t="s">
        <v>1519</v>
      </c>
      <c r="D257" t="s">
        <v>116</v>
      </c>
      <c r="F257" t="s">
        <v>106</v>
      </c>
      <c r="H257" t="s">
        <v>1625</v>
      </c>
      <c r="I257" t="s">
        <v>58</v>
      </c>
      <c r="J257" t="s">
        <v>2055</v>
      </c>
      <c r="K257">
        <v>6980</v>
      </c>
      <c r="L257" s="707">
        <v>43770</v>
      </c>
      <c r="M257">
        <v>20</v>
      </c>
      <c r="N257">
        <v>1</v>
      </c>
      <c r="P257" t="s">
        <v>2057</v>
      </c>
      <c r="Q257">
        <v>5</v>
      </c>
      <c r="R257" t="s">
        <v>1990</v>
      </c>
    </row>
    <row r="258" spans="1:18">
      <c r="A258" s="951" t="s">
        <v>2058</v>
      </c>
      <c r="B258" t="s">
        <v>152</v>
      </c>
      <c r="C258" t="s">
        <v>1520</v>
      </c>
      <c r="D258" t="s">
        <v>99</v>
      </c>
      <c r="F258" t="s">
        <v>106</v>
      </c>
      <c r="H258" t="s">
        <v>43</v>
      </c>
      <c r="I258" t="s">
        <v>61</v>
      </c>
      <c r="J258" t="s">
        <v>2052</v>
      </c>
      <c r="K258">
        <v>15930</v>
      </c>
      <c r="L258" s="707">
        <v>43647</v>
      </c>
      <c r="M258">
        <v>10</v>
      </c>
      <c r="N258">
        <v>0.43478260869565216</v>
      </c>
      <c r="P258" t="s">
        <v>2057</v>
      </c>
      <c r="Q258">
        <v>5</v>
      </c>
      <c r="R258" t="s">
        <v>1990</v>
      </c>
    </row>
    <row r="259" spans="1:18">
      <c r="A259" s="951" t="s">
        <v>2058</v>
      </c>
      <c r="B259" t="s">
        <v>152</v>
      </c>
      <c r="C259" t="s">
        <v>1520</v>
      </c>
      <c r="D259" t="s">
        <v>99</v>
      </c>
      <c r="F259" t="s">
        <v>106</v>
      </c>
      <c r="H259" t="s">
        <v>43</v>
      </c>
      <c r="I259" t="s">
        <v>61</v>
      </c>
      <c r="J259" t="s">
        <v>2052</v>
      </c>
      <c r="K259">
        <v>15930</v>
      </c>
      <c r="L259" s="707">
        <v>43739</v>
      </c>
      <c r="M259">
        <v>5</v>
      </c>
      <c r="N259">
        <v>0.21739130434782608</v>
      </c>
      <c r="P259" t="s">
        <v>2057</v>
      </c>
      <c r="Q259">
        <v>5</v>
      </c>
      <c r="R259" t="s">
        <v>1990</v>
      </c>
    </row>
    <row r="260" spans="1:18">
      <c r="A260" s="951" t="s">
        <v>2058</v>
      </c>
      <c r="B260" t="s">
        <v>152</v>
      </c>
      <c r="C260" t="s">
        <v>1520</v>
      </c>
      <c r="D260" t="s">
        <v>99</v>
      </c>
      <c r="F260" t="s">
        <v>106</v>
      </c>
      <c r="H260" t="s">
        <v>43</v>
      </c>
      <c r="I260" t="s">
        <v>61</v>
      </c>
      <c r="J260" t="s">
        <v>2053</v>
      </c>
      <c r="K260">
        <v>15930</v>
      </c>
      <c r="L260" s="707">
        <v>43647</v>
      </c>
      <c r="M260">
        <v>10</v>
      </c>
      <c r="N260">
        <v>0.43478260869565216</v>
      </c>
      <c r="P260" t="s">
        <v>2057</v>
      </c>
      <c r="Q260">
        <v>5</v>
      </c>
      <c r="R260" t="s">
        <v>1990</v>
      </c>
    </row>
    <row r="261" spans="1:18">
      <c r="A261" s="951" t="s">
        <v>2058</v>
      </c>
      <c r="B261" t="s">
        <v>152</v>
      </c>
      <c r="C261" t="s">
        <v>1520</v>
      </c>
      <c r="D261" t="s">
        <v>99</v>
      </c>
      <c r="F261" t="s">
        <v>106</v>
      </c>
      <c r="H261" t="s">
        <v>43</v>
      </c>
      <c r="I261" t="s">
        <v>61</v>
      </c>
      <c r="J261" t="s">
        <v>2053</v>
      </c>
      <c r="K261">
        <v>15930</v>
      </c>
      <c r="L261" s="707">
        <v>43739</v>
      </c>
      <c r="M261">
        <v>5</v>
      </c>
      <c r="N261">
        <v>0.21739130434782608</v>
      </c>
      <c r="P261" t="s">
        <v>2057</v>
      </c>
      <c r="Q261">
        <v>5</v>
      </c>
      <c r="R261" t="s">
        <v>1990</v>
      </c>
    </row>
    <row r="262" spans="1:18">
      <c r="A262" s="951" t="s">
        <v>2058</v>
      </c>
      <c r="B262" t="s">
        <v>152</v>
      </c>
      <c r="C262" t="s">
        <v>1520</v>
      </c>
      <c r="D262" t="s">
        <v>99</v>
      </c>
      <c r="F262" t="s">
        <v>106</v>
      </c>
      <c r="H262" t="s">
        <v>40</v>
      </c>
      <c r="I262" t="s">
        <v>1453</v>
      </c>
      <c r="J262" t="s">
        <v>2049</v>
      </c>
      <c r="K262">
        <v>21520</v>
      </c>
      <c r="L262" s="707">
        <v>43497</v>
      </c>
      <c r="M262">
        <v>9</v>
      </c>
      <c r="N262">
        <v>0.47368421052631576</v>
      </c>
      <c r="P262" t="s">
        <v>2057</v>
      </c>
      <c r="Q262">
        <v>5</v>
      </c>
      <c r="R262" t="s">
        <v>1990</v>
      </c>
    </row>
    <row r="263" spans="1:18">
      <c r="A263" s="951" t="s">
        <v>2058</v>
      </c>
      <c r="B263" t="s">
        <v>152</v>
      </c>
      <c r="C263" t="s">
        <v>1520</v>
      </c>
      <c r="D263" t="s">
        <v>99</v>
      </c>
      <c r="F263" t="s">
        <v>106</v>
      </c>
      <c r="H263" t="s">
        <v>40</v>
      </c>
      <c r="I263" t="s">
        <v>1453</v>
      </c>
      <c r="J263" t="s">
        <v>2049</v>
      </c>
      <c r="K263">
        <v>21520</v>
      </c>
      <c r="L263" s="707">
        <v>43617</v>
      </c>
      <c r="M263">
        <v>9</v>
      </c>
      <c r="N263">
        <v>0.47368421052631576</v>
      </c>
      <c r="P263" t="s">
        <v>2057</v>
      </c>
      <c r="Q263">
        <v>5</v>
      </c>
      <c r="R263" t="s">
        <v>1990</v>
      </c>
    </row>
    <row r="264" spans="1:18">
      <c r="A264" s="951" t="s">
        <v>2058</v>
      </c>
      <c r="B264" t="s">
        <v>152</v>
      </c>
      <c r="C264" t="s">
        <v>1520</v>
      </c>
      <c r="D264" t="s">
        <v>99</v>
      </c>
      <c r="F264" t="s">
        <v>106</v>
      </c>
      <c r="H264" t="s">
        <v>40</v>
      </c>
      <c r="I264" t="s">
        <v>1453</v>
      </c>
      <c r="J264" t="s">
        <v>2049</v>
      </c>
      <c r="K264">
        <v>21520</v>
      </c>
      <c r="L264" s="707">
        <v>43739</v>
      </c>
      <c r="M264">
        <v>3</v>
      </c>
      <c r="N264">
        <v>0.13043478260869565</v>
      </c>
      <c r="P264" t="s">
        <v>2057</v>
      </c>
      <c r="Q264">
        <v>5</v>
      </c>
      <c r="R264" t="s">
        <v>1990</v>
      </c>
    </row>
    <row r="265" spans="1:18">
      <c r="A265" s="951" t="s">
        <v>2058</v>
      </c>
      <c r="B265" t="s">
        <v>153</v>
      </c>
      <c r="C265" t="s">
        <v>100</v>
      </c>
      <c r="D265" t="s">
        <v>100</v>
      </c>
      <c r="F265" t="s">
        <v>107</v>
      </c>
      <c r="H265" t="s">
        <v>1616</v>
      </c>
      <c r="I265" t="s">
        <v>60</v>
      </c>
      <c r="J265" t="s">
        <v>2046</v>
      </c>
      <c r="K265">
        <v>11900</v>
      </c>
      <c r="L265" s="707">
        <v>43678</v>
      </c>
      <c r="M265">
        <v>5</v>
      </c>
      <c r="N265">
        <v>0.22727272727272727</v>
      </c>
      <c r="P265" t="s">
        <v>2057</v>
      </c>
      <c r="Q265">
        <v>5</v>
      </c>
      <c r="R265" t="s">
        <v>1990</v>
      </c>
    </row>
    <row r="266" spans="1:18">
      <c r="A266" s="951" t="s">
        <v>2058</v>
      </c>
      <c r="B266" t="s">
        <v>153</v>
      </c>
      <c r="C266" t="s">
        <v>100</v>
      </c>
      <c r="D266" t="s">
        <v>100</v>
      </c>
      <c r="F266" t="s">
        <v>107</v>
      </c>
      <c r="H266" t="s">
        <v>1616</v>
      </c>
      <c r="I266" t="s">
        <v>60</v>
      </c>
      <c r="J266" t="s">
        <v>2046</v>
      </c>
      <c r="K266">
        <v>11900</v>
      </c>
      <c r="L266" s="707">
        <v>43709</v>
      </c>
      <c r="M266">
        <v>4</v>
      </c>
      <c r="N266">
        <v>0.19047619047619047</v>
      </c>
      <c r="P266" t="s">
        <v>2057</v>
      </c>
      <c r="Q266">
        <v>5</v>
      </c>
      <c r="R266" t="s">
        <v>1990</v>
      </c>
    </row>
    <row r="267" spans="1:18">
      <c r="A267" s="951" t="s">
        <v>2058</v>
      </c>
      <c r="B267" t="s">
        <v>153</v>
      </c>
      <c r="C267" t="s">
        <v>100</v>
      </c>
      <c r="D267" t="s">
        <v>100</v>
      </c>
      <c r="F267" t="s">
        <v>107</v>
      </c>
      <c r="H267" t="s">
        <v>1616</v>
      </c>
      <c r="I267" t="s">
        <v>60</v>
      </c>
      <c r="J267" t="s">
        <v>2046</v>
      </c>
      <c r="K267">
        <v>11900</v>
      </c>
      <c r="L267" s="707">
        <v>43739</v>
      </c>
      <c r="M267">
        <v>2</v>
      </c>
      <c r="N267">
        <v>8.6956521739130432E-2</v>
      </c>
      <c r="P267" t="s">
        <v>2057</v>
      </c>
      <c r="Q267">
        <v>5</v>
      </c>
      <c r="R267" t="s">
        <v>1990</v>
      </c>
    </row>
    <row r="268" spans="1:18">
      <c r="A268" s="951" t="s">
        <v>2058</v>
      </c>
      <c r="B268" t="s">
        <v>154</v>
      </c>
      <c r="C268" t="s">
        <v>1593</v>
      </c>
      <c r="D268" t="s">
        <v>1593</v>
      </c>
      <c r="F268" t="s">
        <v>107</v>
      </c>
      <c r="H268" t="s">
        <v>1616</v>
      </c>
      <c r="I268" t="s">
        <v>60</v>
      </c>
      <c r="J268" t="s">
        <v>2046</v>
      </c>
      <c r="K268">
        <v>11900</v>
      </c>
      <c r="L268" s="707">
        <v>43678</v>
      </c>
      <c r="M268">
        <v>5</v>
      </c>
      <c r="N268">
        <v>0.22727272727272727</v>
      </c>
      <c r="P268" t="s">
        <v>2057</v>
      </c>
      <c r="Q268">
        <v>5</v>
      </c>
      <c r="R268" t="s">
        <v>1990</v>
      </c>
    </row>
    <row r="269" spans="1:18">
      <c r="A269" s="951" t="s">
        <v>2058</v>
      </c>
      <c r="B269" t="s">
        <v>154</v>
      </c>
      <c r="C269" t="s">
        <v>1593</v>
      </c>
      <c r="D269" t="s">
        <v>1593</v>
      </c>
      <c r="F269" t="s">
        <v>107</v>
      </c>
      <c r="H269" t="s">
        <v>1616</v>
      </c>
      <c r="I269" t="s">
        <v>60</v>
      </c>
      <c r="J269" t="s">
        <v>2046</v>
      </c>
      <c r="K269">
        <v>11900</v>
      </c>
      <c r="L269" s="707">
        <v>43709</v>
      </c>
      <c r="M269">
        <v>4</v>
      </c>
      <c r="N269">
        <v>0.19047619047619047</v>
      </c>
      <c r="P269" t="s">
        <v>2057</v>
      </c>
      <c r="Q269">
        <v>5</v>
      </c>
      <c r="R269" t="s">
        <v>1990</v>
      </c>
    </row>
    <row r="270" spans="1:18">
      <c r="A270" s="951" t="s">
        <v>2058</v>
      </c>
      <c r="B270" t="s">
        <v>154</v>
      </c>
      <c r="C270" t="s">
        <v>1593</v>
      </c>
      <c r="D270" t="s">
        <v>1593</v>
      </c>
      <c r="F270" t="s">
        <v>107</v>
      </c>
      <c r="H270" t="s">
        <v>1616</v>
      </c>
      <c r="I270" t="s">
        <v>60</v>
      </c>
      <c r="J270" t="s">
        <v>2046</v>
      </c>
      <c r="K270">
        <v>11900</v>
      </c>
      <c r="L270" s="707">
        <v>43739</v>
      </c>
      <c r="M270">
        <v>2</v>
      </c>
      <c r="N270">
        <v>8.6956521739130432E-2</v>
      </c>
      <c r="P270" t="s">
        <v>2057</v>
      </c>
      <c r="Q270">
        <v>5</v>
      </c>
      <c r="R270" t="s">
        <v>1990</v>
      </c>
    </row>
    <row r="271" spans="1:18">
      <c r="A271" s="951" t="s">
        <v>2058</v>
      </c>
      <c r="B271" t="s">
        <v>155</v>
      </c>
      <c r="C271" t="s">
        <v>1541</v>
      </c>
      <c r="D271" t="s">
        <v>1542</v>
      </c>
      <c r="F271" t="s">
        <v>107</v>
      </c>
      <c r="H271" t="s">
        <v>43</v>
      </c>
      <c r="I271" t="s">
        <v>61</v>
      </c>
      <c r="J271" t="s">
        <v>2052</v>
      </c>
      <c r="K271">
        <v>15930</v>
      </c>
      <c r="L271" s="707">
        <v>43525</v>
      </c>
      <c r="M271">
        <v>2</v>
      </c>
      <c r="N271">
        <v>0.1</v>
      </c>
      <c r="P271" t="s">
        <v>2057</v>
      </c>
      <c r="Q271">
        <v>5</v>
      </c>
      <c r="R271" t="s">
        <v>1990</v>
      </c>
    </row>
    <row r="272" spans="1:18">
      <c r="A272" s="951" t="s">
        <v>2058</v>
      </c>
      <c r="B272" t="s">
        <v>155</v>
      </c>
      <c r="C272" t="s">
        <v>1541</v>
      </c>
      <c r="D272" t="s">
        <v>1542</v>
      </c>
      <c r="F272" t="s">
        <v>107</v>
      </c>
      <c r="H272" t="s">
        <v>43</v>
      </c>
      <c r="I272" t="s">
        <v>61</v>
      </c>
      <c r="J272" t="s">
        <v>2052</v>
      </c>
      <c r="K272">
        <v>15930</v>
      </c>
      <c r="L272" s="707">
        <v>43556</v>
      </c>
      <c r="M272">
        <v>2</v>
      </c>
      <c r="N272">
        <v>9.0909090909090912E-2</v>
      </c>
      <c r="P272" t="s">
        <v>2057</v>
      </c>
      <c r="Q272">
        <v>5</v>
      </c>
      <c r="R272" t="s">
        <v>1990</v>
      </c>
    </row>
    <row r="273" spans="1:18">
      <c r="A273" s="951" t="s">
        <v>2058</v>
      </c>
      <c r="B273" t="s">
        <v>155</v>
      </c>
      <c r="C273" t="s">
        <v>1541</v>
      </c>
      <c r="D273" t="s">
        <v>1542</v>
      </c>
      <c r="F273" t="s">
        <v>107</v>
      </c>
      <c r="H273" t="s">
        <v>43</v>
      </c>
      <c r="I273" t="s">
        <v>61</v>
      </c>
      <c r="J273" t="s">
        <v>2052</v>
      </c>
      <c r="K273">
        <v>15930</v>
      </c>
      <c r="L273" s="707">
        <v>43586</v>
      </c>
      <c r="M273">
        <v>2</v>
      </c>
      <c r="N273">
        <v>9.5238095238095233E-2</v>
      </c>
      <c r="P273" t="s">
        <v>2057</v>
      </c>
      <c r="Q273">
        <v>5</v>
      </c>
      <c r="R273" t="s">
        <v>1990</v>
      </c>
    </row>
    <row r="274" spans="1:18">
      <c r="A274" s="951" t="s">
        <v>2058</v>
      </c>
      <c r="B274" t="s">
        <v>155</v>
      </c>
      <c r="C274" t="s">
        <v>1541</v>
      </c>
      <c r="D274" t="s">
        <v>1542</v>
      </c>
      <c r="F274" t="s">
        <v>107</v>
      </c>
      <c r="H274" t="s">
        <v>43</v>
      </c>
      <c r="I274" t="s">
        <v>61</v>
      </c>
      <c r="J274" t="s">
        <v>2052</v>
      </c>
      <c r="K274">
        <v>15930</v>
      </c>
      <c r="L274" s="707">
        <v>43617</v>
      </c>
      <c r="M274">
        <v>2</v>
      </c>
      <c r="N274">
        <v>0.10526315789473684</v>
      </c>
      <c r="P274" t="s">
        <v>2057</v>
      </c>
      <c r="Q274">
        <v>5</v>
      </c>
      <c r="R274" t="s">
        <v>1990</v>
      </c>
    </row>
    <row r="275" spans="1:18">
      <c r="A275" s="951" t="s">
        <v>2058</v>
      </c>
      <c r="B275" t="s">
        <v>155</v>
      </c>
      <c r="C275" t="s">
        <v>1541</v>
      </c>
      <c r="D275" t="s">
        <v>1542</v>
      </c>
      <c r="F275" t="s">
        <v>107</v>
      </c>
      <c r="H275" t="s">
        <v>43</v>
      </c>
      <c r="I275" t="s">
        <v>61</v>
      </c>
      <c r="J275" t="s">
        <v>2053</v>
      </c>
      <c r="K275">
        <v>15930</v>
      </c>
      <c r="L275" s="707">
        <v>43525</v>
      </c>
      <c r="M275">
        <v>2</v>
      </c>
      <c r="N275">
        <v>0.1</v>
      </c>
      <c r="P275" t="s">
        <v>2057</v>
      </c>
      <c r="Q275">
        <v>5</v>
      </c>
      <c r="R275" t="s">
        <v>1990</v>
      </c>
    </row>
    <row r="276" spans="1:18">
      <c r="A276" s="951" t="s">
        <v>2058</v>
      </c>
      <c r="B276" t="s">
        <v>155</v>
      </c>
      <c r="C276" t="s">
        <v>1541</v>
      </c>
      <c r="D276" t="s">
        <v>1542</v>
      </c>
      <c r="F276" t="s">
        <v>107</v>
      </c>
      <c r="H276" t="s">
        <v>43</v>
      </c>
      <c r="I276" t="s">
        <v>61</v>
      </c>
      <c r="J276" t="s">
        <v>2053</v>
      </c>
      <c r="K276">
        <v>15930</v>
      </c>
      <c r="L276" s="707">
        <v>43556</v>
      </c>
      <c r="M276">
        <v>2</v>
      </c>
      <c r="N276">
        <v>9.0909090909090912E-2</v>
      </c>
      <c r="P276" t="s">
        <v>2057</v>
      </c>
      <c r="Q276">
        <v>5</v>
      </c>
      <c r="R276" t="s">
        <v>1990</v>
      </c>
    </row>
    <row r="277" spans="1:18">
      <c r="A277" s="951" t="s">
        <v>2058</v>
      </c>
      <c r="B277" t="s">
        <v>155</v>
      </c>
      <c r="C277" t="s">
        <v>1541</v>
      </c>
      <c r="D277" t="s">
        <v>1542</v>
      </c>
      <c r="F277" t="s">
        <v>107</v>
      </c>
      <c r="H277" t="s">
        <v>43</v>
      </c>
      <c r="I277" t="s">
        <v>61</v>
      </c>
      <c r="J277" t="s">
        <v>2053</v>
      </c>
      <c r="K277">
        <v>15930</v>
      </c>
      <c r="L277" s="707">
        <v>43586</v>
      </c>
      <c r="M277">
        <v>2</v>
      </c>
      <c r="N277">
        <v>9.5238095238095233E-2</v>
      </c>
      <c r="P277" t="s">
        <v>2057</v>
      </c>
      <c r="Q277">
        <v>5</v>
      </c>
      <c r="R277" t="s">
        <v>1990</v>
      </c>
    </row>
    <row r="278" spans="1:18">
      <c r="A278" s="951" t="s">
        <v>2058</v>
      </c>
      <c r="B278" t="s">
        <v>155</v>
      </c>
      <c r="C278" t="s">
        <v>1541</v>
      </c>
      <c r="D278" t="s">
        <v>1542</v>
      </c>
      <c r="F278" t="s">
        <v>107</v>
      </c>
      <c r="H278" t="s">
        <v>43</v>
      </c>
      <c r="I278" t="s">
        <v>61</v>
      </c>
      <c r="J278" t="s">
        <v>2053</v>
      </c>
      <c r="K278">
        <v>15930</v>
      </c>
      <c r="L278" s="707">
        <v>43617</v>
      </c>
      <c r="M278">
        <v>2</v>
      </c>
      <c r="N278">
        <v>0.10526315789473684</v>
      </c>
      <c r="P278" t="s">
        <v>2057</v>
      </c>
      <c r="Q278">
        <v>5</v>
      </c>
      <c r="R278" t="s">
        <v>1990</v>
      </c>
    </row>
    <row r="279" spans="1:18">
      <c r="A279" s="951" t="s">
        <v>2058</v>
      </c>
      <c r="B279" t="s">
        <v>155</v>
      </c>
      <c r="C279" t="s">
        <v>1541</v>
      </c>
      <c r="D279" t="s">
        <v>1542</v>
      </c>
      <c r="F279" t="s">
        <v>107</v>
      </c>
      <c r="H279" t="s">
        <v>43</v>
      </c>
      <c r="I279" t="s">
        <v>1453</v>
      </c>
      <c r="J279" t="s">
        <v>2048</v>
      </c>
      <c r="K279">
        <v>21520</v>
      </c>
      <c r="L279" s="707">
        <v>43525</v>
      </c>
      <c r="M279">
        <v>5</v>
      </c>
      <c r="N279">
        <v>0.25</v>
      </c>
      <c r="P279" t="s">
        <v>2057</v>
      </c>
      <c r="Q279">
        <v>5</v>
      </c>
      <c r="R279" t="s">
        <v>1990</v>
      </c>
    </row>
    <row r="280" spans="1:18">
      <c r="A280" s="951" t="s">
        <v>2058</v>
      </c>
      <c r="B280" t="s">
        <v>155</v>
      </c>
      <c r="C280" t="s">
        <v>1541</v>
      </c>
      <c r="D280" t="s">
        <v>1542</v>
      </c>
      <c r="F280" t="s">
        <v>107</v>
      </c>
      <c r="H280" t="s">
        <v>43</v>
      </c>
      <c r="I280" t="s">
        <v>1453</v>
      </c>
      <c r="J280" t="s">
        <v>2048</v>
      </c>
      <c r="K280">
        <v>21520</v>
      </c>
      <c r="L280" s="707">
        <v>43556</v>
      </c>
      <c r="M280">
        <v>5</v>
      </c>
      <c r="N280">
        <v>0.22727272727272727</v>
      </c>
      <c r="P280" t="s">
        <v>2057</v>
      </c>
      <c r="Q280">
        <v>5</v>
      </c>
      <c r="R280" t="s">
        <v>1990</v>
      </c>
    </row>
    <row r="281" spans="1:18">
      <c r="A281" s="951" t="s">
        <v>2058</v>
      </c>
      <c r="B281" t="s">
        <v>155</v>
      </c>
      <c r="C281" t="s">
        <v>1541</v>
      </c>
      <c r="D281" t="s">
        <v>1542</v>
      </c>
      <c r="F281" t="s">
        <v>107</v>
      </c>
      <c r="H281" t="s">
        <v>43</v>
      </c>
      <c r="I281" t="s">
        <v>1453</v>
      </c>
      <c r="J281" t="s">
        <v>2048</v>
      </c>
      <c r="K281">
        <v>21520</v>
      </c>
      <c r="L281" s="707">
        <v>43647</v>
      </c>
      <c r="M281">
        <v>5</v>
      </c>
      <c r="N281">
        <v>0.21739130434782608</v>
      </c>
      <c r="P281" t="s">
        <v>2057</v>
      </c>
      <c r="Q281">
        <v>5</v>
      </c>
      <c r="R281" t="s">
        <v>1990</v>
      </c>
    </row>
    <row r="282" spans="1:18">
      <c r="A282" s="951" t="s">
        <v>2058</v>
      </c>
      <c r="B282" t="s">
        <v>155</v>
      </c>
      <c r="C282" t="s">
        <v>1541</v>
      </c>
      <c r="D282" t="s">
        <v>1542</v>
      </c>
      <c r="F282" t="s">
        <v>107</v>
      </c>
      <c r="H282" t="s">
        <v>43</v>
      </c>
      <c r="I282" t="s">
        <v>1453</v>
      </c>
      <c r="J282" t="s">
        <v>2048</v>
      </c>
      <c r="K282">
        <v>21520</v>
      </c>
      <c r="L282" s="707">
        <v>43678</v>
      </c>
      <c r="M282">
        <v>5</v>
      </c>
      <c r="N282">
        <v>0.22727272727272727</v>
      </c>
      <c r="P282" t="s">
        <v>2057</v>
      </c>
      <c r="Q282">
        <v>5</v>
      </c>
      <c r="R282" t="s">
        <v>1990</v>
      </c>
    </row>
    <row r="283" spans="1:18">
      <c r="A283" s="951" t="s">
        <v>2058</v>
      </c>
      <c r="B283" t="s">
        <v>155</v>
      </c>
      <c r="C283" t="s">
        <v>1541</v>
      </c>
      <c r="D283" t="s">
        <v>1542</v>
      </c>
      <c r="F283" t="s">
        <v>107</v>
      </c>
      <c r="H283" t="s">
        <v>1625</v>
      </c>
      <c r="I283" t="s">
        <v>58</v>
      </c>
      <c r="J283" t="s">
        <v>2054</v>
      </c>
      <c r="K283">
        <v>6980</v>
      </c>
      <c r="L283" s="707">
        <v>43525</v>
      </c>
      <c r="M283">
        <v>5</v>
      </c>
      <c r="N283">
        <v>0.25</v>
      </c>
      <c r="P283" t="s">
        <v>2057</v>
      </c>
      <c r="Q283">
        <v>5</v>
      </c>
      <c r="R283" t="s">
        <v>1990</v>
      </c>
    </row>
    <row r="284" spans="1:18">
      <c r="A284" s="951" t="s">
        <v>2058</v>
      </c>
      <c r="B284" t="s">
        <v>155</v>
      </c>
      <c r="C284" t="s">
        <v>1541</v>
      </c>
      <c r="D284" t="s">
        <v>1542</v>
      </c>
      <c r="F284" t="s">
        <v>107</v>
      </c>
      <c r="H284" t="s">
        <v>1625</v>
      </c>
      <c r="I284" t="s">
        <v>58</v>
      </c>
      <c r="J284" t="s">
        <v>2054</v>
      </c>
      <c r="K284">
        <v>6980</v>
      </c>
      <c r="L284" s="707">
        <v>43556</v>
      </c>
      <c r="M284">
        <v>5</v>
      </c>
      <c r="N284">
        <v>0.22727272727272727</v>
      </c>
      <c r="P284" t="s">
        <v>2057</v>
      </c>
      <c r="Q284">
        <v>5</v>
      </c>
      <c r="R284" t="s">
        <v>1990</v>
      </c>
    </row>
    <row r="285" spans="1:18">
      <c r="A285" s="951" t="s">
        <v>2058</v>
      </c>
      <c r="B285" t="s">
        <v>155</v>
      </c>
      <c r="C285" t="s">
        <v>1541</v>
      </c>
      <c r="D285" t="s">
        <v>1542</v>
      </c>
      <c r="F285" t="s">
        <v>107</v>
      </c>
      <c r="H285" t="s">
        <v>1625</v>
      </c>
      <c r="I285" t="s">
        <v>58</v>
      </c>
      <c r="J285" t="s">
        <v>2054</v>
      </c>
      <c r="K285">
        <v>6980</v>
      </c>
      <c r="L285" s="707">
        <v>43586</v>
      </c>
      <c r="M285">
        <v>5</v>
      </c>
      <c r="N285">
        <v>0.23809523809523808</v>
      </c>
      <c r="P285" t="s">
        <v>2057</v>
      </c>
      <c r="Q285">
        <v>5</v>
      </c>
      <c r="R285" t="s">
        <v>1990</v>
      </c>
    </row>
    <row r="286" spans="1:18">
      <c r="A286" s="951" t="s">
        <v>2058</v>
      </c>
      <c r="B286" t="s">
        <v>155</v>
      </c>
      <c r="C286" t="s">
        <v>1541</v>
      </c>
      <c r="D286" t="s">
        <v>1542</v>
      </c>
      <c r="F286" t="s">
        <v>107</v>
      </c>
      <c r="H286" t="s">
        <v>1625</v>
      </c>
      <c r="I286" t="s">
        <v>58</v>
      </c>
      <c r="J286" t="s">
        <v>2054</v>
      </c>
      <c r="K286">
        <v>6980</v>
      </c>
      <c r="L286" s="707">
        <v>43617</v>
      </c>
      <c r="M286">
        <v>5</v>
      </c>
      <c r="N286">
        <v>0.26315789473684209</v>
      </c>
      <c r="P286" t="s">
        <v>2057</v>
      </c>
      <c r="Q286">
        <v>5</v>
      </c>
      <c r="R286" t="s">
        <v>1990</v>
      </c>
    </row>
    <row r="287" spans="1:18">
      <c r="A287" s="951" t="s">
        <v>2058</v>
      </c>
      <c r="B287" t="s">
        <v>155</v>
      </c>
      <c r="C287" t="s">
        <v>1541</v>
      </c>
      <c r="D287" t="s">
        <v>1542</v>
      </c>
      <c r="F287" t="s">
        <v>107</v>
      </c>
      <c r="H287" t="s">
        <v>1625</v>
      </c>
      <c r="I287" t="s">
        <v>58</v>
      </c>
      <c r="J287" t="s">
        <v>2055</v>
      </c>
      <c r="K287">
        <v>6980</v>
      </c>
      <c r="L287" s="707">
        <v>43525</v>
      </c>
      <c r="M287">
        <v>5</v>
      </c>
      <c r="N287">
        <v>0.25</v>
      </c>
      <c r="P287" t="s">
        <v>2057</v>
      </c>
      <c r="Q287">
        <v>5</v>
      </c>
      <c r="R287" t="s">
        <v>1990</v>
      </c>
    </row>
    <row r="288" spans="1:18">
      <c r="A288" s="951" t="s">
        <v>2058</v>
      </c>
      <c r="B288" t="s">
        <v>155</v>
      </c>
      <c r="C288" t="s">
        <v>1541</v>
      </c>
      <c r="D288" t="s">
        <v>1542</v>
      </c>
      <c r="F288" t="s">
        <v>107</v>
      </c>
      <c r="H288" t="s">
        <v>1625</v>
      </c>
      <c r="I288" t="s">
        <v>58</v>
      </c>
      <c r="J288" t="s">
        <v>2055</v>
      </c>
      <c r="K288">
        <v>6980</v>
      </c>
      <c r="L288" s="707">
        <v>43556</v>
      </c>
      <c r="M288">
        <v>5</v>
      </c>
      <c r="N288">
        <v>0.22727272727272727</v>
      </c>
      <c r="P288" t="s">
        <v>2057</v>
      </c>
      <c r="Q288">
        <v>5</v>
      </c>
      <c r="R288" t="s">
        <v>1990</v>
      </c>
    </row>
    <row r="289" spans="1:18">
      <c r="A289" s="951" t="s">
        <v>2058</v>
      </c>
      <c r="B289" t="s">
        <v>155</v>
      </c>
      <c r="C289" t="s">
        <v>1541</v>
      </c>
      <c r="D289" t="s">
        <v>1542</v>
      </c>
      <c r="F289" t="s">
        <v>107</v>
      </c>
      <c r="H289" t="s">
        <v>1625</v>
      </c>
      <c r="I289" t="s">
        <v>58</v>
      </c>
      <c r="J289" t="s">
        <v>2055</v>
      </c>
      <c r="K289">
        <v>6980</v>
      </c>
      <c r="L289" s="707">
        <v>43586</v>
      </c>
      <c r="M289">
        <v>5</v>
      </c>
      <c r="N289">
        <v>0.23809523809523808</v>
      </c>
      <c r="P289" t="s">
        <v>2057</v>
      </c>
      <c r="Q289">
        <v>5</v>
      </c>
      <c r="R289" t="s">
        <v>1990</v>
      </c>
    </row>
    <row r="290" spans="1:18">
      <c r="A290" s="951" t="s">
        <v>2058</v>
      </c>
      <c r="B290" t="s">
        <v>155</v>
      </c>
      <c r="C290" t="s">
        <v>1541</v>
      </c>
      <c r="D290" t="s">
        <v>1542</v>
      </c>
      <c r="F290" t="s">
        <v>107</v>
      </c>
      <c r="H290" t="s">
        <v>1625</v>
      </c>
      <c r="I290" t="s">
        <v>58</v>
      </c>
      <c r="J290" t="s">
        <v>2055</v>
      </c>
      <c r="K290">
        <v>6980</v>
      </c>
      <c r="L290" s="707">
        <v>43617</v>
      </c>
      <c r="M290">
        <v>5</v>
      </c>
      <c r="N290">
        <v>0.26315789473684209</v>
      </c>
      <c r="P290" t="s">
        <v>2057</v>
      </c>
      <c r="Q290">
        <v>5</v>
      </c>
      <c r="R290" t="s">
        <v>1990</v>
      </c>
    </row>
    <row r="291" spans="1:18">
      <c r="A291" s="951" t="s">
        <v>2058</v>
      </c>
      <c r="B291" t="s">
        <v>155</v>
      </c>
      <c r="C291" t="s">
        <v>1541</v>
      </c>
      <c r="D291" t="s">
        <v>1542</v>
      </c>
      <c r="F291" t="s">
        <v>107</v>
      </c>
      <c r="H291" t="s">
        <v>42</v>
      </c>
      <c r="I291" t="s">
        <v>1453</v>
      </c>
      <c r="J291" t="s">
        <v>2048</v>
      </c>
      <c r="K291">
        <v>21520</v>
      </c>
      <c r="L291" s="707">
        <v>43525</v>
      </c>
      <c r="M291">
        <v>5</v>
      </c>
      <c r="N291">
        <v>0.25</v>
      </c>
      <c r="P291" t="s">
        <v>2057</v>
      </c>
      <c r="Q291">
        <v>5</v>
      </c>
      <c r="R291" t="s">
        <v>1990</v>
      </c>
    </row>
    <row r="292" spans="1:18">
      <c r="A292" s="951" t="s">
        <v>2058</v>
      </c>
      <c r="B292" t="s">
        <v>155</v>
      </c>
      <c r="C292" t="s">
        <v>1541</v>
      </c>
      <c r="D292" t="s">
        <v>1542</v>
      </c>
      <c r="F292" t="s">
        <v>107</v>
      </c>
      <c r="H292" t="s">
        <v>42</v>
      </c>
      <c r="I292" t="s">
        <v>1453</v>
      </c>
      <c r="J292" t="s">
        <v>2048</v>
      </c>
      <c r="K292">
        <v>21520</v>
      </c>
      <c r="L292" s="707">
        <v>43556</v>
      </c>
      <c r="M292">
        <v>5</v>
      </c>
      <c r="N292">
        <v>0.22727272727272727</v>
      </c>
      <c r="P292" t="s">
        <v>2057</v>
      </c>
      <c r="Q292">
        <v>5</v>
      </c>
      <c r="R292" t="s">
        <v>1990</v>
      </c>
    </row>
    <row r="293" spans="1:18">
      <c r="A293" s="951" t="s">
        <v>2058</v>
      </c>
      <c r="B293" t="s">
        <v>155</v>
      </c>
      <c r="C293" t="s">
        <v>1541</v>
      </c>
      <c r="D293" t="s">
        <v>1542</v>
      </c>
      <c r="F293" t="s">
        <v>107</v>
      </c>
      <c r="H293" t="s">
        <v>42</v>
      </c>
      <c r="I293" t="s">
        <v>1453</v>
      </c>
      <c r="J293" t="s">
        <v>2048</v>
      </c>
      <c r="K293">
        <v>21520</v>
      </c>
      <c r="L293" s="707">
        <v>43647</v>
      </c>
      <c r="M293">
        <v>5</v>
      </c>
      <c r="N293">
        <v>0.21739130434782608</v>
      </c>
      <c r="P293" t="s">
        <v>2057</v>
      </c>
      <c r="Q293">
        <v>5</v>
      </c>
      <c r="R293" t="s">
        <v>1990</v>
      </c>
    </row>
    <row r="294" spans="1:18">
      <c r="A294" s="951" t="s">
        <v>2058</v>
      </c>
      <c r="B294" t="s">
        <v>155</v>
      </c>
      <c r="C294" t="s">
        <v>1541</v>
      </c>
      <c r="D294" t="s">
        <v>1542</v>
      </c>
      <c r="F294" t="s">
        <v>107</v>
      </c>
      <c r="H294" t="s">
        <v>42</v>
      </c>
      <c r="I294" t="s">
        <v>1453</v>
      </c>
      <c r="J294" t="s">
        <v>2048</v>
      </c>
      <c r="K294">
        <v>21520</v>
      </c>
      <c r="L294" s="707">
        <v>43739</v>
      </c>
      <c r="M294">
        <v>5</v>
      </c>
      <c r="N294">
        <v>0.21739130434782608</v>
      </c>
      <c r="P294" t="s">
        <v>2057</v>
      </c>
      <c r="Q294">
        <v>5</v>
      </c>
      <c r="R294" t="s">
        <v>1990</v>
      </c>
    </row>
    <row r="295" spans="1:18">
      <c r="A295" s="951" t="s">
        <v>2058</v>
      </c>
      <c r="B295" t="s">
        <v>156</v>
      </c>
      <c r="C295" t="s">
        <v>1592</v>
      </c>
      <c r="D295" t="s">
        <v>1606</v>
      </c>
      <c r="F295" t="s">
        <v>107</v>
      </c>
      <c r="H295" t="s">
        <v>43</v>
      </c>
      <c r="I295" t="s">
        <v>61</v>
      </c>
      <c r="J295" t="s">
        <v>2052</v>
      </c>
      <c r="K295">
        <v>15930</v>
      </c>
      <c r="L295" s="707">
        <v>43709</v>
      </c>
      <c r="M295">
        <v>10</v>
      </c>
      <c r="N295">
        <v>0.47619047619047616</v>
      </c>
      <c r="P295" t="s">
        <v>2057</v>
      </c>
      <c r="Q295">
        <v>5</v>
      </c>
      <c r="R295" t="s">
        <v>1990</v>
      </c>
    </row>
    <row r="296" spans="1:18">
      <c r="A296" s="951" t="s">
        <v>2058</v>
      </c>
      <c r="B296" t="s">
        <v>156</v>
      </c>
      <c r="C296" t="s">
        <v>1592</v>
      </c>
      <c r="D296" t="s">
        <v>1606</v>
      </c>
      <c r="F296" t="s">
        <v>107</v>
      </c>
      <c r="H296" t="s">
        <v>43</v>
      </c>
      <c r="I296" t="s">
        <v>61</v>
      </c>
      <c r="J296" t="s">
        <v>2052</v>
      </c>
      <c r="K296">
        <v>15930</v>
      </c>
      <c r="L296" s="707">
        <v>43739</v>
      </c>
      <c r="M296">
        <v>5</v>
      </c>
      <c r="N296">
        <v>0.21739130434782608</v>
      </c>
      <c r="P296" t="s">
        <v>2057</v>
      </c>
      <c r="Q296">
        <v>5</v>
      </c>
      <c r="R296" t="s">
        <v>1990</v>
      </c>
    </row>
    <row r="297" spans="1:18">
      <c r="A297" s="951" t="s">
        <v>2058</v>
      </c>
      <c r="B297" t="s">
        <v>156</v>
      </c>
      <c r="C297" t="s">
        <v>1592</v>
      </c>
      <c r="D297" t="s">
        <v>1606</v>
      </c>
      <c r="F297" t="s">
        <v>107</v>
      </c>
      <c r="H297" t="s">
        <v>43</v>
      </c>
      <c r="I297" t="s">
        <v>61</v>
      </c>
      <c r="J297" t="s">
        <v>2053</v>
      </c>
      <c r="K297">
        <v>15930</v>
      </c>
      <c r="L297" s="707">
        <v>43709</v>
      </c>
      <c r="M297">
        <v>10</v>
      </c>
      <c r="N297">
        <v>0.47619047619047616</v>
      </c>
      <c r="P297" t="s">
        <v>2057</v>
      </c>
      <c r="Q297">
        <v>5</v>
      </c>
      <c r="R297" t="s">
        <v>1990</v>
      </c>
    </row>
    <row r="298" spans="1:18">
      <c r="A298" s="951" t="s">
        <v>2058</v>
      </c>
      <c r="B298" t="s">
        <v>156</v>
      </c>
      <c r="C298" t="s">
        <v>1592</v>
      </c>
      <c r="D298" t="s">
        <v>1606</v>
      </c>
      <c r="F298" t="s">
        <v>107</v>
      </c>
      <c r="H298" t="s">
        <v>43</v>
      </c>
      <c r="I298" t="s">
        <v>61</v>
      </c>
      <c r="J298" t="s">
        <v>2053</v>
      </c>
      <c r="K298">
        <v>15930</v>
      </c>
      <c r="L298" s="707">
        <v>43739</v>
      </c>
      <c r="M298">
        <v>5</v>
      </c>
      <c r="N298">
        <v>0.21739130434782608</v>
      </c>
      <c r="P298" t="s">
        <v>2057</v>
      </c>
      <c r="Q298">
        <v>5</v>
      </c>
      <c r="R298" t="s">
        <v>1990</v>
      </c>
    </row>
    <row r="299" spans="1:18">
      <c r="A299" s="951" t="s">
        <v>2058</v>
      </c>
      <c r="B299" t="s">
        <v>156</v>
      </c>
      <c r="C299" t="s">
        <v>1592</v>
      </c>
      <c r="D299" t="s">
        <v>1606</v>
      </c>
      <c r="F299" t="s">
        <v>107</v>
      </c>
      <c r="H299" t="s">
        <v>42</v>
      </c>
      <c r="I299" t="s">
        <v>1453</v>
      </c>
      <c r="J299" t="s">
        <v>2048</v>
      </c>
      <c r="K299">
        <v>21520</v>
      </c>
      <c r="L299" s="707">
        <v>43497</v>
      </c>
      <c r="M299">
        <v>10</v>
      </c>
      <c r="N299">
        <v>0.52631578947368418</v>
      </c>
      <c r="P299" t="s">
        <v>2057</v>
      </c>
      <c r="Q299">
        <v>5</v>
      </c>
      <c r="R299" t="s">
        <v>1990</v>
      </c>
    </row>
    <row r="300" spans="1:18">
      <c r="A300" s="951" t="s">
        <v>2058</v>
      </c>
      <c r="B300" t="s">
        <v>156</v>
      </c>
      <c r="C300" t="s">
        <v>1592</v>
      </c>
      <c r="D300" t="s">
        <v>1606</v>
      </c>
      <c r="F300" t="s">
        <v>107</v>
      </c>
      <c r="H300" t="s">
        <v>42</v>
      </c>
      <c r="I300" t="s">
        <v>1453</v>
      </c>
      <c r="J300" t="s">
        <v>2048</v>
      </c>
      <c r="K300">
        <v>21520</v>
      </c>
      <c r="L300" s="707">
        <v>43739</v>
      </c>
      <c r="M300">
        <v>10</v>
      </c>
      <c r="N300">
        <v>0.43478260869565216</v>
      </c>
      <c r="P300" t="s">
        <v>2057</v>
      </c>
      <c r="Q300">
        <v>5</v>
      </c>
      <c r="R300" t="s">
        <v>1990</v>
      </c>
    </row>
    <row r="301" spans="1:18">
      <c r="A301" s="951" t="s">
        <v>2058</v>
      </c>
      <c r="B301" t="s">
        <v>156</v>
      </c>
      <c r="C301" t="s">
        <v>1592</v>
      </c>
      <c r="D301" t="s">
        <v>1606</v>
      </c>
      <c r="F301" t="s">
        <v>107</v>
      </c>
      <c r="H301" t="s">
        <v>40</v>
      </c>
      <c r="I301" t="s">
        <v>1453</v>
      </c>
      <c r="J301" t="s">
        <v>2049</v>
      </c>
      <c r="K301">
        <v>21520</v>
      </c>
      <c r="L301" s="707">
        <v>43497</v>
      </c>
      <c r="M301">
        <v>5</v>
      </c>
      <c r="N301">
        <v>0.26315789473684209</v>
      </c>
      <c r="P301" t="s">
        <v>2057</v>
      </c>
      <c r="Q301">
        <v>5</v>
      </c>
      <c r="R301" t="s">
        <v>1990</v>
      </c>
    </row>
    <row r="302" spans="1:18">
      <c r="A302" s="951" t="s">
        <v>2058</v>
      </c>
      <c r="B302" t="s">
        <v>156</v>
      </c>
      <c r="C302" t="s">
        <v>1592</v>
      </c>
      <c r="D302" t="s">
        <v>1606</v>
      </c>
      <c r="F302" t="s">
        <v>107</v>
      </c>
      <c r="H302" t="s">
        <v>40</v>
      </c>
      <c r="I302" t="s">
        <v>1453</v>
      </c>
      <c r="J302" t="s">
        <v>2049</v>
      </c>
      <c r="K302">
        <v>21520</v>
      </c>
      <c r="L302" s="707">
        <v>43739</v>
      </c>
      <c r="M302">
        <v>10</v>
      </c>
      <c r="N302">
        <v>0.43478260869565216</v>
      </c>
      <c r="P302" t="s">
        <v>2057</v>
      </c>
      <c r="Q302">
        <v>5</v>
      </c>
      <c r="R302" t="s">
        <v>1990</v>
      </c>
    </row>
    <row r="303" spans="1:18">
      <c r="A303" s="951" t="s">
        <v>2058</v>
      </c>
      <c r="B303" t="s">
        <v>157</v>
      </c>
      <c r="C303" t="s">
        <v>101</v>
      </c>
      <c r="D303" t="s">
        <v>101</v>
      </c>
      <c r="F303" t="s">
        <v>106</v>
      </c>
      <c r="H303" t="s">
        <v>1616</v>
      </c>
      <c r="I303" t="s">
        <v>60</v>
      </c>
      <c r="J303" t="s">
        <v>2046</v>
      </c>
      <c r="K303">
        <v>11900</v>
      </c>
      <c r="L303" s="707">
        <v>43709</v>
      </c>
      <c r="M303">
        <v>10</v>
      </c>
      <c r="N303">
        <v>0.47619047619047616</v>
      </c>
      <c r="P303" t="s">
        <v>2057</v>
      </c>
      <c r="Q303">
        <v>5</v>
      </c>
      <c r="R303" t="s">
        <v>1990</v>
      </c>
    </row>
    <row r="304" spans="1:18">
      <c r="A304" s="951" t="s">
        <v>2058</v>
      </c>
      <c r="B304" t="s">
        <v>157</v>
      </c>
      <c r="C304" t="s">
        <v>101</v>
      </c>
      <c r="D304" t="s">
        <v>101</v>
      </c>
      <c r="F304" t="s">
        <v>106</v>
      </c>
      <c r="H304" t="s">
        <v>1616</v>
      </c>
      <c r="I304" t="s">
        <v>60</v>
      </c>
      <c r="J304" t="s">
        <v>2046</v>
      </c>
      <c r="K304">
        <v>11900</v>
      </c>
      <c r="L304" s="707">
        <v>43739</v>
      </c>
      <c r="M304">
        <v>3</v>
      </c>
      <c r="N304">
        <v>0.13043478260869565</v>
      </c>
      <c r="P304" t="s">
        <v>2057</v>
      </c>
      <c r="Q304">
        <v>5</v>
      </c>
      <c r="R304" t="s">
        <v>1990</v>
      </c>
    </row>
    <row r="305" spans="1:18">
      <c r="A305" s="951" t="s">
        <v>2058</v>
      </c>
      <c r="B305" t="s">
        <v>162</v>
      </c>
      <c r="C305" t="s">
        <v>1601</v>
      </c>
      <c r="D305" t="s">
        <v>1597</v>
      </c>
      <c r="F305" t="s">
        <v>106</v>
      </c>
      <c r="H305" t="s">
        <v>1616</v>
      </c>
      <c r="I305" t="s">
        <v>60</v>
      </c>
      <c r="J305" t="s">
        <v>2046</v>
      </c>
      <c r="K305">
        <v>11900</v>
      </c>
      <c r="L305" s="707">
        <v>43739</v>
      </c>
      <c r="M305">
        <v>16</v>
      </c>
      <c r="N305">
        <v>0.69565217391304346</v>
      </c>
      <c r="P305" t="s">
        <v>2057</v>
      </c>
      <c r="Q305">
        <v>5</v>
      </c>
      <c r="R305" t="s">
        <v>1990</v>
      </c>
    </row>
    <row r="306" spans="1:18">
      <c r="A306" s="951" t="s">
        <v>2058</v>
      </c>
      <c r="B306" t="s">
        <v>162</v>
      </c>
      <c r="C306" t="s">
        <v>1601</v>
      </c>
      <c r="D306" t="s">
        <v>1597</v>
      </c>
      <c r="F306" t="s">
        <v>106</v>
      </c>
      <c r="H306" t="s">
        <v>1616</v>
      </c>
      <c r="I306" t="s">
        <v>60</v>
      </c>
      <c r="J306" t="s">
        <v>2046</v>
      </c>
      <c r="K306">
        <v>11900</v>
      </c>
      <c r="L306" s="707">
        <v>43770</v>
      </c>
      <c r="M306">
        <v>10</v>
      </c>
      <c r="N306">
        <v>0.5</v>
      </c>
      <c r="P306" t="s">
        <v>2057</v>
      </c>
      <c r="Q306">
        <v>5</v>
      </c>
      <c r="R306" t="s">
        <v>1990</v>
      </c>
    </row>
    <row r="307" spans="1:18">
      <c r="A307" s="951" t="s">
        <v>2058</v>
      </c>
      <c r="B307" t="s">
        <v>162</v>
      </c>
      <c r="C307" t="s">
        <v>1601</v>
      </c>
      <c r="D307" t="s">
        <v>1597</v>
      </c>
      <c r="F307" t="s">
        <v>106</v>
      </c>
      <c r="H307" t="s">
        <v>43</v>
      </c>
      <c r="I307" t="s">
        <v>61</v>
      </c>
      <c r="J307" t="s">
        <v>2053</v>
      </c>
      <c r="K307">
        <v>15930</v>
      </c>
      <c r="L307" s="707">
        <v>43770</v>
      </c>
      <c r="M307">
        <v>20</v>
      </c>
      <c r="N307">
        <v>1</v>
      </c>
      <c r="P307" t="s">
        <v>2057</v>
      </c>
      <c r="Q307">
        <v>5</v>
      </c>
      <c r="R307" t="s">
        <v>1990</v>
      </c>
    </row>
    <row r="308" spans="1:18">
      <c r="A308" s="951" t="s">
        <v>2058</v>
      </c>
      <c r="B308" t="s">
        <v>162</v>
      </c>
      <c r="C308" t="s">
        <v>1601</v>
      </c>
      <c r="D308" t="s">
        <v>1597</v>
      </c>
      <c r="F308" t="s">
        <v>106</v>
      </c>
      <c r="H308" t="s">
        <v>33</v>
      </c>
      <c r="I308" t="s">
        <v>61</v>
      </c>
      <c r="J308" t="s">
        <v>2045</v>
      </c>
      <c r="K308">
        <v>15930</v>
      </c>
      <c r="L308" s="707">
        <v>43739</v>
      </c>
      <c r="M308">
        <v>3</v>
      </c>
      <c r="N308">
        <v>0.13043478260869565</v>
      </c>
      <c r="P308" t="s">
        <v>2057</v>
      </c>
      <c r="Q308">
        <v>5</v>
      </c>
      <c r="R308" t="s">
        <v>1990</v>
      </c>
    </row>
    <row r="309" spans="1:18">
      <c r="A309" s="951" t="s">
        <v>2058</v>
      </c>
      <c r="B309" t="s">
        <v>162</v>
      </c>
      <c r="C309" t="s">
        <v>1601</v>
      </c>
      <c r="D309" t="s">
        <v>1597</v>
      </c>
      <c r="F309" t="s">
        <v>106</v>
      </c>
      <c r="H309" t="s">
        <v>43</v>
      </c>
      <c r="I309" t="s">
        <v>61</v>
      </c>
      <c r="J309" t="s">
        <v>2052</v>
      </c>
      <c r="K309">
        <v>15930</v>
      </c>
      <c r="L309" s="707">
        <v>43770</v>
      </c>
      <c r="M309">
        <v>20</v>
      </c>
      <c r="N309">
        <v>1</v>
      </c>
      <c r="P309" t="s">
        <v>2057</v>
      </c>
      <c r="Q309">
        <v>5</v>
      </c>
      <c r="R309" t="s">
        <v>1990</v>
      </c>
    </row>
    <row r="310" spans="1:18">
      <c r="A310" s="951" t="s">
        <v>2058</v>
      </c>
      <c r="B310" t="s">
        <v>163</v>
      </c>
      <c r="C310" t="s">
        <v>1521</v>
      </c>
      <c r="D310" t="s">
        <v>1602</v>
      </c>
      <c r="F310" t="s">
        <v>106</v>
      </c>
      <c r="H310" t="s">
        <v>1616</v>
      </c>
      <c r="I310" t="s">
        <v>60</v>
      </c>
      <c r="J310" t="s">
        <v>2046</v>
      </c>
      <c r="K310">
        <v>11900</v>
      </c>
      <c r="L310" s="707">
        <v>43770</v>
      </c>
      <c r="M310">
        <v>2</v>
      </c>
      <c r="N310">
        <v>0.1</v>
      </c>
      <c r="P310" t="s">
        <v>2057</v>
      </c>
      <c r="Q310">
        <v>5</v>
      </c>
      <c r="R310" t="s">
        <v>1990</v>
      </c>
    </row>
    <row r="311" spans="1:18">
      <c r="A311" s="951" t="s">
        <v>2058</v>
      </c>
      <c r="B311" t="s">
        <v>158</v>
      </c>
      <c r="C311" t="s">
        <v>1603</v>
      </c>
      <c r="D311" t="s">
        <v>1604</v>
      </c>
      <c r="F311" t="s">
        <v>106</v>
      </c>
      <c r="H311" t="s">
        <v>1616</v>
      </c>
      <c r="I311" t="s">
        <v>60</v>
      </c>
      <c r="J311" t="s">
        <v>2046</v>
      </c>
      <c r="K311">
        <v>11900</v>
      </c>
      <c r="L311" s="707">
        <v>43770</v>
      </c>
      <c r="M311">
        <v>8</v>
      </c>
      <c r="N311">
        <v>0.4</v>
      </c>
      <c r="P311" t="s">
        <v>2057</v>
      </c>
      <c r="Q311">
        <v>5</v>
      </c>
      <c r="R311" t="s">
        <v>1990</v>
      </c>
    </row>
    <row r="312" spans="1:18">
      <c r="A312" s="951" t="s">
        <v>2058</v>
      </c>
      <c r="B312" t="s">
        <v>158</v>
      </c>
      <c r="C312" t="s">
        <v>1603</v>
      </c>
      <c r="D312" t="s">
        <v>1604</v>
      </c>
      <c r="F312" t="s">
        <v>106</v>
      </c>
      <c r="H312" t="s">
        <v>1616</v>
      </c>
      <c r="I312" t="s">
        <v>60</v>
      </c>
      <c r="J312" t="s">
        <v>2046</v>
      </c>
      <c r="K312">
        <v>11900</v>
      </c>
      <c r="L312" s="707">
        <v>43800</v>
      </c>
      <c r="M312">
        <v>8</v>
      </c>
      <c r="N312">
        <v>0.38095238095238093</v>
      </c>
      <c r="P312" t="s">
        <v>2057</v>
      </c>
      <c r="Q312">
        <v>5</v>
      </c>
      <c r="R312" t="s">
        <v>1990</v>
      </c>
    </row>
    <row r="313" spans="1:18">
      <c r="A313" s="951" t="s">
        <v>2058</v>
      </c>
      <c r="B313" t="s">
        <v>159</v>
      </c>
      <c r="C313" t="s">
        <v>1605</v>
      </c>
      <c r="D313" t="s">
        <v>117</v>
      </c>
      <c r="F313" t="s">
        <v>106</v>
      </c>
      <c r="H313" t="s">
        <v>1616</v>
      </c>
      <c r="I313" t="s">
        <v>60</v>
      </c>
      <c r="J313" t="s">
        <v>2046</v>
      </c>
      <c r="K313">
        <v>11900</v>
      </c>
      <c r="L313" s="707">
        <v>43800</v>
      </c>
      <c r="M313">
        <v>2</v>
      </c>
      <c r="N313">
        <v>9.5238095238095233E-2</v>
      </c>
      <c r="P313" t="s">
        <v>2057</v>
      </c>
      <c r="Q313">
        <v>5</v>
      </c>
      <c r="R313" t="s">
        <v>1990</v>
      </c>
    </row>
    <row r="314" spans="1:18">
      <c r="A314" s="951" t="s">
        <v>2058</v>
      </c>
      <c r="B314" t="s">
        <v>1543</v>
      </c>
      <c r="C314" t="s">
        <v>1600</v>
      </c>
      <c r="D314" t="s">
        <v>1598</v>
      </c>
      <c r="F314" t="s">
        <v>106</v>
      </c>
      <c r="H314" t="s">
        <v>1616</v>
      </c>
      <c r="I314" t="s">
        <v>60</v>
      </c>
      <c r="J314" t="s">
        <v>2046</v>
      </c>
      <c r="K314">
        <v>11900</v>
      </c>
      <c r="L314" s="707">
        <v>43800</v>
      </c>
      <c r="M314">
        <v>10</v>
      </c>
      <c r="N314">
        <v>0.47619047619047616</v>
      </c>
      <c r="P314" t="s">
        <v>2057</v>
      </c>
      <c r="Q314">
        <v>6</v>
      </c>
      <c r="R314" t="s">
        <v>1990</v>
      </c>
    </row>
    <row r="315" spans="1:18">
      <c r="A315" s="951" t="s">
        <v>2058</v>
      </c>
      <c r="B315" t="s">
        <v>1544</v>
      </c>
      <c r="C315" t="s">
        <v>1599</v>
      </c>
      <c r="D315" t="s">
        <v>119</v>
      </c>
      <c r="F315" t="s">
        <v>106</v>
      </c>
      <c r="H315" t="s">
        <v>33</v>
      </c>
      <c r="I315" t="s">
        <v>61</v>
      </c>
      <c r="J315" t="s">
        <v>2045</v>
      </c>
      <c r="K315">
        <v>15930</v>
      </c>
      <c r="L315" s="707">
        <v>43800</v>
      </c>
      <c r="M315">
        <v>3</v>
      </c>
      <c r="N315">
        <v>0.14285714285714285</v>
      </c>
      <c r="P315" t="s">
        <v>2057</v>
      </c>
      <c r="Q315">
        <v>6</v>
      </c>
      <c r="R315" t="s">
        <v>1990</v>
      </c>
    </row>
    <row r="316" spans="1:18">
      <c r="A316" s="951" t="s">
        <v>2058</v>
      </c>
      <c r="B316" t="s">
        <v>1545</v>
      </c>
      <c r="C316" t="s">
        <v>102</v>
      </c>
      <c r="D316" t="s">
        <v>102</v>
      </c>
      <c r="F316" t="s">
        <v>106</v>
      </c>
      <c r="H316" t="s">
        <v>1616</v>
      </c>
      <c r="I316" t="s">
        <v>60</v>
      </c>
      <c r="J316" t="s">
        <v>2046</v>
      </c>
      <c r="K316">
        <v>11900</v>
      </c>
      <c r="L316" s="707">
        <v>43800</v>
      </c>
      <c r="M316">
        <v>2</v>
      </c>
      <c r="N316">
        <v>9.5238095238095233E-2</v>
      </c>
      <c r="P316" t="s">
        <v>2057</v>
      </c>
      <c r="Q316">
        <v>6</v>
      </c>
      <c r="R316" t="s">
        <v>1990</v>
      </c>
    </row>
    <row r="317" spans="1:18">
      <c r="A317" s="951" t="s">
        <v>2058</v>
      </c>
      <c r="B317" t="s">
        <v>1545</v>
      </c>
      <c r="C317" t="s">
        <v>102</v>
      </c>
      <c r="D317" t="s">
        <v>102</v>
      </c>
      <c r="F317" t="s">
        <v>106</v>
      </c>
      <c r="H317" t="s">
        <v>33</v>
      </c>
      <c r="I317" t="s">
        <v>61</v>
      </c>
      <c r="J317" t="s">
        <v>2045</v>
      </c>
      <c r="K317">
        <v>15930</v>
      </c>
      <c r="L317" s="707">
        <v>43770</v>
      </c>
      <c r="M317">
        <v>15</v>
      </c>
      <c r="N317">
        <v>0.75</v>
      </c>
      <c r="P317" t="s">
        <v>2057</v>
      </c>
      <c r="Q317">
        <v>6</v>
      </c>
      <c r="R317" t="s">
        <v>1990</v>
      </c>
    </row>
    <row r="318" spans="1:18">
      <c r="A318" s="951" t="s">
        <v>2058</v>
      </c>
      <c r="B318" t="s">
        <v>1545</v>
      </c>
      <c r="C318" t="s">
        <v>102</v>
      </c>
      <c r="D318" t="s">
        <v>102</v>
      </c>
      <c r="F318" t="s">
        <v>106</v>
      </c>
      <c r="H318" t="s">
        <v>33</v>
      </c>
      <c r="I318" t="s">
        <v>61</v>
      </c>
      <c r="J318" t="s">
        <v>2045</v>
      </c>
      <c r="K318">
        <v>15930</v>
      </c>
      <c r="L318" s="707">
        <v>43800</v>
      </c>
      <c r="M318">
        <v>17</v>
      </c>
      <c r="N318">
        <v>0.80952380952380953</v>
      </c>
      <c r="P318" t="s">
        <v>2057</v>
      </c>
      <c r="Q318">
        <v>6</v>
      </c>
      <c r="R318" t="s">
        <v>1990</v>
      </c>
    </row>
    <row r="319" spans="1:18">
      <c r="A319" s="951" t="s">
        <v>2058</v>
      </c>
      <c r="B319" t="s">
        <v>1546</v>
      </c>
      <c r="C319" t="s">
        <v>1522</v>
      </c>
      <c r="D319" t="s">
        <v>103</v>
      </c>
      <c r="F319" t="s">
        <v>106</v>
      </c>
      <c r="H319" t="s">
        <v>33</v>
      </c>
      <c r="I319" t="s">
        <v>61</v>
      </c>
      <c r="J319" t="s">
        <v>2045</v>
      </c>
      <c r="K319">
        <v>15930</v>
      </c>
      <c r="L319" s="707">
        <v>43770</v>
      </c>
      <c r="M319">
        <v>2</v>
      </c>
      <c r="N319">
        <v>0.1</v>
      </c>
      <c r="P319" t="s">
        <v>2057</v>
      </c>
      <c r="Q319">
        <v>6</v>
      </c>
      <c r="R319" t="s">
        <v>1990</v>
      </c>
    </row>
    <row r="320" spans="1:18">
      <c r="A320" s="951" t="s">
        <v>2058</v>
      </c>
      <c r="B320" t="s">
        <v>1547</v>
      </c>
      <c r="C320" t="s">
        <v>104</v>
      </c>
      <c r="D320" t="s">
        <v>104</v>
      </c>
      <c r="F320" t="s">
        <v>106</v>
      </c>
      <c r="H320" t="s">
        <v>33</v>
      </c>
      <c r="I320" t="s">
        <v>61</v>
      </c>
      <c r="J320" t="s">
        <v>2045</v>
      </c>
      <c r="K320">
        <v>15930</v>
      </c>
      <c r="L320" s="707">
        <v>43800</v>
      </c>
      <c r="M320">
        <v>2</v>
      </c>
      <c r="N320">
        <v>9.5238095238095233E-2</v>
      </c>
      <c r="P320" t="s">
        <v>2057</v>
      </c>
      <c r="Q320">
        <v>6</v>
      </c>
      <c r="R320" t="s">
        <v>1990</v>
      </c>
    </row>
  </sheetData>
  <autoFilter ref="A1:U1" xr:uid="{00000000-0009-0000-0000-00000C000000}"/>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86017" r:id="rId4" name="CommandButton1">
          <controlPr autoLine="0" r:id="rId5">
            <anchor moveWithCells="1">
              <from>
                <xdr:col>3</xdr:col>
                <xdr:colOff>19050</xdr:colOff>
                <xdr:row>0</xdr:row>
                <xdr:rowOff>85725</xdr:rowOff>
              </from>
              <to>
                <xdr:col>3</xdr:col>
                <xdr:colOff>1057275</xdr:colOff>
                <xdr:row>0</xdr:row>
                <xdr:rowOff>390525</xdr:rowOff>
              </to>
            </anchor>
          </controlPr>
        </control>
      </mc:Choice>
      <mc:Fallback>
        <control shapeId="86017" r:id="rId4" name="CommandButto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15"/>
  <dimension ref="A1:I6"/>
  <sheetViews>
    <sheetView workbookViewId="0">
      <selection activeCell="A2" sqref="A2:A6"/>
    </sheetView>
  </sheetViews>
  <sheetFormatPr defaultRowHeight="12.75"/>
  <cols>
    <col min="1" max="5" width="13" customWidth="1"/>
    <col min="6" max="6" width="18" style="707" customWidth="1"/>
    <col min="7" max="7" width="22" customWidth="1"/>
    <col min="9" max="9" width="14.85546875" customWidth="1"/>
  </cols>
  <sheetData>
    <row r="1" spans="1:9" ht="39" thickBot="1">
      <c r="A1" s="701" t="s">
        <v>1743</v>
      </c>
      <c r="B1" s="177" t="s">
        <v>1532</v>
      </c>
      <c r="C1" s="177" t="s">
        <v>74</v>
      </c>
      <c r="D1" s="177" t="s">
        <v>13</v>
      </c>
      <c r="E1" s="177" t="s">
        <v>4</v>
      </c>
      <c r="F1" s="702" t="s">
        <v>1992</v>
      </c>
      <c r="G1" s="701" t="s">
        <v>2003</v>
      </c>
      <c r="H1" s="700" t="s">
        <v>2004</v>
      </c>
      <c r="I1" s="700" t="s">
        <v>1989</v>
      </c>
    </row>
    <row r="2" spans="1:9">
      <c r="A2" s="951" t="s">
        <v>2058</v>
      </c>
      <c r="B2" t="s">
        <v>1578</v>
      </c>
      <c r="C2" t="s">
        <v>1765</v>
      </c>
      <c r="E2" t="s">
        <v>1694</v>
      </c>
      <c r="F2" s="707">
        <v>43191</v>
      </c>
      <c r="G2">
        <v>200000</v>
      </c>
      <c r="H2" t="s">
        <v>2057</v>
      </c>
      <c r="I2" t="s">
        <v>1990</v>
      </c>
    </row>
    <row r="3" spans="1:9">
      <c r="A3" s="951" t="s">
        <v>2058</v>
      </c>
      <c r="B3" t="s">
        <v>1578</v>
      </c>
      <c r="C3" t="s">
        <v>1765</v>
      </c>
      <c r="E3" t="s">
        <v>1694</v>
      </c>
      <c r="F3" s="707">
        <v>43252</v>
      </c>
      <c r="G3">
        <v>200000</v>
      </c>
      <c r="H3" t="s">
        <v>2057</v>
      </c>
      <c r="I3" t="s">
        <v>1990</v>
      </c>
    </row>
    <row r="4" spans="1:9">
      <c r="A4" s="951" t="s">
        <v>2058</v>
      </c>
      <c r="B4" t="s">
        <v>150</v>
      </c>
      <c r="C4" t="s">
        <v>1764</v>
      </c>
      <c r="E4" t="s">
        <v>1694</v>
      </c>
      <c r="F4" s="707">
        <v>43466</v>
      </c>
      <c r="G4">
        <v>200000</v>
      </c>
      <c r="H4" t="s">
        <v>2057</v>
      </c>
      <c r="I4" t="s">
        <v>1990</v>
      </c>
    </row>
    <row r="5" spans="1:9">
      <c r="A5" s="951" t="s">
        <v>2058</v>
      </c>
      <c r="B5" t="s">
        <v>150</v>
      </c>
      <c r="C5" t="s">
        <v>1764</v>
      </c>
      <c r="E5" t="s">
        <v>1694</v>
      </c>
      <c r="F5" s="707">
        <v>43497</v>
      </c>
      <c r="G5">
        <v>200000</v>
      </c>
      <c r="H5" t="s">
        <v>2057</v>
      </c>
      <c r="I5" t="s">
        <v>1990</v>
      </c>
    </row>
    <row r="6" spans="1:9">
      <c r="A6" s="951" t="s">
        <v>2058</v>
      </c>
      <c r="B6" t="s">
        <v>151</v>
      </c>
      <c r="C6" t="s">
        <v>1765</v>
      </c>
      <c r="E6" t="s">
        <v>1694</v>
      </c>
      <c r="F6" s="707">
        <v>43617</v>
      </c>
      <c r="G6">
        <v>200000</v>
      </c>
      <c r="H6" t="s">
        <v>2057</v>
      </c>
      <c r="I6" t="s">
        <v>1990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18"/>
  <dimension ref="A1:X75"/>
  <sheetViews>
    <sheetView workbookViewId="0">
      <selection activeCell="A2" sqref="A2:A75"/>
    </sheetView>
  </sheetViews>
  <sheetFormatPr defaultRowHeight="12.75"/>
  <cols>
    <col min="1" max="1" width="9.140625" style="8"/>
    <col min="2" max="2" width="9.5703125" customWidth="1"/>
    <col min="3" max="3" width="19.28515625" customWidth="1"/>
    <col min="4" max="4" width="33.140625" customWidth="1"/>
    <col min="5" max="5" width="28.85546875" customWidth="1"/>
    <col min="6" max="6" width="17.85546875" customWidth="1"/>
    <col min="7" max="8" width="18.28515625" customWidth="1"/>
    <col min="9" max="9" width="18.5703125" customWidth="1"/>
    <col min="10" max="10" width="19.85546875" style="707" customWidth="1"/>
    <col min="11" max="11" width="19.85546875" customWidth="1"/>
    <col min="12" max="12" width="19.85546875" style="707" customWidth="1"/>
    <col min="13" max="17" width="19.85546875" customWidth="1"/>
    <col min="18" max="18" width="13.140625" customWidth="1"/>
    <col min="19" max="19" width="13.5703125" customWidth="1"/>
    <col min="20" max="20" width="10.140625" style="707" bestFit="1" customWidth="1"/>
  </cols>
  <sheetData>
    <row r="1" spans="1:24" ht="38.25">
      <c r="A1" s="151" t="s">
        <v>1743</v>
      </c>
      <c r="B1" s="151" t="s">
        <v>1532</v>
      </c>
      <c r="C1" s="152" t="s">
        <v>1533</v>
      </c>
      <c r="D1" s="153" t="s">
        <v>1744</v>
      </c>
      <c r="E1" s="575" t="s">
        <v>1740</v>
      </c>
      <c r="F1" s="153" t="s">
        <v>74</v>
      </c>
      <c r="G1" s="574" t="s">
        <v>30</v>
      </c>
      <c r="H1" s="574" t="s">
        <v>1756</v>
      </c>
      <c r="I1" s="575" t="s">
        <v>1757</v>
      </c>
      <c r="J1" s="755" t="s">
        <v>1758</v>
      </c>
      <c r="K1" s="153" t="s">
        <v>1759</v>
      </c>
      <c r="L1" s="755" t="s">
        <v>1760</v>
      </c>
      <c r="M1" s="575" t="s">
        <v>3</v>
      </c>
      <c r="N1" s="575" t="s">
        <v>76</v>
      </c>
      <c r="O1" s="575" t="s">
        <v>13</v>
      </c>
      <c r="P1" s="686" t="s">
        <v>1962</v>
      </c>
      <c r="Q1" s="694" t="s">
        <v>1989</v>
      </c>
      <c r="R1" s="154" t="s">
        <v>63</v>
      </c>
      <c r="S1" s="154" t="s">
        <v>1727</v>
      </c>
      <c r="T1" s="699" t="s">
        <v>1992</v>
      </c>
      <c r="U1" s="700" t="s">
        <v>1993</v>
      </c>
      <c r="V1" s="700" t="s">
        <v>1994</v>
      </c>
      <c r="W1" s="700" t="s">
        <v>1996</v>
      </c>
      <c r="X1" s="700" t="s">
        <v>1997</v>
      </c>
    </row>
    <row r="2" spans="1:24">
      <c r="A2" s="951" t="s">
        <v>2058</v>
      </c>
      <c r="B2" t="s">
        <v>1578</v>
      </c>
      <c r="C2" t="s">
        <v>1495</v>
      </c>
      <c r="D2" t="s">
        <v>1675</v>
      </c>
      <c r="F2" t="s">
        <v>107</v>
      </c>
      <c r="J2" s="707">
        <v>43296</v>
      </c>
      <c r="K2">
        <v>30</v>
      </c>
      <c r="L2" s="707">
        <v>43326</v>
      </c>
      <c r="Q2" t="s">
        <v>1990</v>
      </c>
      <c r="R2">
        <v>220812.5</v>
      </c>
      <c r="T2" s="707">
        <v>43160</v>
      </c>
      <c r="U2">
        <v>1</v>
      </c>
      <c r="V2">
        <v>0.05</v>
      </c>
      <c r="W2" t="s">
        <v>2057</v>
      </c>
      <c r="X2">
        <v>5</v>
      </c>
    </row>
    <row r="3" spans="1:24">
      <c r="A3" s="951" t="s">
        <v>2058</v>
      </c>
      <c r="B3" t="s">
        <v>1578</v>
      </c>
      <c r="C3" t="s">
        <v>1495</v>
      </c>
      <c r="D3" t="s">
        <v>1675</v>
      </c>
      <c r="F3" t="s">
        <v>107</v>
      </c>
      <c r="J3" s="707">
        <v>43296</v>
      </c>
      <c r="K3">
        <v>30</v>
      </c>
      <c r="L3" s="707">
        <v>43326</v>
      </c>
      <c r="Q3" t="s">
        <v>1990</v>
      </c>
      <c r="R3">
        <v>220812.5</v>
      </c>
      <c r="T3" s="707">
        <v>43191</v>
      </c>
      <c r="U3">
        <v>1</v>
      </c>
      <c r="V3">
        <v>4.7619047619047616E-2</v>
      </c>
      <c r="W3" t="s">
        <v>2057</v>
      </c>
      <c r="X3">
        <v>5</v>
      </c>
    </row>
    <row r="4" spans="1:24">
      <c r="A4" s="951" t="s">
        <v>2058</v>
      </c>
      <c r="B4" t="s">
        <v>1578</v>
      </c>
      <c r="C4" t="s">
        <v>1495</v>
      </c>
      <c r="D4" t="s">
        <v>1675</v>
      </c>
      <c r="F4" t="s">
        <v>107</v>
      </c>
      <c r="J4" s="707">
        <v>43296</v>
      </c>
      <c r="K4">
        <v>30</v>
      </c>
      <c r="L4" s="707">
        <v>43326</v>
      </c>
      <c r="Q4" t="s">
        <v>1990</v>
      </c>
      <c r="R4">
        <v>220812.5</v>
      </c>
      <c r="T4" s="707">
        <v>43221</v>
      </c>
      <c r="U4">
        <v>1</v>
      </c>
      <c r="V4">
        <v>0.05</v>
      </c>
      <c r="W4" t="s">
        <v>2057</v>
      </c>
      <c r="X4">
        <v>5</v>
      </c>
    </row>
    <row r="5" spans="1:24">
      <c r="A5" s="951" t="s">
        <v>2058</v>
      </c>
      <c r="B5" t="s">
        <v>1578</v>
      </c>
      <c r="C5" t="s">
        <v>1495</v>
      </c>
      <c r="D5" t="s">
        <v>1675</v>
      </c>
      <c r="F5" t="s">
        <v>107</v>
      </c>
      <c r="J5" s="707">
        <v>43296</v>
      </c>
      <c r="K5">
        <v>30</v>
      </c>
      <c r="L5" s="707">
        <v>43326</v>
      </c>
      <c r="Q5" t="s">
        <v>1990</v>
      </c>
      <c r="R5">
        <v>220812.5</v>
      </c>
      <c r="T5" s="707">
        <v>43252</v>
      </c>
      <c r="U5">
        <v>1</v>
      </c>
      <c r="V5">
        <v>0.05</v>
      </c>
      <c r="W5" t="s">
        <v>2057</v>
      </c>
      <c r="X5">
        <v>5</v>
      </c>
    </row>
    <row r="6" spans="1:24">
      <c r="A6" s="951" t="s">
        <v>2058</v>
      </c>
      <c r="B6" t="s">
        <v>1579</v>
      </c>
      <c r="C6" t="s">
        <v>1496</v>
      </c>
      <c r="D6" t="s">
        <v>1496</v>
      </c>
      <c r="F6" t="s">
        <v>107</v>
      </c>
      <c r="J6" s="707">
        <v>43296</v>
      </c>
      <c r="K6">
        <v>30</v>
      </c>
      <c r="L6" s="707">
        <v>43326</v>
      </c>
      <c r="Q6" t="s">
        <v>1990</v>
      </c>
      <c r="R6">
        <v>220812.5</v>
      </c>
      <c r="T6" s="707">
        <v>43160</v>
      </c>
      <c r="U6">
        <v>1</v>
      </c>
      <c r="V6">
        <v>0.05</v>
      </c>
      <c r="W6" t="s">
        <v>2057</v>
      </c>
      <c r="X6">
        <v>5</v>
      </c>
    </row>
    <row r="7" spans="1:24">
      <c r="A7" s="951" t="s">
        <v>2058</v>
      </c>
      <c r="B7" t="s">
        <v>1579</v>
      </c>
      <c r="C7" t="s">
        <v>1496</v>
      </c>
      <c r="D7" t="s">
        <v>1496</v>
      </c>
      <c r="F7" t="s">
        <v>107</v>
      </c>
      <c r="J7" s="707">
        <v>43296</v>
      </c>
      <c r="K7">
        <v>30</v>
      </c>
      <c r="L7" s="707">
        <v>43326</v>
      </c>
      <c r="Q7" t="s">
        <v>1990</v>
      </c>
      <c r="R7">
        <v>220812.5</v>
      </c>
      <c r="T7" s="707">
        <v>43191</v>
      </c>
      <c r="U7">
        <v>1</v>
      </c>
      <c r="V7">
        <v>4.7619047619047616E-2</v>
      </c>
      <c r="W7" t="s">
        <v>2057</v>
      </c>
      <c r="X7">
        <v>5</v>
      </c>
    </row>
    <row r="8" spans="1:24">
      <c r="A8" s="951" t="s">
        <v>2058</v>
      </c>
      <c r="B8" t="s">
        <v>1579</v>
      </c>
      <c r="C8" t="s">
        <v>1496</v>
      </c>
      <c r="D8" t="s">
        <v>1496</v>
      </c>
      <c r="F8" t="s">
        <v>107</v>
      </c>
      <c r="J8" s="707">
        <v>43296</v>
      </c>
      <c r="K8">
        <v>30</v>
      </c>
      <c r="L8" s="707">
        <v>43326</v>
      </c>
      <c r="Q8" t="s">
        <v>1990</v>
      </c>
      <c r="R8">
        <v>220812.5</v>
      </c>
      <c r="T8" s="707">
        <v>43221</v>
      </c>
      <c r="U8">
        <v>1</v>
      </c>
      <c r="V8">
        <v>0.05</v>
      </c>
      <c r="W8" t="s">
        <v>2057</v>
      </c>
      <c r="X8">
        <v>5</v>
      </c>
    </row>
    <row r="9" spans="1:24">
      <c r="A9" s="951" t="s">
        <v>2058</v>
      </c>
      <c r="B9" t="s">
        <v>1579</v>
      </c>
      <c r="C9" t="s">
        <v>1496</v>
      </c>
      <c r="D9" t="s">
        <v>1496</v>
      </c>
      <c r="F9" t="s">
        <v>107</v>
      </c>
      <c r="J9" s="707">
        <v>43296</v>
      </c>
      <c r="K9">
        <v>30</v>
      </c>
      <c r="L9" s="707">
        <v>43326</v>
      </c>
      <c r="Q9" t="s">
        <v>1990</v>
      </c>
      <c r="R9">
        <v>220812.5</v>
      </c>
      <c r="T9" s="707">
        <v>43252</v>
      </c>
      <c r="U9">
        <v>1</v>
      </c>
      <c r="V9">
        <v>0.05</v>
      </c>
      <c r="W9" t="s">
        <v>2057</v>
      </c>
      <c r="X9">
        <v>5</v>
      </c>
    </row>
    <row r="10" spans="1:24">
      <c r="A10" s="951" t="s">
        <v>2058</v>
      </c>
      <c r="B10" t="s">
        <v>1580</v>
      </c>
      <c r="C10" t="s">
        <v>1497</v>
      </c>
      <c r="D10" t="s">
        <v>1498</v>
      </c>
      <c r="F10" t="s">
        <v>107</v>
      </c>
      <c r="J10" s="707">
        <v>43296</v>
      </c>
      <c r="K10">
        <v>30</v>
      </c>
      <c r="L10" s="707">
        <v>43326</v>
      </c>
      <c r="Q10" t="s">
        <v>1990</v>
      </c>
      <c r="R10">
        <v>220812.5</v>
      </c>
      <c r="T10" s="707">
        <v>43160</v>
      </c>
      <c r="U10">
        <v>1</v>
      </c>
      <c r="V10">
        <v>0.05</v>
      </c>
      <c r="W10" t="s">
        <v>2057</v>
      </c>
      <c r="X10">
        <v>5</v>
      </c>
    </row>
    <row r="11" spans="1:24">
      <c r="A11" s="951" t="s">
        <v>2058</v>
      </c>
      <c r="B11" t="s">
        <v>1580</v>
      </c>
      <c r="C11" t="s">
        <v>1497</v>
      </c>
      <c r="D11" t="s">
        <v>1498</v>
      </c>
      <c r="F11" t="s">
        <v>107</v>
      </c>
      <c r="J11" s="707">
        <v>43296</v>
      </c>
      <c r="K11">
        <v>30</v>
      </c>
      <c r="L11" s="707">
        <v>43326</v>
      </c>
      <c r="Q11" t="s">
        <v>1990</v>
      </c>
      <c r="R11">
        <v>220812.5</v>
      </c>
      <c r="T11" s="707">
        <v>43191</v>
      </c>
      <c r="U11">
        <v>1</v>
      </c>
      <c r="V11">
        <v>4.7619047619047616E-2</v>
      </c>
      <c r="W11" t="s">
        <v>2057</v>
      </c>
      <c r="X11">
        <v>5</v>
      </c>
    </row>
    <row r="12" spans="1:24">
      <c r="A12" s="951" t="s">
        <v>2058</v>
      </c>
      <c r="B12" t="s">
        <v>1580</v>
      </c>
      <c r="C12" t="s">
        <v>1497</v>
      </c>
      <c r="D12" t="s">
        <v>1498</v>
      </c>
      <c r="F12" t="s">
        <v>107</v>
      </c>
      <c r="J12" s="707">
        <v>43296</v>
      </c>
      <c r="K12">
        <v>30</v>
      </c>
      <c r="L12" s="707">
        <v>43326</v>
      </c>
      <c r="Q12" t="s">
        <v>1990</v>
      </c>
      <c r="R12">
        <v>220812.5</v>
      </c>
      <c r="T12" s="707">
        <v>43221</v>
      </c>
      <c r="U12">
        <v>1</v>
      </c>
      <c r="V12">
        <v>0.05</v>
      </c>
      <c r="W12" t="s">
        <v>2057</v>
      </c>
      <c r="X12">
        <v>5</v>
      </c>
    </row>
    <row r="13" spans="1:24">
      <c r="A13" s="951" t="s">
        <v>2058</v>
      </c>
      <c r="B13" t="s">
        <v>1580</v>
      </c>
      <c r="C13" t="s">
        <v>1497</v>
      </c>
      <c r="D13" t="s">
        <v>1498</v>
      </c>
      <c r="F13" t="s">
        <v>107</v>
      </c>
      <c r="J13" s="707">
        <v>43296</v>
      </c>
      <c r="K13">
        <v>30</v>
      </c>
      <c r="L13" s="707">
        <v>43326</v>
      </c>
      <c r="Q13" t="s">
        <v>1990</v>
      </c>
      <c r="R13">
        <v>220812.5</v>
      </c>
      <c r="T13" s="707">
        <v>43252</v>
      </c>
      <c r="U13">
        <v>1</v>
      </c>
      <c r="V13">
        <v>0.05</v>
      </c>
      <c r="W13" t="s">
        <v>2057</v>
      </c>
      <c r="X13">
        <v>5</v>
      </c>
    </row>
    <row r="14" spans="1:24">
      <c r="A14" s="951" t="s">
        <v>2058</v>
      </c>
      <c r="B14" t="s">
        <v>1582</v>
      </c>
      <c r="C14" t="s">
        <v>1676</v>
      </c>
      <c r="D14" t="s">
        <v>1596</v>
      </c>
      <c r="F14" t="s">
        <v>107</v>
      </c>
      <c r="J14" s="707">
        <v>43296</v>
      </c>
      <c r="K14">
        <v>30</v>
      </c>
      <c r="L14" s="707">
        <v>43326</v>
      </c>
      <c r="Q14" t="s">
        <v>1990</v>
      </c>
      <c r="R14">
        <v>220812.5</v>
      </c>
      <c r="T14" s="707">
        <v>43160</v>
      </c>
      <c r="U14">
        <v>1</v>
      </c>
      <c r="V14">
        <v>0.05</v>
      </c>
      <c r="W14" t="s">
        <v>2057</v>
      </c>
      <c r="X14">
        <v>5</v>
      </c>
    </row>
    <row r="15" spans="1:24">
      <c r="A15" s="951" t="s">
        <v>2058</v>
      </c>
      <c r="B15" t="s">
        <v>1582</v>
      </c>
      <c r="C15" t="s">
        <v>1676</v>
      </c>
      <c r="D15" t="s">
        <v>1596</v>
      </c>
      <c r="F15" t="s">
        <v>107</v>
      </c>
      <c r="J15" s="707">
        <v>43296</v>
      </c>
      <c r="K15">
        <v>30</v>
      </c>
      <c r="L15" s="707">
        <v>43326</v>
      </c>
      <c r="Q15" t="s">
        <v>1990</v>
      </c>
      <c r="R15">
        <v>220812.5</v>
      </c>
      <c r="T15" s="707">
        <v>43191</v>
      </c>
      <c r="U15">
        <v>1</v>
      </c>
      <c r="V15">
        <v>4.7619047619047616E-2</v>
      </c>
      <c r="W15" t="s">
        <v>2057</v>
      </c>
      <c r="X15">
        <v>5</v>
      </c>
    </row>
    <row r="16" spans="1:24">
      <c r="A16" s="951" t="s">
        <v>2058</v>
      </c>
      <c r="B16" t="s">
        <v>1582</v>
      </c>
      <c r="C16" t="s">
        <v>1676</v>
      </c>
      <c r="D16" t="s">
        <v>1596</v>
      </c>
      <c r="F16" t="s">
        <v>107</v>
      </c>
      <c r="J16" s="707">
        <v>43296</v>
      </c>
      <c r="K16">
        <v>30</v>
      </c>
      <c r="L16" s="707">
        <v>43326</v>
      </c>
      <c r="Q16" t="s">
        <v>1990</v>
      </c>
      <c r="R16">
        <v>220812.5</v>
      </c>
      <c r="T16" s="707">
        <v>43221</v>
      </c>
      <c r="U16">
        <v>1</v>
      </c>
      <c r="V16">
        <v>0.05</v>
      </c>
      <c r="W16" t="s">
        <v>2057</v>
      </c>
      <c r="X16">
        <v>5</v>
      </c>
    </row>
    <row r="17" spans="1:24">
      <c r="A17" s="951" t="s">
        <v>2058</v>
      </c>
      <c r="B17" t="s">
        <v>1582</v>
      </c>
      <c r="C17" t="s">
        <v>1676</v>
      </c>
      <c r="D17" t="s">
        <v>1596</v>
      </c>
      <c r="F17" t="s">
        <v>107</v>
      </c>
      <c r="J17" s="707">
        <v>43296</v>
      </c>
      <c r="K17">
        <v>30</v>
      </c>
      <c r="L17" s="707">
        <v>43326</v>
      </c>
      <c r="Q17" t="s">
        <v>1990</v>
      </c>
      <c r="R17">
        <v>220812.5</v>
      </c>
      <c r="T17" s="707">
        <v>43252</v>
      </c>
      <c r="U17">
        <v>1</v>
      </c>
      <c r="V17">
        <v>0.05</v>
      </c>
      <c r="W17" t="s">
        <v>2057</v>
      </c>
      <c r="X17">
        <v>5</v>
      </c>
    </row>
    <row r="18" spans="1:24">
      <c r="A18" s="951" t="s">
        <v>2058</v>
      </c>
      <c r="B18" t="s">
        <v>1583</v>
      </c>
      <c r="C18" t="s">
        <v>86</v>
      </c>
      <c r="D18" t="s">
        <v>86</v>
      </c>
      <c r="F18" t="s">
        <v>107</v>
      </c>
      <c r="J18" s="707">
        <v>43419</v>
      </c>
      <c r="K18">
        <v>30</v>
      </c>
      <c r="L18" s="707">
        <v>43449</v>
      </c>
      <c r="Q18" t="s">
        <v>1990</v>
      </c>
      <c r="R18">
        <v>1988500</v>
      </c>
      <c r="T18" s="707">
        <v>43282</v>
      </c>
      <c r="U18">
        <v>1</v>
      </c>
      <c r="V18">
        <v>4.5454545454545456E-2</v>
      </c>
      <c r="W18" t="s">
        <v>2057</v>
      </c>
      <c r="X18">
        <v>5</v>
      </c>
    </row>
    <row r="19" spans="1:24">
      <c r="A19" s="951" t="s">
        <v>2058</v>
      </c>
      <c r="B19" t="s">
        <v>1583</v>
      </c>
      <c r="C19" t="s">
        <v>86</v>
      </c>
      <c r="D19" t="s">
        <v>86</v>
      </c>
      <c r="F19" t="s">
        <v>107</v>
      </c>
      <c r="J19" s="707">
        <v>43419</v>
      </c>
      <c r="K19">
        <v>30</v>
      </c>
      <c r="L19" s="707">
        <v>43449</v>
      </c>
      <c r="Q19" t="s">
        <v>1990</v>
      </c>
      <c r="R19">
        <v>1988500</v>
      </c>
      <c r="T19" s="707">
        <v>43313</v>
      </c>
      <c r="U19">
        <v>1</v>
      </c>
      <c r="V19">
        <v>4.3478260869565216E-2</v>
      </c>
      <c r="W19" t="s">
        <v>2057</v>
      </c>
      <c r="X19">
        <v>5</v>
      </c>
    </row>
    <row r="20" spans="1:24">
      <c r="A20" s="951" t="s">
        <v>2058</v>
      </c>
      <c r="B20" t="s">
        <v>1583</v>
      </c>
      <c r="C20" t="s">
        <v>86</v>
      </c>
      <c r="D20" t="s">
        <v>86</v>
      </c>
      <c r="F20" t="s">
        <v>107</v>
      </c>
      <c r="J20" s="707">
        <v>43419</v>
      </c>
      <c r="K20">
        <v>30</v>
      </c>
      <c r="L20" s="707">
        <v>43449</v>
      </c>
      <c r="Q20" t="s">
        <v>1990</v>
      </c>
      <c r="R20">
        <v>1988500</v>
      </c>
      <c r="T20" s="707">
        <v>43344</v>
      </c>
      <c r="U20">
        <v>1</v>
      </c>
      <c r="V20">
        <v>0.05</v>
      </c>
      <c r="W20" t="s">
        <v>2057</v>
      </c>
      <c r="X20">
        <v>5</v>
      </c>
    </row>
    <row r="21" spans="1:24">
      <c r="A21" s="951" t="s">
        <v>2058</v>
      </c>
      <c r="B21" t="s">
        <v>1583</v>
      </c>
      <c r="C21" t="s">
        <v>86</v>
      </c>
      <c r="D21" t="s">
        <v>86</v>
      </c>
      <c r="F21" t="s">
        <v>107</v>
      </c>
      <c r="J21" s="707">
        <v>43419</v>
      </c>
      <c r="K21">
        <v>30</v>
      </c>
      <c r="L21" s="707">
        <v>43449</v>
      </c>
      <c r="Q21" t="s">
        <v>1990</v>
      </c>
      <c r="R21">
        <v>1988500</v>
      </c>
      <c r="T21" s="707">
        <v>43374</v>
      </c>
      <c r="U21">
        <v>1</v>
      </c>
      <c r="V21">
        <v>4.3478260869565216E-2</v>
      </c>
      <c r="W21" t="s">
        <v>2057</v>
      </c>
      <c r="X21">
        <v>5</v>
      </c>
    </row>
    <row r="22" spans="1:24">
      <c r="A22" s="951" t="s">
        <v>2058</v>
      </c>
      <c r="B22" t="s">
        <v>1584</v>
      </c>
      <c r="C22" t="s">
        <v>1677</v>
      </c>
      <c r="D22" t="s">
        <v>1678</v>
      </c>
      <c r="F22" t="s">
        <v>107</v>
      </c>
      <c r="J22" s="707">
        <v>43480</v>
      </c>
      <c r="K22">
        <v>30</v>
      </c>
      <c r="L22" s="707">
        <v>43510</v>
      </c>
      <c r="Q22" t="s">
        <v>1990</v>
      </c>
      <c r="R22">
        <v>377750</v>
      </c>
      <c r="T22" s="707">
        <v>43405</v>
      </c>
      <c r="U22">
        <v>1</v>
      </c>
      <c r="V22">
        <v>4.7619047619047616E-2</v>
      </c>
      <c r="W22" t="s">
        <v>2057</v>
      </c>
      <c r="X22">
        <v>5</v>
      </c>
    </row>
    <row r="23" spans="1:24">
      <c r="A23" s="951" t="s">
        <v>2058</v>
      </c>
      <c r="B23" t="s">
        <v>1584</v>
      </c>
      <c r="C23" t="s">
        <v>1677</v>
      </c>
      <c r="D23" t="s">
        <v>1678</v>
      </c>
      <c r="F23" t="s">
        <v>107</v>
      </c>
      <c r="J23" s="707">
        <v>43480</v>
      </c>
      <c r="K23">
        <v>30</v>
      </c>
      <c r="L23" s="707">
        <v>43510</v>
      </c>
      <c r="Q23" t="s">
        <v>1990</v>
      </c>
      <c r="R23">
        <v>377750</v>
      </c>
      <c r="T23" s="707">
        <v>43435</v>
      </c>
      <c r="U23">
        <v>1</v>
      </c>
      <c r="V23">
        <v>4.7619047619047616E-2</v>
      </c>
      <c r="W23" t="s">
        <v>2057</v>
      </c>
      <c r="X23">
        <v>5</v>
      </c>
    </row>
    <row r="24" spans="1:24">
      <c r="A24" s="951" t="s">
        <v>2058</v>
      </c>
      <c r="B24" t="s">
        <v>127</v>
      </c>
      <c r="C24" t="s">
        <v>1500</v>
      </c>
      <c r="D24" t="s">
        <v>1458</v>
      </c>
      <c r="F24" t="s">
        <v>107</v>
      </c>
      <c r="J24" s="707">
        <v>43480</v>
      </c>
      <c r="K24">
        <v>30</v>
      </c>
      <c r="L24" s="707">
        <v>43510</v>
      </c>
      <c r="Q24" t="s">
        <v>1990</v>
      </c>
      <c r="R24">
        <v>377750</v>
      </c>
      <c r="T24" s="707">
        <v>43405</v>
      </c>
      <c r="U24">
        <v>1</v>
      </c>
      <c r="V24">
        <v>4.7619047619047616E-2</v>
      </c>
      <c r="W24" t="s">
        <v>2057</v>
      </c>
      <c r="X24">
        <v>5</v>
      </c>
    </row>
    <row r="25" spans="1:24">
      <c r="A25" s="951" t="s">
        <v>2058</v>
      </c>
      <c r="B25" t="s">
        <v>127</v>
      </c>
      <c r="C25" t="s">
        <v>1500</v>
      </c>
      <c r="D25" t="s">
        <v>1458</v>
      </c>
      <c r="F25" t="s">
        <v>107</v>
      </c>
      <c r="J25" s="707">
        <v>43480</v>
      </c>
      <c r="K25">
        <v>30</v>
      </c>
      <c r="L25" s="707">
        <v>43510</v>
      </c>
      <c r="Q25" t="s">
        <v>1990</v>
      </c>
      <c r="R25">
        <v>377750</v>
      </c>
      <c r="T25" s="707">
        <v>43435</v>
      </c>
      <c r="U25">
        <v>1</v>
      </c>
      <c r="V25">
        <v>4.7619047619047616E-2</v>
      </c>
      <c r="W25" t="s">
        <v>2057</v>
      </c>
      <c r="X25">
        <v>5</v>
      </c>
    </row>
    <row r="26" spans="1:24">
      <c r="A26" s="951" t="s">
        <v>2058</v>
      </c>
      <c r="B26" t="s">
        <v>128</v>
      </c>
      <c r="C26" t="s">
        <v>1501</v>
      </c>
      <c r="D26" t="s">
        <v>1585</v>
      </c>
      <c r="F26" t="s">
        <v>107</v>
      </c>
      <c r="J26" s="707">
        <v>43539</v>
      </c>
      <c r="K26">
        <v>30</v>
      </c>
      <c r="L26" s="707">
        <v>43569</v>
      </c>
      <c r="Q26" t="s">
        <v>1990</v>
      </c>
      <c r="R26">
        <v>87230.769230769205</v>
      </c>
      <c r="T26" s="707">
        <v>43466</v>
      </c>
      <c r="U26">
        <v>1</v>
      </c>
      <c r="V26">
        <v>5.8823529411764705E-2</v>
      </c>
      <c r="W26" t="s">
        <v>2057</v>
      </c>
      <c r="X26">
        <v>5</v>
      </c>
    </row>
    <row r="27" spans="1:24">
      <c r="A27" s="951" t="s">
        <v>2058</v>
      </c>
      <c r="B27" t="s">
        <v>128</v>
      </c>
      <c r="C27" t="s">
        <v>1501</v>
      </c>
      <c r="D27" t="s">
        <v>1585</v>
      </c>
      <c r="F27" t="s">
        <v>107</v>
      </c>
      <c r="J27" s="707">
        <v>43539</v>
      </c>
      <c r="K27">
        <v>30</v>
      </c>
      <c r="L27" s="707">
        <v>43569</v>
      </c>
      <c r="Q27" t="s">
        <v>1990</v>
      </c>
      <c r="R27">
        <v>87230.769230769205</v>
      </c>
      <c r="T27" s="707">
        <v>43497</v>
      </c>
      <c r="U27">
        <v>1</v>
      </c>
      <c r="V27">
        <v>5.2631578947368418E-2</v>
      </c>
      <c r="W27" t="s">
        <v>2057</v>
      </c>
      <c r="X27">
        <v>5</v>
      </c>
    </row>
    <row r="28" spans="1:24">
      <c r="A28" s="951" t="s">
        <v>2058</v>
      </c>
      <c r="B28" t="s">
        <v>130</v>
      </c>
      <c r="C28" t="s">
        <v>1503</v>
      </c>
      <c r="D28" t="s">
        <v>88</v>
      </c>
      <c r="F28" t="s">
        <v>107</v>
      </c>
      <c r="J28" s="707">
        <v>43539</v>
      </c>
      <c r="K28">
        <v>30</v>
      </c>
      <c r="L28" s="707">
        <v>43569</v>
      </c>
      <c r="Q28" t="s">
        <v>1990</v>
      </c>
      <c r="R28">
        <v>87230.769230769205</v>
      </c>
      <c r="T28" s="707">
        <v>43466</v>
      </c>
      <c r="U28">
        <v>1</v>
      </c>
      <c r="V28">
        <v>5.8823529411764705E-2</v>
      </c>
      <c r="W28" t="s">
        <v>2057</v>
      </c>
      <c r="X28">
        <v>5</v>
      </c>
    </row>
    <row r="29" spans="1:24">
      <c r="A29" s="951" t="s">
        <v>2058</v>
      </c>
      <c r="B29" t="s">
        <v>130</v>
      </c>
      <c r="C29" t="s">
        <v>1503</v>
      </c>
      <c r="D29" t="s">
        <v>88</v>
      </c>
      <c r="F29" t="s">
        <v>107</v>
      </c>
      <c r="J29" s="707">
        <v>43539</v>
      </c>
      <c r="K29">
        <v>30</v>
      </c>
      <c r="L29" s="707">
        <v>43569</v>
      </c>
      <c r="Q29" t="s">
        <v>1990</v>
      </c>
      <c r="R29">
        <v>87230.769230769205</v>
      </c>
      <c r="T29" s="707">
        <v>43497</v>
      </c>
      <c r="U29">
        <v>1</v>
      </c>
      <c r="V29">
        <v>5.2631578947368418E-2</v>
      </c>
      <c r="W29" t="s">
        <v>2057</v>
      </c>
      <c r="X29">
        <v>5</v>
      </c>
    </row>
    <row r="30" spans="1:24">
      <c r="A30" s="951" t="s">
        <v>2058</v>
      </c>
      <c r="B30" t="s">
        <v>131</v>
      </c>
      <c r="C30" t="s">
        <v>1504</v>
      </c>
      <c r="D30" t="s">
        <v>1460</v>
      </c>
      <c r="F30" t="s">
        <v>107</v>
      </c>
      <c r="J30" s="707">
        <v>43539</v>
      </c>
      <c r="K30">
        <v>30</v>
      </c>
      <c r="L30" s="707">
        <v>43569</v>
      </c>
      <c r="Q30" t="s">
        <v>1990</v>
      </c>
      <c r="R30">
        <v>87230.769230769205</v>
      </c>
      <c r="T30" s="707">
        <v>43466</v>
      </c>
      <c r="U30">
        <v>1</v>
      </c>
      <c r="V30">
        <v>5.8823529411764705E-2</v>
      </c>
      <c r="W30" t="s">
        <v>2057</v>
      </c>
      <c r="X30">
        <v>5</v>
      </c>
    </row>
    <row r="31" spans="1:24">
      <c r="A31" s="951" t="s">
        <v>2058</v>
      </c>
      <c r="B31" t="s">
        <v>131</v>
      </c>
      <c r="C31" t="s">
        <v>1504</v>
      </c>
      <c r="D31" t="s">
        <v>1460</v>
      </c>
      <c r="F31" t="s">
        <v>107</v>
      </c>
      <c r="J31" s="707">
        <v>43539</v>
      </c>
      <c r="K31">
        <v>30</v>
      </c>
      <c r="L31" s="707">
        <v>43569</v>
      </c>
      <c r="Q31" t="s">
        <v>1990</v>
      </c>
      <c r="R31">
        <v>87230.769230769205</v>
      </c>
      <c r="T31" s="707">
        <v>43497</v>
      </c>
      <c r="U31">
        <v>1</v>
      </c>
      <c r="V31">
        <v>5.2631578947368418E-2</v>
      </c>
      <c r="W31" t="s">
        <v>2057</v>
      </c>
      <c r="X31">
        <v>5</v>
      </c>
    </row>
    <row r="32" spans="1:24">
      <c r="A32" s="951" t="s">
        <v>2058</v>
      </c>
      <c r="B32" t="s">
        <v>134</v>
      </c>
      <c r="C32" t="s">
        <v>1507</v>
      </c>
      <c r="D32" t="s">
        <v>91</v>
      </c>
      <c r="F32" t="s">
        <v>107</v>
      </c>
      <c r="J32" s="707">
        <v>43419</v>
      </c>
      <c r="K32">
        <v>30</v>
      </c>
      <c r="L32" s="707">
        <v>43449</v>
      </c>
      <c r="Q32" t="s">
        <v>1990</v>
      </c>
      <c r="R32">
        <v>225000</v>
      </c>
      <c r="T32" s="707">
        <v>43344</v>
      </c>
      <c r="U32">
        <v>1</v>
      </c>
      <c r="V32">
        <v>0.05</v>
      </c>
      <c r="W32" t="s">
        <v>2057</v>
      </c>
      <c r="X32">
        <v>5</v>
      </c>
    </row>
    <row r="33" spans="1:24">
      <c r="A33" s="951" t="s">
        <v>2058</v>
      </c>
      <c r="B33" t="s">
        <v>134</v>
      </c>
      <c r="C33" t="s">
        <v>1507</v>
      </c>
      <c r="D33" t="s">
        <v>91</v>
      </c>
      <c r="F33" t="s">
        <v>107</v>
      </c>
      <c r="J33" s="707">
        <v>43419</v>
      </c>
      <c r="K33">
        <v>30</v>
      </c>
      <c r="L33" s="707">
        <v>43449</v>
      </c>
      <c r="Q33" t="s">
        <v>1990</v>
      </c>
      <c r="R33">
        <v>225000</v>
      </c>
      <c r="T33" s="707">
        <v>43374</v>
      </c>
      <c r="U33">
        <v>1</v>
      </c>
      <c r="V33">
        <v>4.3478260869565216E-2</v>
      </c>
      <c r="W33" t="s">
        <v>2057</v>
      </c>
      <c r="X33">
        <v>5</v>
      </c>
    </row>
    <row r="34" spans="1:24">
      <c r="A34" s="951" t="s">
        <v>2058</v>
      </c>
      <c r="B34" t="s">
        <v>135</v>
      </c>
      <c r="C34" t="s">
        <v>1586</v>
      </c>
      <c r="D34" t="s">
        <v>1587</v>
      </c>
      <c r="F34" t="s">
        <v>107</v>
      </c>
      <c r="J34" s="707">
        <v>43539</v>
      </c>
      <c r="K34">
        <v>30</v>
      </c>
      <c r="L34" s="707">
        <v>43569</v>
      </c>
      <c r="Q34" t="s">
        <v>1990</v>
      </c>
      <c r="R34">
        <v>87230.769230769205</v>
      </c>
      <c r="T34" s="707">
        <v>43466</v>
      </c>
      <c r="U34">
        <v>1</v>
      </c>
      <c r="V34">
        <v>5.8823529411764705E-2</v>
      </c>
      <c r="W34" t="s">
        <v>2057</v>
      </c>
      <c r="X34">
        <v>5</v>
      </c>
    </row>
    <row r="35" spans="1:24">
      <c r="A35" s="951" t="s">
        <v>2058</v>
      </c>
      <c r="B35" t="s">
        <v>135</v>
      </c>
      <c r="C35" t="s">
        <v>1586</v>
      </c>
      <c r="D35" t="s">
        <v>1587</v>
      </c>
      <c r="F35" t="s">
        <v>107</v>
      </c>
      <c r="J35" s="707">
        <v>43539</v>
      </c>
      <c r="K35">
        <v>30</v>
      </c>
      <c r="L35" s="707">
        <v>43569</v>
      </c>
      <c r="Q35" t="s">
        <v>1990</v>
      </c>
      <c r="R35">
        <v>87230.769230769205</v>
      </c>
      <c r="T35" s="707">
        <v>43497</v>
      </c>
      <c r="U35">
        <v>1</v>
      </c>
      <c r="V35">
        <v>5.2631578947368418E-2</v>
      </c>
      <c r="W35" t="s">
        <v>2057</v>
      </c>
      <c r="X35">
        <v>5</v>
      </c>
    </row>
    <row r="36" spans="1:24">
      <c r="A36" s="951" t="s">
        <v>2058</v>
      </c>
      <c r="B36" t="s">
        <v>137</v>
      </c>
      <c r="C36" t="s">
        <v>1509</v>
      </c>
      <c r="D36" t="s">
        <v>93</v>
      </c>
      <c r="F36" t="s">
        <v>107</v>
      </c>
      <c r="J36" s="707">
        <v>43539</v>
      </c>
      <c r="K36">
        <v>30</v>
      </c>
      <c r="L36" s="707">
        <v>43569</v>
      </c>
      <c r="Q36" t="s">
        <v>1990</v>
      </c>
      <c r="R36">
        <v>87230.769230769205</v>
      </c>
      <c r="T36" s="707">
        <v>43466</v>
      </c>
      <c r="U36">
        <v>1</v>
      </c>
      <c r="V36">
        <v>5.8823529411764705E-2</v>
      </c>
      <c r="W36" t="s">
        <v>2057</v>
      </c>
      <c r="X36">
        <v>5</v>
      </c>
    </row>
    <row r="37" spans="1:24">
      <c r="A37" s="951" t="s">
        <v>2058</v>
      </c>
      <c r="B37" t="s">
        <v>137</v>
      </c>
      <c r="C37" t="s">
        <v>1509</v>
      </c>
      <c r="D37" t="s">
        <v>93</v>
      </c>
      <c r="F37" t="s">
        <v>107</v>
      </c>
      <c r="J37" s="707">
        <v>43539</v>
      </c>
      <c r="K37">
        <v>30</v>
      </c>
      <c r="L37" s="707">
        <v>43569</v>
      </c>
      <c r="Q37" t="s">
        <v>1990</v>
      </c>
      <c r="R37">
        <v>87230.769230769205</v>
      </c>
      <c r="T37" s="707">
        <v>43497</v>
      </c>
      <c r="U37">
        <v>1</v>
      </c>
      <c r="V37">
        <v>5.2631578947368418E-2</v>
      </c>
      <c r="W37" t="s">
        <v>2057</v>
      </c>
      <c r="X37">
        <v>5</v>
      </c>
    </row>
    <row r="38" spans="1:24">
      <c r="A38" s="951" t="s">
        <v>2058</v>
      </c>
      <c r="B38" t="s">
        <v>139</v>
      </c>
      <c r="C38" t="s">
        <v>1679</v>
      </c>
      <c r="D38" t="s">
        <v>1534</v>
      </c>
      <c r="F38" t="s">
        <v>107</v>
      </c>
      <c r="J38" s="707">
        <v>43539</v>
      </c>
      <c r="K38">
        <v>30</v>
      </c>
      <c r="L38" s="707">
        <v>43569</v>
      </c>
      <c r="Q38" t="s">
        <v>1990</v>
      </c>
      <c r="R38">
        <v>87230.769230769205</v>
      </c>
      <c r="T38" s="707">
        <v>43466</v>
      </c>
      <c r="U38">
        <v>1</v>
      </c>
      <c r="V38">
        <v>5.8823529411764705E-2</v>
      </c>
      <c r="W38" t="s">
        <v>2057</v>
      </c>
      <c r="X38">
        <v>5</v>
      </c>
    </row>
    <row r="39" spans="1:24">
      <c r="A39" s="951" t="s">
        <v>2058</v>
      </c>
      <c r="B39" t="s">
        <v>139</v>
      </c>
      <c r="C39" t="s">
        <v>1679</v>
      </c>
      <c r="D39" t="s">
        <v>1534</v>
      </c>
      <c r="F39" t="s">
        <v>107</v>
      </c>
      <c r="J39" s="707">
        <v>43539</v>
      </c>
      <c r="K39">
        <v>30</v>
      </c>
      <c r="L39" s="707">
        <v>43569</v>
      </c>
      <c r="Q39" t="s">
        <v>1990</v>
      </c>
      <c r="R39">
        <v>87230.769230769205</v>
      </c>
      <c r="T39" s="707">
        <v>43497</v>
      </c>
      <c r="U39">
        <v>1</v>
      </c>
      <c r="V39">
        <v>5.2631578947368418E-2</v>
      </c>
      <c r="W39" t="s">
        <v>2057</v>
      </c>
      <c r="X39">
        <v>5</v>
      </c>
    </row>
    <row r="40" spans="1:24">
      <c r="A40" s="951" t="s">
        <v>2058</v>
      </c>
      <c r="B40" t="s">
        <v>145</v>
      </c>
      <c r="C40" t="s">
        <v>1589</v>
      </c>
      <c r="D40" t="s">
        <v>1680</v>
      </c>
      <c r="F40" t="s">
        <v>107</v>
      </c>
      <c r="J40" s="707">
        <v>43539</v>
      </c>
      <c r="K40">
        <v>30</v>
      </c>
      <c r="L40" s="707">
        <v>43569</v>
      </c>
      <c r="Q40" t="s">
        <v>1990</v>
      </c>
      <c r="R40">
        <v>87230.769230769205</v>
      </c>
      <c r="T40" s="707">
        <v>43466</v>
      </c>
      <c r="U40">
        <v>1</v>
      </c>
      <c r="V40">
        <v>5.8823529411764705E-2</v>
      </c>
      <c r="W40" t="s">
        <v>2057</v>
      </c>
      <c r="X40">
        <v>5</v>
      </c>
    </row>
    <row r="41" spans="1:24">
      <c r="A41" s="951" t="s">
        <v>2058</v>
      </c>
      <c r="B41" t="s">
        <v>145</v>
      </c>
      <c r="C41" t="s">
        <v>1589</v>
      </c>
      <c r="D41" t="s">
        <v>1680</v>
      </c>
      <c r="F41" t="s">
        <v>107</v>
      </c>
      <c r="J41" s="707">
        <v>43539</v>
      </c>
      <c r="K41">
        <v>30</v>
      </c>
      <c r="L41" s="707">
        <v>43569</v>
      </c>
      <c r="Q41" t="s">
        <v>1990</v>
      </c>
      <c r="R41">
        <v>87230.769230769205</v>
      </c>
      <c r="T41" s="707">
        <v>43497</v>
      </c>
      <c r="U41">
        <v>1</v>
      </c>
      <c r="V41">
        <v>5.2631578947368418E-2</v>
      </c>
      <c r="W41" t="s">
        <v>2057</v>
      </c>
      <c r="X41">
        <v>5</v>
      </c>
    </row>
    <row r="42" spans="1:24">
      <c r="A42" s="951" t="s">
        <v>2058</v>
      </c>
      <c r="B42" t="s">
        <v>146</v>
      </c>
      <c r="C42" t="s">
        <v>1590</v>
      </c>
      <c r="D42" t="s">
        <v>1540</v>
      </c>
      <c r="F42" t="s">
        <v>107</v>
      </c>
      <c r="J42" s="707">
        <v>43539</v>
      </c>
      <c r="K42">
        <v>30</v>
      </c>
      <c r="L42" s="707">
        <v>43569</v>
      </c>
      <c r="Q42" t="s">
        <v>1990</v>
      </c>
      <c r="R42">
        <v>87230.769230769205</v>
      </c>
      <c r="T42" s="707">
        <v>43466</v>
      </c>
      <c r="U42">
        <v>1</v>
      </c>
      <c r="V42">
        <v>5.8823529411764705E-2</v>
      </c>
      <c r="W42" t="s">
        <v>2057</v>
      </c>
      <c r="X42">
        <v>5</v>
      </c>
    </row>
    <row r="43" spans="1:24">
      <c r="A43" s="951" t="s">
        <v>2058</v>
      </c>
      <c r="B43" t="s">
        <v>146</v>
      </c>
      <c r="C43" t="s">
        <v>1590</v>
      </c>
      <c r="D43" t="s">
        <v>1540</v>
      </c>
      <c r="F43" t="s">
        <v>107</v>
      </c>
      <c r="J43" s="707">
        <v>43539</v>
      </c>
      <c r="K43">
        <v>30</v>
      </c>
      <c r="L43" s="707">
        <v>43569</v>
      </c>
      <c r="Q43" t="s">
        <v>1990</v>
      </c>
      <c r="R43">
        <v>87230.769230769205</v>
      </c>
      <c r="T43" s="707">
        <v>43497</v>
      </c>
      <c r="U43">
        <v>1</v>
      </c>
      <c r="V43">
        <v>5.2631578947368418E-2</v>
      </c>
      <c r="W43" t="s">
        <v>2057</v>
      </c>
      <c r="X43">
        <v>5</v>
      </c>
    </row>
    <row r="44" spans="1:24">
      <c r="A44" s="951" t="s">
        <v>2058</v>
      </c>
      <c r="B44" t="s">
        <v>160</v>
      </c>
      <c r="C44" t="s">
        <v>1512</v>
      </c>
      <c r="D44" t="s">
        <v>1591</v>
      </c>
      <c r="F44" t="s">
        <v>107</v>
      </c>
      <c r="J44" s="707">
        <v>43539</v>
      </c>
      <c r="K44">
        <v>30</v>
      </c>
      <c r="L44" s="707">
        <v>43569</v>
      </c>
      <c r="Q44" t="s">
        <v>1990</v>
      </c>
      <c r="R44">
        <v>87230.769230769205</v>
      </c>
      <c r="T44" s="707">
        <v>43466</v>
      </c>
      <c r="U44">
        <v>1</v>
      </c>
      <c r="V44">
        <v>5.8823529411764705E-2</v>
      </c>
      <c r="W44" t="s">
        <v>2057</v>
      </c>
      <c r="X44">
        <v>5</v>
      </c>
    </row>
    <row r="45" spans="1:24">
      <c r="A45" s="951" t="s">
        <v>2058</v>
      </c>
      <c r="B45" t="s">
        <v>160</v>
      </c>
      <c r="C45" t="s">
        <v>1512</v>
      </c>
      <c r="D45" t="s">
        <v>1591</v>
      </c>
      <c r="F45" t="s">
        <v>107</v>
      </c>
      <c r="J45" s="707">
        <v>43539</v>
      </c>
      <c r="K45">
        <v>30</v>
      </c>
      <c r="L45" s="707">
        <v>43569</v>
      </c>
      <c r="Q45" t="s">
        <v>1990</v>
      </c>
      <c r="R45">
        <v>87230.769230769205</v>
      </c>
      <c r="T45" s="707">
        <v>43497</v>
      </c>
      <c r="U45">
        <v>1</v>
      </c>
      <c r="V45">
        <v>5.2631578947368418E-2</v>
      </c>
      <c r="W45" t="s">
        <v>2057</v>
      </c>
      <c r="X45">
        <v>5</v>
      </c>
    </row>
    <row r="46" spans="1:24">
      <c r="A46" s="951" t="s">
        <v>2058</v>
      </c>
      <c r="B46" t="s">
        <v>138</v>
      </c>
      <c r="C46" t="s">
        <v>1517</v>
      </c>
      <c r="D46" t="s">
        <v>94</v>
      </c>
      <c r="F46" t="s">
        <v>106</v>
      </c>
      <c r="J46" s="707">
        <v>43539</v>
      </c>
      <c r="K46">
        <v>30</v>
      </c>
      <c r="L46" s="707">
        <v>43569</v>
      </c>
      <c r="Q46" t="s">
        <v>1990</v>
      </c>
      <c r="R46">
        <v>87230.769230769205</v>
      </c>
      <c r="T46" s="707">
        <v>43466</v>
      </c>
      <c r="U46">
        <v>1</v>
      </c>
      <c r="V46">
        <v>5.8823529411764705E-2</v>
      </c>
      <c r="W46" t="s">
        <v>2057</v>
      </c>
      <c r="X46">
        <v>5</v>
      </c>
    </row>
    <row r="47" spans="1:24">
      <c r="A47" s="951" t="s">
        <v>2058</v>
      </c>
      <c r="B47" t="s">
        <v>138</v>
      </c>
      <c r="C47" t="s">
        <v>1517</v>
      </c>
      <c r="D47" t="s">
        <v>94</v>
      </c>
      <c r="F47" t="s">
        <v>106</v>
      </c>
      <c r="J47" s="707">
        <v>43539</v>
      </c>
      <c r="K47">
        <v>30</v>
      </c>
      <c r="L47" s="707">
        <v>43569</v>
      </c>
      <c r="Q47" t="s">
        <v>1990</v>
      </c>
      <c r="R47">
        <v>87230.769230769205</v>
      </c>
      <c r="T47" s="707">
        <v>43497</v>
      </c>
      <c r="U47">
        <v>1</v>
      </c>
      <c r="V47">
        <v>5.2631578947368418E-2</v>
      </c>
      <c r="W47" t="s">
        <v>2057</v>
      </c>
      <c r="X47">
        <v>5</v>
      </c>
    </row>
    <row r="48" spans="1:24">
      <c r="A48" s="951" t="s">
        <v>2058</v>
      </c>
      <c r="B48" t="s">
        <v>150</v>
      </c>
      <c r="C48" t="s">
        <v>1518</v>
      </c>
      <c r="D48" t="s">
        <v>1523</v>
      </c>
      <c r="F48" t="s">
        <v>106</v>
      </c>
      <c r="J48" s="707">
        <v>43539</v>
      </c>
      <c r="K48">
        <v>30</v>
      </c>
      <c r="L48" s="707">
        <v>43569</v>
      </c>
      <c r="Q48" t="s">
        <v>1990</v>
      </c>
      <c r="R48">
        <v>87230.769230769205</v>
      </c>
      <c r="T48" s="707">
        <v>43466</v>
      </c>
      <c r="U48">
        <v>1</v>
      </c>
      <c r="V48">
        <v>5.8823529411764705E-2</v>
      </c>
      <c r="W48" t="s">
        <v>2057</v>
      </c>
      <c r="X48">
        <v>5</v>
      </c>
    </row>
    <row r="49" spans="1:24">
      <c r="A49" s="951" t="s">
        <v>2058</v>
      </c>
      <c r="B49" t="s">
        <v>150</v>
      </c>
      <c r="C49" t="s">
        <v>1518</v>
      </c>
      <c r="D49" t="s">
        <v>1523</v>
      </c>
      <c r="F49" t="s">
        <v>106</v>
      </c>
      <c r="J49" s="707">
        <v>43539</v>
      </c>
      <c r="K49">
        <v>30</v>
      </c>
      <c r="L49" s="707">
        <v>43569</v>
      </c>
      <c r="Q49" t="s">
        <v>1990</v>
      </c>
      <c r="R49">
        <v>87230.769230769205</v>
      </c>
      <c r="T49" s="707">
        <v>43497</v>
      </c>
      <c r="U49">
        <v>1</v>
      </c>
      <c r="V49">
        <v>5.2631578947368418E-2</v>
      </c>
      <c r="W49" t="s">
        <v>2057</v>
      </c>
      <c r="X49">
        <v>5</v>
      </c>
    </row>
    <row r="50" spans="1:24">
      <c r="A50" s="951" t="s">
        <v>2058</v>
      </c>
      <c r="B50" t="s">
        <v>151</v>
      </c>
      <c r="C50" t="s">
        <v>1519</v>
      </c>
      <c r="D50" t="s">
        <v>116</v>
      </c>
      <c r="F50" t="s">
        <v>106</v>
      </c>
      <c r="J50" s="707">
        <v>43784</v>
      </c>
      <c r="K50">
        <v>30</v>
      </c>
      <c r="L50" s="707">
        <v>43814</v>
      </c>
      <c r="Q50" t="s">
        <v>1990</v>
      </c>
      <c r="R50">
        <v>235500</v>
      </c>
      <c r="T50" s="707">
        <v>43525</v>
      </c>
      <c r="U50">
        <v>1</v>
      </c>
      <c r="V50">
        <v>0.05</v>
      </c>
      <c r="W50" t="s">
        <v>2057</v>
      </c>
      <c r="X50">
        <v>5</v>
      </c>
    </row>
    <row r="51" spans="1:24">
      <c r="A51" s="951" t="s">
        <v>2058</v>
      </c>
      <c r="B51" t="s">
        <v>151</v>
      </c>
      <c r="C51" t="s">
        <v>1519</v>
      </c>
      <c r="D51" t="s">
        <v>116</v>
      </c>
      <c r="F51" t="s">
        <v>106</v>
      </c>
      <c r="J51" s="707">
        <v>43784</v>
      </c>
      <c r="K51">
        <v>30</v>
      </c>
      <c r="L51" s="707">
        <v>43814</v>
      </c>
      <c r="Q51" t="s">
        <v>1990</v>
      </c>
      <c r="R51">
        <v>235500</v>
      </c>
      <c r="T51" s="707">
        <v>43556</v>
      </c>
      <c r="U51">
        <v>1</v>
      </c>
      <c r="V51">
        <v>4.5454545454545456E-2</v>
      </c>
      <c r="W51" t="s">
        <v>2057</v>
      </c>
      <c r="X51">
        <v>5</v>
      </c>
    </row>
    <row r="52" spans="1:24">
      <c r="A52" s="951" t="s">
        <v>2058</v>
      </c>
      <c r="B52" t="s">
        <v>151</v>
      </c>
      <c r="C52" t="s">
        <v>1519</v>
      </c>
      <c r="D52" t="s">
        <v>116</v>
      </c>
      <c r="F52" t="s">
        <v>106</v>
      </c>
      <c r="J52" s="707">
        <v>43784</v>
      </c>
      <c r="K52">
        <v>30</v>
      </c>
      <c r="L52" s="707">
        <v>43814</v>
      </c>
      <c r="Q52" t="s">
        <v>1990</v>
      </c>
      <c r="R52">
        <v>235500</v>
      </c>
      <c r="T52" s="707">
        <v>43586</v>
      </c>
      <c r="U52">
        <v>1</v>
      </c>
      <c r="V52">
        <v>4.7619047619047616E-2</v>
      </c>
      <c r="W52" t="s">
        <v>2057</v>
      </c>
      <c r="X52">
        <v>5</v>
      </c>
    </row>
    <row r="53" spans="1:24">
      <c r="A53" s="951" t="s">
        <v>2058</v>
      </c>
      <c r="B53" t="s">
        <v>151</v>
      </c>
      <c r="C53" t="s">
        <v>1519</v>
      </c>
      <c r="D53" t="s">
        <v>116</v>
      </c>
      <c r="F53" t="s">
        <v>106</v>
      </c>
      <c r="J53" s="707">
        <v>43784</v>
      </c>
      <c r="K53">
        <v>30</v>
      </c>
      <c r="L53" s="707">
        <v>43814</v>
      </c>
      <c r="Q53" t="s">
        <v>1990</v>
      </c>
      <c r="R53">
        <v>235500</v>
      </c>
      <c r="T53" s="707">
        <v>43617</v>
      </c>
      <c r="U53">
        <v>1</v>
      </c>
      <c r="V53">
        <v>5.2631578947368418E-2</v>
      </c>
      <c r="W53" t="s">
        <v>2057</v>
      </c>
      <c r="X53">
        <v>5</v>
      </c>
    </row>
    <row r="54" spans="1:24">
      <c r="A54" s="951" t="s">
        <v>2058</v>
      </c>
      <c r="B54" t="s">
        <v>151</v>
      </c>
      <c r="C54" t="s">
        <v>1519</v>
      </c>
      <c r="D54" t="s">
        <v>116</v>
      </c>
      <c r="F54" t="s">
        <v>106</v>
      </c>
      <c r="J54" s="707">
        <v>43784</v>
      </c>
      <c r="K54">
        <v>30</v>
      </c>
      <c r="L54" s="707">
        <v>43814</v>
      </c>
      <c r="Q54" t="s">
        <v>1990</v>
      </c>
      <c r="R54">
        <v>235500</v>
      </c>
      <c r="T54" s="707">
        <v>43647</v>
      </c>
      <c r="U54">
        <v>1</v>
      </c>
      <c r="V54">
        <v>4.3478260869565216E-2</v>
      </c>
      <c r="W54" t="s">
        <v>2057</v>
      </c>
      <c r="X54">
        <v>5</v>
      </c>
    </row>
    <row r="55" spans="1:24">
      <c r="A55" s="951" t="s">
        <v>2058</v>
      </c>
      <c r="B55" t="s">
        <v>151</v>
      </c>
      <c r="C55" t="s">
        <v>1519</v>
      </c>
      <c r="D55" t="s">
        <v>116</v>
      </c>
      <c r="F55" t="s">
        <v>106</v>
      </c>
      <c r="J55" s="707">
        <v>43784</v>
      </c>
      <c r="K55">
        <v>30</v>
      </c>
      <c r="L55" s="707">
        <v>43814</v>
      </c>
      <c r="Q55" t="s">
        <v>1990</v>
      </c>
      <c r="R55">
        <v>235500</v>
      </c>
      <c r="T55" s="707">
        <v>43678</v>
      </c>
      <c r="U55">
        <v>1</v>
      </c>
      <c r="V55">
        <v>4.5454545454545456E-2</v>
      </c>
      <c r="W55" t="s">
        <v>2057</v>
      </c>
      <c r="X55">
        <v>5</v>
      </c>
    </row>
    <row r="56" spans="1:24">
      <c r="A56" s="951" t="s">
        <v>2058</v>
      </c>
      <c r="B56" t="s">
        <v>151</v>
      </c>
      <c r="C56" t="s">
        <v>1519</v>
      </c>
      <c r="D56" t="s">
        <v>116</v>
      </c>
      <c r="F56" t="s">
        <v>106</v>
      </c>
      <c r="J56" s="707">
        <v>43784</v>
      </c>
      <c r="K56">
        <v>30</v>
      </c>
      <c r="L56" s="707">
        <v>43814</v>
      </c>
      <c r="Q56" t="s">
        <v>1990</v>
      </c>
      <c r="R56">
        <v>235500</v>
      </c>
      <c r="T56" s="707">
        <v>43709</v>
      </c>
      <c r="U56">
        <v>1</v>
      </c>
      <c r="V56">
        <v>4.7619047619047616E-2</v>
      </c>
      <c r="W56" t="s">
        <v>2057</v>
      </c>
      <c r="X56">
        <v>5</v>
      </c>
    </row>
    <row r="57" spans="1:24">
      <c r="A57" s="951" t="s">
        <v>2058</v>
      </c>
      <c r="B57" t="s">
        <v>151</v>
      </c>
      <c r="C57" t="s">
        <v>1519</v>
      </c>
      <c r="D57" t="s">
        <v>116</v>
      </c>
      <c r="F57" t="s">
        <v>106</v>
      </c>
      <c r="J57" s="707">
        <v>43784</v>
      </c>
      <c r="K57">
        <v>30</v>
      </c>
      <c r="L57" s="707">
        <v>43814</v>
      </c>
      <c r="Q57" t="s">
        <v>1990</v>
      </c>
      <c r="R57">
        <v>235500</v>
      </c>
      <c r="T57" s="707">
        <v>43739</v>
      </c>
      <c r="U57">
        <v>1</v>
      </c>
      <c r="V57">
        <v>4.3478260869565216E-2</v>
      </c>
      <c r="W57" t="s">
        <v>2057</v>
      </c>
      <c r="X57">
        <v>5</v>
      </c>
    </row>
    <row r="58" spans="1:24">
      <c r="A58" s="951" t="s">
        <v>2058</v>
      </c>
      <c r="B58" t="s">
        <v>152</v>
      </c>
      <c r="C58" t="s">
        <v>1520</v>
      </c>
      <c r="D58" t="s">
        <v>99</v>
      </c>
      <c r="F58" t="s">
        <v>106</v>
      </c>
      <c r="J58" s="707">
        <v>43539</v>
      </c>
      <c r="K58">
        <v>30</v>
      </c>
      <c r="L58" s="707">
        <v>43569</v>
      </c>
      <c r="Q58" t="s">
        <v>1990</v>
      </c>
      <c r="R58">
        <v>87230.769230769205</v>
      </c>
      <c r="T58" s="707">
        <v>43466</v>
      </c>
      <c r="U58">
        <v>1</v>
      </c>
      <c r="V58">
        <v>5.8823529411764705E-2</v>
      </c>
      <c r="W58" t="s">
        <v>2057</v>
      </c>
      <c r="X58">
        <v>5</v>
      </c>
    </row>
    <row r="59" spans="1:24">
      <c r="A59" s="951" t="s">
        <v>2058</v>
      </c>
      <c r="B59" t="s">
        <v>152</v>
      </c>
      <c r="C59" t="s">
        <v>1520</v>
      </c>
      <c r="D59" t="s">
        <v>99</v>
      </c>
      <c r="F59" t="s">
        <v>106</v>
      </c>
      <c r="J59" s="707">
        <v>43539</v>
      </c>
      <c r="K59">
        <v>30</v>
      </c>
      <c r="L59" s="707">
        <v>43569</v>
      </c>
      <c r="Q59" t="s">
        <v>1990</v>
      </c>
      <c r="R59">
        <v>87230.769230769205</v>
      </c>
      <c r="T59" s="707">
        <v>43497</v>
      </c>
      <c r="U59">
        <v>1</v>
      </c>
      <c r="V59">
        <v>5.2631578947368418E-2</v>
      </c>
      <c r="W59" t="s">
        <v>2057</v>
      </c>
      <c r="X59">
        <v>5</v>
      </c>
    </row>
    <row r="60" spans="1:24">
      <c r="A60" s="951" t="s">
        <v>2058</v>
      </c>
      <c r="B60" t="s">
        <v>155</v>
      </c>
      <c r="C60" t="s">
        <v>1541</v>
      </c>
      <c r="D60" t="s">
        <v>1542</v>
      </c>
      <c r="F60" t="s">
        <v>107</v>
      </c>
      <c r="J60" s="707">
        <v>43784</v>
      </c>
      <c r="K60">
        <v>30</v>
      </c>
      <c r="L60" s="707">
        <v>43814</v>
      </c>
      <c r="Q60" t="s">
        <v>1990</v>
      </c>
      <c r="R60">
        <v>235500</v>
      </c>
      <c r="T60" s="707">
        <v>43525</v>
      </c>
      <c r="U60">
        <v>1</v>
      </c>
      <c r="V60">
        <v>0.05</v>
      </c>
      <c r="W60" t="s">
        <v>2057</v>
      </c>
      <c r="X60">
        <v>5</v>
      </c>
    </row>
    <row r="61" spans="1:24">
      <c r="A61" s="951" t="s">
        <v>2058</v>
      </c>
      <c r="B61" t="s">
        <v>155</v>
      </c>
      <c r="C61" t="s">
        <v>1541</v>
      </c>
      <c r="D61" t="s">
        <v>1542</v>
      </c>
      <c r="F61" t="s">
        <v>107</v>
      </c>
      <c r="J61" s="707">
        <v>43784</v>
      </c>
      <c r="K61">
        <v>30</v>
      </c>
      <c r="L61" s="707">
        <v>43814</v>
      </c>
      <c r="Q61" t="s">
        <v>1990</v>
      </c>
      <c r="R61">
        <v>235500</v>
      </c>
      <c r="T61" s="707">
        <v>43556</v>
      </c>
      <c r="U61">
        <v>1</v>
      </c>
      <c r="V61">
        <v>4.5454545454545456E-2</v>
      </c>
      <c r="W61" t="s">
        <v>2057</v>
      </c>
      <c r="X61">
        <v>5</v>
      </c>
    </row>
    <row r="62" spans="1:24">
      <c r="A62" s="951" t="s">
        <v>2058</v>
      </c>
      <c r="B62" t="s">
        <v>155</v>
      </c>
      <c r="C62" t="s">
        <v>1541</v>
      </c>
      <c r="D62" t="s">
        <v>1542</v>
      </c>
      <c r="F62" t="s">
        <v>107</v>
      </c>
      <c r="J62" s="707">
        <v>43784</v>
      </c>
      <c r="K62">
        <v>30</v>
      </c>
      <c r="L62" s="707">
        <v>43814</v>
      </c>
      <c r="Q62" t="s">
        <v>1990</v>
      </c>
      <c r="R62">
        <v>235500</v>
      </c>
      <c r="T62" s="707">
        <v>43586</v>
      </c>
      <c r="U62">
        <v>1</v>
      </c>
      <c r="V62">
        <v>4.7619047619047616E-2</v>
      </c>
      <c r="W62" t="s">
        <v>2057</v>
      </c>
      <c r="X62">
        <v>5</v>
      </c>
    </row>
    <row r="63" spans="1:24">
      <c r="A63" s="951" t="s">
        <v>2058</v>
      </c>
      <c r="B63" t="s">
        <v>155</v>
      </c>
      <c r="C63" t="s">
        <v>1541</v>
      </c>
      <c r="D63" t="s">
        <v>1542</v>
      </c>
      <c r="F63" t="s">
        <v>107</v>
      </c>
      <c r="J63" s="707">
        <v>43784</v>
      </c>
      <c r="K63">
        <v>30</v>
      </c>
      <c r="L63" s="707">
        <v>43814</v>
      </c>
      <c r="Q63" t="s">
        <v>1990</v>
      </c>
      <c r="R63">
        <v>235500</v>
      </c>
      <c r="T63" s="707">
        <v>43617</v>
      </c>
      <c r="U63">
        <v>1</v>
      </c>
      <c r="V63">
        <v>5.2631578947368418E-2</v>
      </c>
      <c r="W63" t="s">
        <v>2057</v>
      </c>
      <c r="X63">
        <v>5</v>
      </c>
    </row>
    <row r="64" spans="1:24">
      <c r="A64" s="951" t="s">
        <v>2058</v>
      </c>
      <c r="B64" t="s">
        <v>155</v>
      </c>
      <c r="C64" t="s">
        <v>1541</v>
      </c>
      <c r="D64" t="s">
        <v>1542</v>
      </c>
      <c r="F64" t="s">
        <v>107</v>
      </c>
      <c r="J64" s="707">
        <v>43784</v>
      </c>
      <c r="K64">
        <v>30</v>
      </c>
      <c r="L64" s="707">
        <v>43814</v>
      </c>
      <c r="Q64" t="s">
        <v>1990</v>
      </c>
      <c r="R64">
        <v>235500</v>
      </c>
      <c r="T64" s="707">
        <v>43647</v>
      </c>
      <c r="U64">
        <v>1</v>
      </c>
      <c r="V64">
        <v>4.3478260869565216E-2</v>
      </c>
      <c r="W64" t="s">
        <v>2057</v>
      </c>
      <c r="X64">
        <v>5</v>
      </c>
    </row>
    <row r="65" spans="1:24">
      <c r="A65" s="951" t="s">
        <v>2058</v>
      </c>
      <c r="B65" t="s">
        <v>155</v>
      </c>
      <c r="C65" t="s">
        <v>1541</v>
      </c>
      <c r="D65" t="s">
        <v>1542</v>
      </c>
      <c r="F65" t="s">
        <v>107</v>
      </c>
      <c r="J65" s="707">
        <v>43784</v>
      </c>
      <c r="K65">
        <v>30</v>
      </c>
      <c r="L65" s="707">
        <v>43814</v>
      </c>
      <c r="Q65" t="s">
        <v>1990</v>
      </c>
      <c r="R65">
        <v>235500</v>
      </c>
      <c r="T65" s="707">
        <v>43678</v>
      </c>
      <c r="U65">
        <v>1</v>
      </c>
      <c r="V65">
        <v>4.5454545454545456E-2</v>
      </c>
      <c r="W65" t="s">
        <v>2057</v>
      </c>
      <c r="X65">
        <v>5</v>
      </c>
    </row>
    <row r="66" spans="1:24">
      <c r="A66" s="951" t="s">
        <v>2058</v>
      </c>
      <c r="B66" t="s">
        <v>155</v>
      </c>
      <c r="C66" t="s">
        <v>1541</v>
      </c>
      <c r="D66" t="s">
        <v>1542</v>
      </c>
      <c r="F66" t="s">
        <v>107</v>
      </c>
      <c r="J66" s="707">
        <v>43784</v>
      </c>
      <c r="K66">
        <v>30</v>
      </c>
      <c r="L66" s="707">
        <v>43814</v>
      </c>
      <c r="Q66" t="s">
        <v>1990</v>
      </c>
      <c r="R66">
        <v>235500</v>
      </c>
      <c r="T66" s="707">
        <v>43709</v>
      </c>
      <c r="U66">
        <v>1</v>
      </c>
      <c r="V66">
        <v>4.7619047619047616E-2</v>
      </c>
      <c r="W66" t="s">
        <v>2057</v>
      </c>
      <c r="X66">
        <v>5</v>
      </c>
    </row>
    <row r="67" spans="1:24">
      <c r="A67" s="951" t="s">
        <v>2058</v>
      </c>
      <c r="B67" t="s">
        <v>155</v>
      </c>
      <c r="C67" t="s">
        <v>1541</v>
      </c>
      <c r="D67" t="s">
        <v>1542</v>
      </c>
      <c r="F67" t="s">
        <v>107</v>
      </c>
      <c r="J67" s="707">
        <v>43784</v>
      </c>
      <c r="K67">
        <v>30</v>
      </c>
      <c r="L67" s="707">
        <v>43814</v>
      </c>
      <c r="Q67" t="s">
        <v>1990</v>
      </c>
      <c r="R67">
        <v>235500</v>
      </c>
      <c r="T67" s="707">
        <v>43739</v>
      </c>
      <c r="U67">
        <v>1</v>
      </c>
      <c r="V67">
        <v>4.3478260869565216E-2</v>
      </c>
      <c r="W67" t="s">
        <v>2057</v>
      </c>
      <c r="X67">
        <v>5</v>
      </c>
    </row>
    <row r="68" spans="1:24">
      <c r="A68" s="951" t="s">
        <v>2058</v>
      </c>
      <c r="B68" t="s">
        <v>156</v>
      </c>
      <c r="C68" t="s">
        <v>1592</v>
      </c>
      <c r="D68" t="s">
        <v>1606</v>
      </c>
      <c r="F68" t="s">
        <v>107</v>
      </c>
      <c r="J68" s="707">
        <v>43784</v>
      </c>
      <c r="K68">
        <v>30</v>
      </c>
      <c r="L68" s="707">
        <v>43814</v>
      </c>
      <c r="Q68" t="s">
        <v>1990</v>
      </c>
      <c r="R68">
        <v>235500</v>
      </c>
      <c r="T68" s="707">
        <v>43525</v>
      </c>
      <c r="U68">
        <v>1</v>
      </c>
      <c r="V68">
        <v>0.05</v>
      </c>
      <c r="W68" t="s">
        <v>2057</v>
      </c>
      <c r="X68">
        <v>5</v>
      </c>
    </row>
    <row r="69" spans="1:24">
      <c r="A69" s="951" t="s">
        <v>2058</v>
      </c>
      <c r="B69" t="s">
        <v>156</v>
      </c>
      <c r="C69" t="s">
        <v>1592</v>
      </c>
      <c r="D69" t="s">
        <v>1606</v>
      </c>
      <c r="F69" t="s">
        <v>107</v>
      </c>
      <c r="J69" s="707">
        <v>43784</v>
      </c>
      <c r="K69">
        <v>30</v>
      </c>
      <c r="L69" s="707">
        <v>43814</v>
      </c>
      <c r="Q69" t="s">
        <v>1990</v>
      </c>
      <c r="R69">
        <v>235500</v>
      </c>
      <c r="T69" s="707">
        <v>43556</v>
      </c>
      <c r="U69">
        <v>1</v>
      </c>
      <c r="V69">
        <v>4.5454545454545456E-2</v>
      </c>
      <c r="W69" t="s">
        <v>2057</v>
      </c>
      <c r="X69">
        <v>5</v>
      </c>
    </row>
    <row r="70" spans="1:24">
      <c r="A70" s="951" t="s">
        <v>2058</v>
      </c>
      <c r="B70" t="s">
        <v>156</v>
      </c>
      <c r="C70" t="s">
        <v>1592</v>
      </c>
      <c r="D70" t="s">
        <v>1606</v>
      </c>
      <c r="F70" t="s">
        <v>107</v>
      </c>
      <c r="J70" s="707">
        <v>43784</v>
      </c>
      <c r="K70">
        <v>30</v>
      </c>
      <c r="L70" s="707">
        <v>43814</v>
      </c>
      <c r="Q70" t="s">
        <v>1990</v>
      </c>
      <c r="R70">
        <v>235500</v>
      </c>
      <c r="T70" s="707">
        <v>43586</v>
      </c>
      <c r="U70">
        <v>1</v>
      </c>
      <c r="V70">
        <v>4.7619047619047616E-2</v>
      </c>
      <c r="W70" t="s">
        <v>2057</v>
      </c>
      <c r="X70">
        <v>5</v>
      </c>
    </row>
    <row r="71" spans="1:24">
      <c r="A71" s="951" t="s">
        <v>2058</v>
      </c>
      <c r="B71" t="s">
        <v>156</v>
      </c>
      <c r="C71" t="s">
        <v>1592</v>
      </c>
      <c r="D71" t="s">
        <v>1606</v>
      </c>
      <c r="F71" t="s">
        <v>107</v>
      </c>
      <c r="J71" s="707">
        <v>43784</v>
      </c>
      <c r="K71">
        <v>30</v>
      </c>
      <c r="L71" s="707">
        <v>43814</v>
      </c>
      <c r="Q71" t="s">
        <v>1990</v>
      </c>
      <c r="R71">
        <v>235500</v>
      </c>
      <c r="T71" s="707">
        <v>43617</v>
      </c>
      <c r="U71">
        <v>1</v>
      </c>
      <c r="V71">
        <v>5.2631578947368418E-2</v>
      </c>
      <c r="W71" t="s">
        <v>2057</v>
      </c>
      <c r="X71">
        <v>5</v>
      </c>
    </row>
    <row r="72" spans="1:24">
      <c r="A72" s="951" t="s">
        <v>2058</v>
      </c>
      <c r="B72" t="s">
        <v>156</v>
      </c>
      <c r="C72" t="s">
        <v>1592</v>
      </c>
      <c r="D72" t="s">
        <v>1606</v>
      </c>
      <c r="F72" t="s">
        <v>107</v>
      </c>
      <c r="J72" s="707">
        <v>43784</v>
      </c>
      <c r="K72">
        <v>30</v>
      </c>
      <c r="L72" s="707">
        <v>43814</v>
      </c>
      <c r="Q72" t="s">
        <v>1990</v>
      </c>
      <c r="R72">
        <v>235500</v>
      </c>
      <c r="T72" s="707">
        <v>43647</v>
      </c>
      <c r="U72">
        <v>1</v>
      </c>
      <c r="V72">
        <v>4.3478260869565216E-2</v>
      </c>
      <c r="W72" t="s">
        <v>2057</v>
      </c>
      <c r="X72">
        <v>5</v>
      </c>
    </row>
    <row r="73" spans="1:24">
      <c r="A73" s="951" t="s">
        <v>2058</v>
      </c>
      <c r="B73" t="s">
        <v>156</v>
      </c>
      <c r="C73" t="s">
        <v>1592</v>
      </c>
      <c r="D73" t="s">
        <v>1606</v>
      </c>
      <c r="F73" t="s">
        <v>107</v>
      </c>
      <c r="J73" s="707">
        <v>43784</v>
      </c>
      <c r="K73">
        <v>30</v>
      </c>
      <c r="L73" s="707">
        <v>43814</v>
      </c>
      <c r="Q73" t="s">
        <v>1990</v>
      </c>
      <c r="R73">
        <v>235500</v>
      </c>
      <c r="T73" s="707">
        <v>43678</v>
      </c>
      <c r="U73">
        <v>1</v>
      </c>
      <c r="V73">
        <v>4.5454545454545456E-2</v>
      </c>
      <c r="W73" t="s">
        <v>2057</v>
      </c>
      <c r="X73">
        <v>5</v>
      </c>
    </row>
    <row r="74" spans="1:24">
      <c r="A74" s="951" t="s">
        <v>2058</v>
      </c>
      <c r="B74" t="s">
        <v>156</v>
      </c>
      <c r="C74" t="s">
        <v>1592</v>
      </c>
      <c r="D74" t="s">
        <v>1606</v>
      </c>
      <c r="F74" t="s">
        <v>107</v>
      </c>
      <c r="J74" s="707">
        <v>43784</v>
      </c>
      <c r="K74">
        <v>30</v>
      </c>
      <c r="L74" s="707">
        <v>43814</v>
      </c>
      <c r="Q74" t="s">
        <v>1990</v>
      </c>
      <c r="R74">
        <v>235500</v>
      </c>
      <c r="T74" s="707">
        <v>43709</v>
      </c>
      <c r="U74">
        <v>1</v>
      </c>
      <c r="V74">
        <v>4.7619047619047616E-2</v>
      </c>
      <c r="W74" t="s">
        <v>2057</v>
      </c>
      <c r="X74">
        <v>5</v>
      </c>
    </row>
    <row r="75" spans="1:24">
      <c r="A75" s="951" t="s">
        <v>2058</v>
      </c>
      <c r="B75" t="s">
        <v>156</v>
      </c>
      <c r="C75" t="s">
        <v>1592</v>
      </c>
      <c r="D75" t="s">
        <v>1606</v>
      </c>
      <c r="F75" t="s">
        <v>107</v>
      </c>
      <c r="J75" s="707">
        <v>43784</v>
      </c>
      <c r="K75">
        <v>30</v>
      </c>
      <c r="L75" s="707">
        <v>43814</v>
      </c>
      <c r="Q75" t="s">
        <v>1990</v>
      </c>
      <c r="R75">
        <v>235500</v>
      </c>
      <c r="T75" s="707">
        <v>43739</v>
      </c>
      <c r="U75">
        <v>1</v>
      </c>
      <c r="V75">
        <v>4.3478260869565216E-2</v>
      </c>
      <c r="W75" t="s">
        <v>2057</v>
      </c>
      <c r="X75">
        <v>5</v>
      </c>
    </row>
  </sheetData>
  <autoFilter ref="A1:X22"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21"/>
  <dimension ref="A1:L10"/>
  <sheetViews>
    <sheetView workbookViewId="0">
      <selection activeCell="E26" sqref="E26"/>
    </sheetView>
  </sheetViews>
  <sheetFormatPr defaultRowHeight="12.75"/>
  <cols>
    <col min="1" max="1" width="9.140625" style="8"/>
    <col min="2" max="2" width="15.28515625" customWidth="1"/>
    <col min="3" max="6" width="18.140625" customWidth="1"/>
    <col min="7" max="7" width="18.140625" style="707" customWidth="1"/>
    <col min="8" max="10" width="18.140625" customWidth="1"/>
    <col min="11" max="11" width="10.140625" style="707" bestFit="1" customWidth="1"/>
  </cols>
  <sheetData>
    <row r="1" spans="1:12" ht="25.5">
      <c r="A1" s="8" t="s">
        <v>1743</v>
      </c>
      <c r="B1" s="679" t="s">
        <v>1761</v>
      </c>
      <c r="C1" s="664" t="s">
        <v>1691</v>
      </c>
      <c r="D1" s="662" t="s">
        <v>30</v>
      </c>
      <c r="E1" s="662" t="s">
        <v>1756</v>
      </c>
      <c r="F1" s="663" t="s">
        <v>1961</v>
      </c>
      <c r="G1" s="710" t="s">
        <v>1991</v>
      </c>
      <c r="H1" s="665" t="s">
        <v>1727</v>
      </c>
      <c r="I1" s="666" t="s">
        <v>1962</v>
      </c>
      <c r="J1" s="684" t="s">
        <v>1989</v>
      </c>
      <c r="K1" s="711" t="s">
        <v>1992</v>
      </c>
      <c r="L1" s="703" t="s">
        <v>1998</v>
      </c>
    </row>
    <row r="2" spans="1:12">
      <c r="A2" s="951" t="s">
        <v>2058</v>
      </c>
      <c r="B2" t="s">
        <v>1984</v>
      </c>
      <c r="C2" t="s">
        <v>1700</v>
      </c>
      <c r="H2" t="s">
        <v>1729</v>
      </c>
      <c r="I2">
        <v>1.18</v>
      </c>
      <c r="J2" t="s">
        <v>1990</v>
      </c>
      <c r="K2" s="707">
        <v>43435</v>
      </c>
      <c r="L2">
        <v>350000</v>
      </c>
    </row>
    <row r="3" spans="1:12">
      <c r="A3" s="951" t="s">
        <v>2058</v>
      </c>
      <c r="B3" t="s">
        <v>1984</v>
      </c>
      <c r="C3" t="s">
        <v>1706</v>
      </c>
      <c r="I3">
        <v>1.18</v>
      </c>
      <c r="J3" t="s">
        <v>1990</v>
      </c>
      <c r="K3" s="707">
        <v>43435</v>
      </c>
      <c r="L3">
        <v>700000</v>
      </c>
    </row>
    <row r="4" spans="1:12">
      <c r="A4" s="951" t="s">
        <v>2058</v>
      </c>
      <c r="B4" t="s">
        <v>1984</v>
      </c>
      <c r="C4" t="s">
        <v>1706</v>
      </c>
      <c r="I4">
        <v>1.18</v>
      </c>
      <c r="J4" t="s">
        <v>1990</v>
      </c>
      <c r="K4" s="707">
        <v>43435</v>
      </c>
      <c r="L4">
        <v>800000</v>
      </c>
    </row>
    <row r="5" spans="1:12">
      <c r="A5" s="951" t="s">
        <v>2058</v>
      </c>
      <c r="B5" t="s">
        <v>1983</v>
      </c>
      <c r="C5" t="s">
        <v>1706</v>
      </c>
      <c r="I5" s="762">
        <v>1</v>
      </c>
      <c r="J5" t="s">
        <v>1990</v>
      </c>
      <c r="K5" s="707">
        <v>43435</v>
      </c>
      <c r="L5">
        <v>10200000</v>
      </c>
    </row>
    <row r="6" spans="1:12">
      <c r="A6" s="951" t="s">
        <v>2058</v>
      </c>
      <c r="B6" t="s">
        <v>1983</v>
      </c>
      <c r="C6" t="s">
        <v>1706</v>
      </c>
      <c r="I6" s="762">
        <v>1</v>
      </c>
      <c r="J6" t="s">
        <v>1990</v>
      </c>
      <c r="K6" s="707">
        <v>43800</v>
      </c>
      <c r="L6">
        <v>2160000</v>
      </c>
    </row>
    <row r="7" spans="1:12">
      <c r="A7" s="951" t="s">
        <v>2058</v>
      </c>
      <c r="B7" t="s">
        <v>1983</v>
      </c>
      <c r="C7" t="s">
        <v>1706</v>
      </c>
      <c r="I7" s="762">
        <v>1</v>
      </c>
      <c r="J7" t="s">
        <v>1990</v>
      </c>
      <c r="K7" s="707">
        <v>43800</v>
      </c>
      <c r="L7">
        <v>500000</v>
      </c>
    </row>
    <row r="8" spans="1:12">
      <c r="A8" s="951" t="s">
        <v>2058</v>
      </c>
      <c r="B8" t="s">
        <v>1983</v>
      </c>
      <c r="C8" t="s">
        <v>1706</v>
      </c>
      <c r="I8" s="762">
        <v>1</v>
      </c>
      <c r="J8" t="s">
        <v>1990</v>
      </c>
      <c r="K8" s="707">
        <v>43800</v>
      </c>
      <c r="L8">
        <v>500000</v>
      </c>
    </row>
    <row r="9" spans="1:12">
      <c r="A9" s="951" t="s">
        <v>2058</v>
      </c>
      <c r="B9" t="s">
        <v>2034</v>
      </c>
      <c r="C9" t="s">
        <v>1714</v>
      </c>
      <c r="I9">
        <v>1</v>
      </c>
      <c r="J9" t="s">
        <v>1990</v>
      </c>
      <c r="K9" s="707">
        <v>43800</v>
      </c>
      <c r="L9">
        <v>4000000</v>
      </c>
    </row>
    <row r="10" spans="1:12">
      <c r="A10" s="951" t="s">
        <v>2058</v>
      </c>
      <c r="B10" t="s">
        <v>2035</v>
      </c>
      <c r="C10" t="s">
        <v>1714</v>
      </c>
      <c r="I10">
        <v>1.18</v>
      </c>
      <c r="J10" t="s">
        <v>1990</v>
      </c>
      <c r="K10" s="707">
        <v>43800</v>
      </c>
      <c r="L10">
        <v>1600000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22"/>
  <dimension ref="A1:BJ17"/>
  <sheetViews>
    <sheetView workbookViewId="0">
      <selection activeCell="D17" sqref="D17"/>
    </sheetView>
  </sheetViews>
  <sheetFormatPr defaultRowHeight="15"/>
  <cols>
    <col min="1" max="1" width="9.140625" style="704"/>
    <col min="2" max="2" width="11.42578125" style="704" customWidth="1"/>
    <col min="3" max="26" width="10.85546875" style="704" customWidth="1"/>
    <col min="27" max="38" width="10.28515625" style="704" customWidth="1"/>
    <col min="39" max="50" width="10.140625" style="704" bestFit="1" customWidth="1"/>
    <col min="51" max="62" width="10.42578125" style="704" customWidth="1"/>
    <col min="63" max="16384" width="9.140625" style="704"/>
  </cols>
  <sheetData>
    <row r="1" spans="1:62">
      <c r="B1" s="704">
        <v>13</v>
      </c>
      <c r="C1" s="704">
        <v>15</v>
      </c>
      <c r="D1" s="704">
        <v>16</v>
      </c>
      <c r="E1" s="704">
        <v>17</v>
      </c>
      <c r="F1" s="704">
        <v>18</v>
      </c>
      <c r="G1" s="704">
        <v>19</v>
      </c>
      <c r="H1" s="704">
        <v>20</v>
      </c>
      <c r="I1" s="704">
        <v>21</v>
      </c>
      <c r="J1" s="704">
        <v>22</v>
      </c>
      <c r="K1" s="704">
        <v>23</v>
      </c>
      <c r="L1" s="704">
        <v>24</v>
      </c>
      <c r="M1" s="704">
        <v>25</v>
      </c>
      <c r="N1" s="704">
        <v>26</v>
      </c>
      <c r="O1" s="704">
        <v>30</v>
      </c>
      <c r="P1" s="704">
        <v>31</v>
      </c>
      <c r="Q1" s="704">
        <v>32</v>
      </c>
      <c r="R1" s="704">
        <v>33</v>
      </c>
      <c r="S1" s="704">
        <v>34</v>
      </c>
      <c r="T1" s="704">
        <v>35</v>
      </c>
      <c r="U1" s="704">
        <v>36</v>
      </c>
      <c r="V1" s="704">
        <v>37</v>
      </c>
      <c r="W1" s="704">
        <v>38</v>
      </c>
      <c r="X1" s="704">
        <v>39</v>
      </c>
      <c r="Y1" s="704">
        <v>40</v>
      </c>
      <c r="Z1" s="704">
        <v>41</v>
      </c>
      <c r="AA1" s="704">
        <v>45</v>
      </c>
      <c r="AB1" s="704">
        <v>46</v>
      </c>
      <c r="AC1" s="704">
        <v>47</v>
      </c>
      <c r="AD1" s="704">
        <v>48</v>
      </c>
      <c r="AE1" s="704">
        <v>49</v>
      </c>
      <c r="AF1" s="704">
        <v>50</v>
      </c>
      <c r="AG1" s="704">
        <v>51</v>
      </c>
      <c r="AH1" s="704">
        <v>52</v>
      </c>
      <c r="AI1" s="704">
        <v>53</v>
      </c>
      <c r="AJ1" s="704">
        <v>54</v>
      </c>
      <c r="AK1" s="704">
        <v>55</v>
      </c>
      <c r="AL1" s="704">
        <v>56</v>
      </c>
      <c r="AM1" s="704">
        <v>60</v>
      </c>
      <c r="AN1" s="704">
        <v>61</v>
      </c>
      <c r="AO1" s="704">
        <v>62</v>
      </c>
      <c r="AP1" s="704">
        <v>63</v>
      </c>
      <c r="AQ1" s="704">
        <v>64</v>
      </c>
      <c r="AR1" s="704">
        <v>65</v>
      </c>
      <c r="AS1" s="704">
        <v>66</v>
      </c>
      <c r="AT1" s="704">
        <v>67</v>
      </c>
      <c r="AU1" s="704">
        <v>68</v>
      </c>
      <c r="AV1" s="704">
        <v>69</v>
      </c>
      <c r="AW1" s="704">
        <v>70</v>
      </c>
      <c r="AX1" s="704">
        <v>71</v>
      </c>
      <c r="AY1" s="704">
        <v>75</v>
      </c>
      <c r="AZ1" s="704">
        <v>76</v>
      </c>
      <c r="BA1" s="704">
        <v>77</v>
      </c>
      <c r="BB1" s="704">
        <v>78</v>
      </c>
      <c r="BC1" s="704">
        <v>79</v>
      </c>
      <c r="BD1" s="704">
        <v>80</v>
      </c>
      <c r="BE1" s="704">
        <v>81</v>
      </c>
      <c r="BF1" s="704">
        <v>82</v>
      </c>
      <c r="BG1" s="704">
        <v>83</v>
      </c>
      <c r="BH1" s="704">
        <v>84</v>
      </c>
      <c r="BI1" s="704">
        <v>85</v>
      </c>
      <c r="BJ1" s="704">
        <v>86</v>
      </c>
    </row>
    <row r="2" spans="1:62">
      <c r="B2" s="705">
        <v>42735</v>
      </c>
      <c r="C2" s="705">
        <v>42736</v>
      </c>
      <c r="D2" s="705">
        <v>42767</v>
      </c>
      <c r="E2" s="705">
        <v>42795</v>
      </c>
      <c r="F2" s="705">
        <v>42826</v>
      </c>
      <c r="G2" s="705">
        <v>42856</v>
      </c>
      <c r="H2" s="705">
        <v>42887</v>
      </c>
      <c r="I2" s="705">
        <v>42917</v>
      </c>
      <c r="J2" s="705">
        <v>42948</v>
      </c>
      <c r="K2" s="705">
        <v>42979</v>
      </c>
      <c r="L2" s="705">
        <v>43009</v>
      </c>
      <c r="M2" s="705">
        <v>43040</v>
      </c>
      <c r="N2" s="705">
        <v>43070</v>
      </c>
      <c r="O2" s="705">
        <v>43101</v>
      </c>
      <c r="P2" s="705">
        <v>43132</v>
      </c>
      <c r="Q2" s="705">
        <v>43160</v>
      </c>
      <c r="R2" s="705">
        <v>43191</v>
      </c>
      <c r="S2" s="705">
        <v>43221</v>
      </c>
      <c r="T2" s="705">
        <v>43252</v>
      </c>
      <c r="U2" s="705">
        <v>43282</v>
      </c>
      <c r="V2" s="705">
        <v>43313</v>
      </c>
      <c r="W2" s="705">
        <v>43344</v>
      </c>
      <c r="X2" s="705">
        <v>43374</v>
      </c>
      <c r="Y2" s="705">
        <v>43405</v>
      </c>
      <c r="Z2" s="705">
        <v>43435</v>
      </c>
      <c r="AA2" s="705">
        <v>43466</v>
      </c>
      <c r="AB2" s="705">
        <v>43497</v>
      </c>
      <c r="AC2" s="705">
        <v>43525</v>
      </c>
      <c r="AD2" s="705">
        <v>43556</v>
      </c>
      <c r="AE2" s="705">
        <v>43586</v>
      </c>
      <c r="AF2" s="705">
        <v>43617</v>
      </c>
      <c r="AG2" s="705">
        <v>43647</v>
      </c>
      <c r="AH2" s="705">
        <v>43678</v>
      </c>
      <c r="AI2" s="705">
        <v>43709</v>
      </c>
      <c r="AJ2" s="705">
        <v>43739</v>
      </c>
      <c r="AK2" s="705">
        <v>43770</v>
      </c>
      <c r="AL2" s="705">
        <v>43800</v>
      </c>
      <c r="AM2" s="705">
        <v>43831</v>
      </c>
      <c r="AN2" s="705">
        <v>43862</v>
      </c>
      <c r="AO2" s="705">
        <v>43891</v>
      </c>
      <c r="AP2" s="705">
        <v>43922</v>
      </c>
      <c r="AQ2" s="705">
        <v>43952</v>
      </c>
      <c r="AR2" s="705">
        <v>43983</v>
      </c>
      <c r="AS2" s="705">
        <v>44013</v>
      </c>
      <c r="AT2" s="705">
        <v>44044</v>
      </c>
      <c r="AU2" s="705">
        <v>44075</v>
      </c>
      <c r="AV2" s="705">
        <v>44105</v>
      </c>
      <c r="AW2" s="705">
        <v>44136</v>
      </c>
      <c r="AX2" s="705">
        <v>44166</v>
      </c>
      <c r="AY2" s="705">
        <v>44197</v>
      </c>
      <c r="AZ2" s="705">
        <v>44228</v>
      </c>
      <c r="BA2" s="705">
        <v>44256</v>
      </c>
      <c r="BB2" s="705">
        <v>44287</v>
      </c>
      <c r="BC2" s="705">
        <v>44317</v>
      </c>
      <c r="BD2" s="705">
        <v>44348</v>
      </c>
      <c r="BE2" s="705">
        <v>44378</v>
      </c>
      <c r="BF2" s="705">
        <v>44409</v>
      </c>
      <c r="BG2" s="705">
        <v>44440</v>
      </c>
      <c r="BH2" s="705">
        <v>44470</v>
      </c>
      <c r="BI2" s="705">
        <v>44501</v>
      </c>
      <c r="BJ2" s="705">
        <v>44531</v>
      </c>
    </row>
    <row r="3" spans="1:62">
      <c r="A3" s="704" t="s">
        <v>2000</v>
      </c>
      <c r="B3" s="704">
        <v>247</v>
      </c>
      <c r="C3" s="704">
        <v>17</v>
      </c>
      <c r="D3" s="704">
        <v>18</v>
      </c>
      <c r="E3" s="704">
        <v>22</v>
      </c>
      <c r="F3" s="704">
        <v>20</v>
      </c>
      <c r="G3" s="704">
        <v>20</v>
      </c>
      <c r="H3" s="704">
        <v>21</v>
      </c>
      <c r="I3" s="704">
        <v>21</v>
      </c>
      <c r="J3" s="704">
        <v>23</v>
      </c>
      <c r="K3" s="704">
        <v>21</v>
      </c>
      <c r="L3" s="704">
        <v>22</v>
      </c>
      <c r="M3" s="704">
        <v>21</v>
      </c>
      <c r="N3" s="704">
        <v>21</v>
      </c>
      <c r="O3" s="704">
        <v>17</v>
      </c>
      <c r="P3" s="704">
        <v>19</v>
      </c>
      <c r="Q3" s="704">
        <v>20</v>
      </c>
      <c r="R3" s="704">
        <v>21</v>
      </c>
      <c r="S3" s="704">
        <v>20</v>
      </c>
      <c r="T3" s="704">
        <v>20</v>
      </c>
      <c r="U3" s="704">
        <v>22</v>
      </c>
      <c r="V3" s="704">
        <v>23</v>
      </c>
      <c r="W3" s="704">
        <v>20</v>
      </c>
      <c r="X3" s="704">
        <v>23</v>
      </c>
      <c r="Y3" s="704">
        <v>21</v>
      </c>
      <c r="Z3" s="704">
        <v>21</v>
      </c>
      <c r="AA3" s="704">
        <v>17</v>
      </c>
      <c r="AB3" s="704">
        <v>19</v>
      </c>
      <c r="AC3" s="704">
        <v>20</v>
      </c>
      <c r="AD3" s="704">
        <v>22</v>
      </c>
      <c r="AE3" s="704">
        <v>21</v>
      </c>
      <c r="AF3" s="704">
        <v>19</v>
      </c>
      <c r="AG3" s="704">
        <v>23</v>
      </c>
      <c r="AH3" s="704">
        <v>22</v>
      </c>
      <c r="AI3" s="704">
        <v>21</v>
      </c>
      <c r="AJ3" s="704">
        <v>23</v>
      </c>
      <c r="AK3" s="704">
        <v>20</v>
      </c>
      <c r="AL3" s="704">
        <v>21</v>
      </c>
      <c r="AM3" s="704">
        <v>17</v>
      </c>
      <c r="AN3" s="704">
        <v>19</v>
      </c>
      <c r="AO3" s="704">
        <v>20</v>
      </c>
      <c r="AP3" s="704">
        <v>22</v>
      </c>
      <c r="AQ3" s="704">
        <v>21</v>
      </c>
      <c r="AR3" s="704">
        <v>19</v>
      </c>
      <c r="AS3" s="704">
        <v>23</v>
      </c>
      <c r="AT3" s="704">
        <v>22</v>
      </c>
      <c r="AU3" s="704">
        <v>21</v>
      </c>
      <c r="AV3" s="704">
        <v>23</v>
      </c>
      <c r="AW3" s="704">
        <v>20</v>
      </c>
      <c r="AX3" s="704">
        <v>21</v>
      </c>
      <c r="AY3" s="704">
        <v>17</v>
      </c>
      <c r="AZ3" s="704">
        <v>19</v>
      </c>
      <c r="BA3" s="704">
        <v>20</v>
      </c>
      <c r="BB3" s="704">
        <v>22</v>
      </c>
      <c r="BC3" s="704">
        <v>21</v>
      </c>
      <c r="BD3" s="704">
        <v>19</v>
      </c>
      <c r="BE3" s="704">
        <v>23</v>
      </c>
      <c r="BF3" s="704">
        <v>22</v>
      </c>
      <c r="BG3" s="704">
        <v>21</v>
      </c>
      <c r="BH3" s="704">
        <v>23</v>
      </c>
      <c r="BI3" s="704">
        <v>20</v>
      </c>
      <c r="BJ3" s="704">
        <v>21</v>
      </c>
    </row>
    <row r="4" spans="1:62">
      <c r="A4" s="704" t="s">
        <v>1995</v>
      </c>
      <c r="C4" s="704">
        <v>27</v>
      </c>
      <c r="D4" s="704">
        <v>27</v>
      </c>
      <c r="E4" s="704">
        <v>27</v>
      </c>
      <c r="F4" s="704">
        <v>27</v>
      </c>
      <c r="G4" s="704">
        <v>27</v>
      </c>
      <c r="H4" s="704">
        <v>27</v>
      </c>
      <c r="I4" s="704">
        <v>27</v>
      </c>
      <c r="J4" s="704">
        <v>27</v>
      </c>
      <c r="K4" s="704">
        <v>27</v>
      </c>
      <c r="L4" s="704">
        <v>27</v>
      </c>
      <c r="M4" s="704">
        <v>27</v>
      </c>
      <c r="N4" s="704">
        <v>27</v>
      </c>
      <c r="O4" s="704">
        <v>42</v>
      </c>
      <c r="P4" s="704">
        <v>42</v>
      </c>
      <c r="Q4" s="704">
        <v>42</v>
      </c>
      <c r="R4" s="704">
        <v>42</v>
      </c>
      <c r="S4" s="704">
        <v>42</v>
      </c>
      <c r="T4" s="704">
        <v>42</v>
      </c>
      <c r="U4" s="704">
        <v>42</v>
      </c>
      <c r="V4" s="704">
        <v>42</v>
      </c>
      <c r="W4" s="704">
        <v>42</v>
      </c>
      <c r="X4" s="704">
        <v>42</v>
      </c>
      <c r="Y4" s="704">
        <v>42</v>
      </c>
      <c r="Z4" s="704">
        <v>42</v>
      </c>
      <c r="AA4" s="704">
        <v>57</v>
      </c>
      <c r="AB4" s="704">
        <v>57</v>
      </c>
      <c r="AC4" s="704">
        <v>57</v>
      </c>
      <c r="AD4" s="704">
        <v>57</v>
      </c>
      <c r="AE4" s="704">
        <v>57</v>
      </c>
      <c r="AF4" s="704">
        <v>57</v>
      </c>
      <c r="AG4" s="704">
        <v>57</v>
      </c>
      <c r="AH4" s="704">
        <v>57</v>
      </c>
      <c r="AI4" s="704">
        <v>57</v>
      </c>
      <c r="AJ4" s="704">
        <v>57</v>
      </c>
      <c r="AK4" s="704">
        <v>57</v>
      </c>
      <c r="AL4" s="704">
        <v>57</v>
      </c>
      <c r="AM4" s="704">
        <v>72</v>
      </c>
      <c r="AN4" s="704">
        <v>72</v>
      </c>
      <c r="AO4" s="704">
        <v>72</v>
      </c>
      <c r="AP4" s="704">
        <v>72</v>
      </c>
      <c r="AQ4" s="704">
        <v>72</v>
      </c>
      <c r="AR4" s="704">
        <v>72</v>
      </c>
      <c r="AS4" s="704">
        <v>72</v>
      </c>
      <c r="AT4" s="704">
        <v>72</v>
      </c>
      <c r="AU4" s="704">
        <v>72</v>
      </c>
      <c r="AV4" s="704">
        <v>72</v>
      </c>
      <c r="AW4" s="704">
        <v>72</v>
      </c>
      <c r="AX4" s="704">
        <v>72</v>
      </c>
      <c r="AY4" s="704">
        <v>87</v>
      </c>
      <c r="AZ4" s="704">
        <v>87</v>
      </c>
      <c r="BA4" s="704">
        <v>87</v>
      </c>
      <c r="BB4" s="704">
        <v>87</v>
      </c>
      <c r="BC4" s="704">
        <v>87</v>
      </c>
      <c r="BD4" s="704">
        <v>87</v>
      </c>
      <c r="BE4" s="704">
        <v>87</v>
      </c>
      <c r="BF4" s="704">
        <v>87</v>
      </c>
      <c r="BG4" s="704">
        <v>87</v>
      </c>
      <c r="BH4" s="704">
        <v>87</v>
      </c>
      <c r="BI4" s="704">
        <v>87</v>
      </c>
      <c r="BJ4" s="704">
        <v>87</v>
      </c>
    </row>
    <row r="5" spans="1:62">
      <c r="A5" s="704" t="s">
        <v>2001</v>
      </c>
      <c r="C5" s="704">
        <v>8</v>
      </c>
      <c r="D5" s="704">
        <v>9</v>
      </c>
      <c r="E5" s="704">
        <v>10</v>
      </c>
      <c r="F5" s="704">
        <v>11</v>
      </c>
      <c r="G5" s="704">
        <v>12</v>
      </c>
      <c r="H5" s="704">
        <v>13</v>
      </c>
      <c r="I5" s="704">
        <v>14</v>
      </c>
      <c r="J5" s="704">
        <v>15</v>
      </c>
      <c r="K5" s="704">
        <v>16</v>
      </c>
      <c r="L5" s="704">
        <v>17</v>
      </c>
      <c r="M5" s="704">
        <v>18</v>
      </c>
      <c r="N5" s="704">
        <v>19</v>
      </c>
      <c r="O5" s="704">
        <v>21</v>
      </c>
      <c r="P5" s="704">
        <v>22</v>
      </c>
      <c r="Q5" s="704">
        <v>23</v>
      </c>
      <c r="R5" s="704">
        <v>24</v>
      </c>
      <c r="S5" s="704">
        <v>25</v>
      </c>
      <c r="T5" s="704">
        <v>26</v>
      </c>
      <c r="U5" s="704">
        <v>27</v>
      </c>
      <c r="V5" s="704">
        <v>28</v>
      </c>
      <c r="W5" s="704">
        <v>29</v>
      </c>
      <c r="X5" s="704">
        <v>30</v>
      </c>
      <c r="Y5" s="704">
        <v>31</v>
      </c>
      <c r="Z5" s="704">
        <v>32</v>
      </c>
      <c r="AA5" s="704">
        <v>34</v>
      </c>
      <c r="AB5" s="704">
        <v>35</v>
      </c>
      <c r="AC5" s="704">
        <v>36</v>
      </c>
      <c r="AD5" s="704">
        <v>37</v>
      </c>
      <c r="AE5" s="704">
        <v>38</v>
      </c>
      <c r="AF5" s="704">
        <v>39</v>
      </c>
      <c r="AG5" s="704">
        <v>40</v>
      </c>
      <c r="AH5" s="704">
        <v>41</v>
      </c>
      <c r="AI5" s="704">
        <v>42</v>
      </c>
      <c r="AJ5" s="704">
        <v>43</v>
      </c>
      <c r="AK5" s="704">
        <v>44</v>
      </c>
      <c r="AL5" s="704">
        <v>45</v>
      </c>
      <c r="AM5" s="704">
        <v>47</v>
      </c>
      <c r="AN5" s="704">
        <v>48</v>
      </c>
      <c r="AO5" s="704">
        <v>49</v>
      </c>
      <c r="AP5" s="704">
        <v>50</v>
      </c>
      <c r="AQ5" s="704">
        <v>51</v>
      </c>
      <c r="AR5" s="704">
        <v>52</v>
      </c>
      <c r="AS5" s="704">
        <v>53</v>
      </c>
      <c r="AT5" s="704">
        <v>54</v>
      </c>
      <c r="AU5" s="704">
        <v>55</v>
      </c>
      <c r="AV5" s="704">
        <v>56</v>
      </c>
      <c r="AW5" s="704">
        <v>57</v>
      </c>
      <c r="AX5" s="704">
        <v>58</v>
      </c>
      <c r="AY5" s="704">
        <v>60</v>
      </c>
      <c r="AZ5" s="704">
        <v>61</v>
      </c>
      <c r="BA5" s="704">
        <v>62</v>
      </c>
      <c r="BB5" s="704">
        <v>63</v>
      </c>
      <c r="BC5" s="704">
        <v>64</v>
      </c>
      <c r="BD5" s="704">
        <v>65</v>
      </c>
      <c r="BE5" s="704">
        <v>66</v>
      </c>
      <c r="BF5" s="704">
        <v>67</v>
      </c>
      <c r="BG5" s="704">
        <v>68</v>
      </c>
      <c r="BH5" s="704">
        <v>69</v>
      </c>
      <c r="BI5" s="704">
        <v>70</v>
      </c>
      <c r="BJ5" s="704">
        <v>71</v>
      </c>
    </row>
    <row r="6" spans="1:62">
      <c r="A6" s="704" t="s">
        <v>2002</v>
      </c>
      <c r="C6" s="704">
        <v>7</v>
      </c>
      <c r="D6" s="704">
        <v>8</v>
      </c>
      <c r="E6" s="704">
        <v>9</v>
      </c>
      <c r="F6" s="704">
        <v>10</v>
      </c>
      <c r="G6" s="704">
        <v>11</v>
      </c>
      <c r="H6" s="704">
        <v>12</v>
      </c>
      <c r="I6" s="704">
        <v>13</v>
      </c>
      <c r="J6" s="704">
        <v>14</v>
      </c>
      <c r="K6" s="704">
        <v>15</v>
      </c>
      <c r="L6" s="704">
        <v>16</v>
      </c>
      <c r="M6" s="704">
        <v>17</v>
      </c>
      <c r="N6" s="704">
        <v>18</v>
      </c>
      <c r="O6" s="704">
        <v>20</v>
      </c>
      <c r="P6" s="704">
        <v>21</v>
      </c>
      <c r="Q6" s="704">
        <v>22</v>
      </c>
      <c r="R6" s="704">
        <v>23</v>
      </c>
      <c r="S6" s="704">
        <v>24</v>
      </c>
      <c r="T6" s="704">
        <v>25</v>
      </c>
      <c r="U6" s="704">
        <v>26</v>
      </c>
      <c r="V6" s="704">
        <v>27</v>
      </c>
      <c r="W6" s="704">
        <v>28</v>
      </c>
      <c r="X6" s="704">
        <v>29</v>
      </c>
      <c r="Y6" s="704">
        <v>30</v>
      </c>
      <c r="Z6" s="704">
        <v>31</v>
      </c>
      <c r="AA6" s="704">
        <v>33</v>
      </c>
      <c r="AB6" s="704">
        <v>34</v>
      </c>
      <c r="AC6" s="704">
        <v>35</v>
      </c>
      <c r="AD6" s="704">
        <v>36</v>
      </c>
      <c r="AE6" s="704">
        <v>37</v>
      </c>
      <c r="AF6" s="704">
        <v>38</v>
      </c>
      <c r="AG6" s="704">
        <v>39</v>
      </c>
      <c r="AH6" s="704">
        <v>40</v>
      </c>
      <c r="AI6" s="704">
        <v>41</v>
      </c>
      <c r="AJ6" s="704">
        <v>42</v>
      </c>
      <c r="AK6" s="704">
        <v>43</v>
      </c>
      <c r="AL6" s="704">
        <v>44</v>
      </c>
      <c r="AM6" s="704">
        <v>46</v>
      </c>
      <c r="AN6" s="704">
        <v>47</v>
      </c>
      <c r="AO6" s="704">
        <v>48</v>
      </c>
      <c r="AP6" s="704">
        <v>49</v>
      </c>
      <c r="AQ6" s="704">
        <v>50</v>
      </c>
      <c r="AR6" s="704">
        <v>51</v>
      </c>
      <c r="AS6" s="704">
        <v>52</v>
      </c>
      <c r="AT6" s="704">
        <v>53</v>
      </c>
      <c r="AU6" s="704">
        <v>54</v>
      </c>
      <c r="AV6" s="704">
        <v>55</v>
      </c>
      <c r="AW6" s="704">
        <v>56</v>
      </c>
      <c r="AX6" s="704">
        <v>57</v>
      </c>
      <c r="AY6" s="704">
        <v>59</v>
      </c>
      <c r="AZ6" s="704">
        <v>60</v>
      </c>
      <c r="BA6" s="704">
        <v>61</v>
      </c>
      <c r="BB6" s="704">
        <v>62</v>
      </c>
      <c r="BC6" s="704">
        <v>63</v>
      </c>
      <c r="BD6" s="704">
        <v>64</v>
      </c>
      <c r="BE6" s="704">
        <v>65</v>
      </c>
      <c r="BF6" s="704">
        <v>66</v>
      </c>
      <c r="BG6" s="704">
        <v>67</v>
      </c>
      <c r="BH6" s="704">
        <v>68</v>
      </c>
      <c r="BI6" s="704">
        <v>69</v>
      </c>
      <c r="BJ6" s="704">
        <v>70</v>
      </c>
    </row>
    <row r="7" spans="1:62">
      <c r="A7" s="708" t="s">
        <v>2005</v>
      </c>
      <c r="B7" s="704">
        <v>19</v>
      </c>
      <c r="C7" s="704">
        <v>22</v>
      </c>
      <c r="D7" s="704">
        <f>MATCH(D$2,'Стоимость подрядных работ'!7:7,0)</f>
        <v>23</v>
      </c>
      <c r="E7" s="704">
        <f>MATCH(E$2,'Стоимость подрядных работ'!7:7,0)</f>
        <v>24</v>
      </c>
      <c r="F7" s="704">
        <f>MATCH(F$2,'Стоимость подрядных работ'!7:7,0)</f>
        <v>25</v>
      </c>
      <c r="G7" s="704">
        <f>MATCH(G$2,'Стоимость подрядных работ'!7:7,0)</f>
        <v>26</v>
      </c>
      <c r="H7" s="704">
        <f>MATCH(H$2,'Стоимость подрядных работ'!7:7,0)</f>
        <v>27</v>
      </c>
      <c r="I7" s="704">
        <f>MATCH(I$2,'Стоимость подрядных работ'!7:7,0)</f>
        <v>28</v>
      </c>
      <c r="J7" s="704">
        <f>MATCH(J$2,'Стоимость подрядных работ'!7:7,0)</f>
        <v>29</v>
      </c>
      <c r="K7" s="704">
        <f>MATCH(K$2,'Стоимость подрядных работ'!7:7,0)</f>
        <v>30</v>
      </c>
      <c r="L7" s="704">
        <f>MATCH(L$2,'Стоимость подрядных работ'!7:7,0)</f>
        <v>31</v>
      </c>
      <c r="M7" s="704">
        <f>MATCH(M$2,'Стоимость подрядных работ'!7:7,0)</f>
        <v>32</v>
      </c>
      <c r="N7" s="704">
        <f>MATCH(N$2,'Стоимость подрядных работ'!7:7,0)</f>
        <v>33</v>
      </c>
      <c r="O7" s="704">
        <f>MATCH(O$2,'Стоимость подрядных работ'!7:7,0)</f>
        <v>37</v>
      </c>
      <c r="P7" s="704">
        <f>MATCH(P$2,'Стоимость подрядных работ'!7:7,0)</f>
        <v>38</v>
      </c>
      <c r="Q7" s="704">
        <f>MATCH(Q$2,'Стоимость подрядных работ'!7:7,0)</f>
        <v>39</v>
      </c>
      <c r="R7" s="704">
        <f>MATCH(R$2,'Стоимость подрядных работ'!7:7,0)</f>
        <v>40</v>
      </c>
      <c r="S7" s="704">
        <f>MATCH(S$2,'Стоимость подрядных работ'!7:7,0)</f>
        <v>41</v>
      </c>
      <c r="T7" s="704">
        <f>MATCH(T$2,'Стоимость подрядных работ'!7:7,0)</f>
        <v>42</v>
      </c>
      <c r="U7" s="704">
        <f>MATCH(U$2,'Стоимость подрядных работ'!7:7,0)</f>
        <v>43</v>
      </c>
      <c r="V7" s="704">
        <f>MATCH(V$2,'Стоимость подрядных работ'!7:7,0)</f>
        <v>44</v>
      </c>
      <c r="W7" s="704">
        <f>MATCH(W$2,'Стоимость подрядных работ'!7:7,0)</f>
        <v>45</v>
      </c>
      <c r="X7" s="704">
        <f>MATCH(X$2,'Стоимость подрядных работ'!7:7,0)</f>
        <v>46</v>
      </c>
      <c r="Y7" s="704">
        <f>MATCH(Y$2,'Стоимость подрядных работ'!7:7,0)</f>
        <v>47</v>
      </c>
      <c r="Z7" s="704">
        <f>MATCH(Z$2,'Стоимость подрядных работ'!7:7,0)</f>
        <v>48</v>
      </c>
      <c r="AA7" s="704">
        <f>MATCH(AA$2,'Стоимость подрядных работ'!7:7,0)</f>
        <v>52</v>
      </c>
      <c r="AB7" s="704">
        <f>MATCH(AB$2,'Стоимость подрядных работ'!7:7,0)</f>
        <v>53</v>
      </c>
      <c r="AC7" s="704">
        <f>MATCH(AC$2,'Стоимость подрядных работ'!7:7,0)</f>
        <v>54</v>
      </c>
      <c r="AD7" s="704">
        <f>MATCH(AD$2,'Стоимость подрядных работ'!7:7,0)</f>
        <v>55</v>
      </c>
      <c r="AE7" s="704">
        <f>MATCH(AE$2,'Стоимость подрядных работ'!7:7,0)</f>
        <v>56</v>
      </c>
      <c r="AF7" s="704">
        <f>MATCH(AF$2,'Стоимость подрядных работ'!7:7,0)</f>
        <v>57</v>
      </c>
      <c r="AG7" s="704">
        <f>MATCH(AG$2,'Стоимость подрядных работ'!7:7,0)</f>
        <v>58</v>
      </c>
      <c r="AH7" s="704">
        <f>MATCH(AH$2,'Стоимость подрядных работ'!7:7,0)</f>
        <v>59</v>
      </c>
      <c r="AI7" s="704">
        <f>MATCH(AI$2,'Стоимость подрядных работ'!7:7,0)</f>
        <v>60</v>
      </c>
      <c r="AJ7" s="704">
        <f>MATCH(AJ$2,'Стоимость подрядных работ'!7:7,0)</f>
        <v>61</v>
      </c>
      <c r="AK7" s="704">
        <f>MATCH(AK$2,'Стоимость подрядных работ'!7:7,0)</f>
        <v>62</v>
      </c>
      <c r="AL7" s="704">
        <f>MATCH(AL$2,'Стоимость подрядных работ'!7:7,0)</f>
        <v>63</v>
      </c>
      <c r="AM7" s="704">
        <f>MATCH(AM$2,'Стоимость подрядных работ'!7:7,0)</f>
        <v>67</v>
      </c>
      <c r="AN7" s="704">
        <f>MATCH(AN$2,'Стоимость подрядных работ'!7:7,0)</f>
        <v>68</v>
      </c>
      <c r="AO7" s="704">
        <f>MATCH(AO$2,'Стоимость подрядных работ'!7:7,0)</f>
        <v>69</v>
      </c>
      <c r="AP7" s="704">
        <f>MATCH(AP$2,'Стоимость подрядных работ'!7:7,0)</f>
        <v>70</v>
      </c>
      <c r="AQ7" s="704">
        <f>MATCH(AQ$2,'Стоимость подрядных работ'!7:7,0)</f>
        <v>71</v>
      </c>
      <c r="AR7" s="704">
        <f>MATCH(AR$2,'Стоимость подрядных работ'!7:7,0)</f>
        <v>72</v>
      </c>
      <c r="AS7" s="704">
        <f>MATCH(AS$2,'Стоимость подрядных работ'!7:7,0)</f>
        <v>73</v>
      </c>
      <c r="AT7" s="704">
        <f>MATCH(AT$2,'Стоимость подрядных работ'!7:7,0)</f>
        <v>74</v>
      </c>
      <c r="AU7" s="704">
        <f>MATCH(AU$2,'Стоимость подрядных работ'!7:7,0)</f>
        <v>75</v>
      </c>
      <c r="AV7" s="704">
        <f>MATCH(AV$2,'Стоимость подрядных работ'!7:7,0)</f>
        <v>76</v>
      </c>
      <c r="AW7" s="704">
        <f>MATCH(AW$2,'Стоимость подрядных работ'!7:7,0)</f>
        <v>77</v>
      </c>
      <c r="AX7" s="704">
        <f>MATCH(AX$2,'Стоимость подрядных работ'!7:7,0)</f>
        <v>78</v>
      </c>
      <c r="AY7" s="704">
        <v>82</v>
      </c>
      <c r="AZ7" s="704">
        <v>83</v>
      </c>
      <c r="BA7" s="704">
        <v>84</v>
      </c>
      <c r="BB7" s="704">
        <v>85</v>
      </c>
      <c r="BC7" s="704">
        <v>86</v>
      </c>
      <c r="BD7" s="704">
        <v>87</v>
      </c>
      <c r="BE7" s="704">
        <v>88</v>
      </c>
      <c r="BF7" s="704">
        <v>89</v>
      </c>
      <c r="BG7" s="704">
        <v>90</v>
      </c>
      <c r="BH7" s="704">
        <v>91</v>
      </c>
      <c r="BI7" s="704">
        <v>92</v>
      </c>
      <c r="BJ7" s="704">
        <v>93</v>
      </c>
    </row>
    <row r="8" spans="1:62">
      <c r="A8" s="708" t="s">
        <v>1694</v>
      </c>
      <c r="B8" s="704">
        <v>11</v>
      </c>
      <c r="C8" s="704">
        <v>12</v>
      </c>
      <c r="D8" s="704">
        <v>13</v>
      </c>
      <c r="E8" s="704">
        <v>14</v>
      </c>
      <c r="F8" s="704">
        <v>15</v>
      </c>
      <c r="G8" s="704">
        <v>16</v>
      </c>
      <c r="H8" s="704">
        <v>17</v>
      </c>
      <c r="I8" s="704">
        <v>18</v>
      </c>
      <c r="J8" s="704">
        <v>19</v>
      </c>
      <c r="K8" s="704">
        <v>20</v>
      </c>
      <c r="L8" s="704">
        <v>21</v>
      </c>
      <c r="M8" s="704">
        <v>22</v>
      </c>
      <c r="N8" s="704">
        <v>23</v>
      </c>
      <c r="O8" s="704">
        <v>25</v>
      </c>
      <c r="P8" s="704">
        <v>26</v>
      </c>
      <c r="Q8" s="704">
        <v>27</v>
      </c>
      <c r="R8" s="704">
        <v>28</v>
      </c>
      <c r="S8" s="704">
        <v>29</v>
      </c>
      <c r="T8" s="704">
        <v>30</v>
      </c>
      <c r="U8" s="704">
        <v>31</v>
      </c>
      <c r="V8" s="704">
        <v>32</v>
      </c>
      <c r="W8" s="704">
        <v>33</v>
      </c>
      <c r="X8" s="704">
        <v>34</v>
      </c>
      <c r="Y8" s="704">
        <v>35</v>
      </c>
      <c r="Z8" s="704">
        <v>36</v>
      </c>
      <c r="AA8" s="704">
        <v>38</v>
      </c>
      <c r="AB8" s="704">
        <v>39</v>
      </c>
      <c r="AC8" s="704">
        <v>40</v>
      </c>
      <c r="AD8" s="704">
        <v>41</v>
      </c>
      <c r="AE8" s="704">
        <v>42</v>
      </c>
      <c r="AF8" s="704">
        <v>43</v>
      </c>
      <c r="AG8" s="704">
        <v>44</v>
      </c>
      <c r="AH8" s="704">
        <v>45</v>
      </c>
      <c r="AI8" s="704">
        <v>46</v>
      </c>
      <c r="AJ8" s="704">
        <v>47</v>
      </c>
      <c r="AK8" s="704">
        <v>48</v>
      </c>
      <c r="AL8" s="704">
        <v>49</v>
      </c>
      <c r="AM8" s="704">
        <v>51</v>
      </c>
      <c r="AN8" s="704">
        <v>52</v>
      </c>
      <c r="AO8" s="704">
        <v>53</v>
      </c>
      <c r="AP8" s="704">
        <v>54</v>
      </c>
      <c r="AQ8" s="704">
        <v>55</v>
      </c>
      <c r="AR8" s="704">
        <v>56</v>
      </c>
      <c r="AS8" s="704">
        <v>57</v>
      </c>
      <c r="AT8" s="704">
        <v>58</v>
      </c>
      <c r="AU8" s="704">
        <v>59</v>
      </c>
      <c r="AV8" s="704">
        <v>60</v>
      </c>
      <c r="AW8" s="704">
        <v>61</v>
      </c>
      <c r="AX8" s="704">
        <v>62</v>
      </c>
      <c r="AY8" s="704">
        <v>64</v>
      </c>
      <c r="AZ8" s="704">
        <v>65</v>
      </c>
      <c r="BA8" s="704">
        <v>66</v>
      </c>
      <c r="BB8" s="704">
        <v>67</v>
      </c>
      <c r="BC8" s="704">
        <v>68</v>
      </c>
      <c r="BD8" s="704">
        <v>69</v>
      </c>
      <c r="BE8" s="704">
        <v>70</v>
      </c>
      <c r="BF8" s="704">
        <v>71</v>
      </c>
      <c r="BG8" s="704">
        <v>72</v>
      </c>
      <c r="BH8" s="704">
        <v>73</v>
      </c>
      <c r="BI8" s="704">
        <v>74</v>
      </c>
      <c r="BJ8" s="704">
        <v>75</v>
      </c>
    </row>
    <row r="9" spans="1:62">
      <c r="B9" s="705"/>
      <c r="C9" s="705"/>
      <c r="D9" s="705"/>
      <c r="E9" s="705"/>
      <c r="F9" s="705"/>
      <c r="G9" s="705"/>
      <c r="H9" s="705"/>
      <c r="I9" s="705"/>
      <c r="J9" s="705"/>
      <c r="K9" s="705"/>
      <c r="L9" s="705"/>
      <c r="M9" s="705"/>
      <c r="N9" s="705"/>
      <c r="O9" s="705"/>
      <c r="P9" s="705"/>
      <c r="Q9" s="705"/>
      <c r="R9" s="705"/>
      <c r="S9" s="705"/>
      <c r="T9" s="705"/>
      <c r="U9" s="705"/>
      <c r="V9" s="705"/>
      <c r="W9" s="705"/>
      <c r="X9" s="705"/>
      <c r="Y9" s="705"/>
      <c r="Z9" s="705"/>
      <c r="AA9" s="705"/>
      <c r="AB9" s="705"/>
      <c r="AC9" s="705"/>
      <c r="AD9" s="705"/>
      <c r="AE9" s="705"/>
      <c r="AF9" s="705"/>
      <c r="AG9" s="705"/>
      <c r="AH9" s="705"/>
      <c r="AI9" s="705"/>
      <c r="AJ9" s="705"/>
      <c r="AK9" s="705"/>
      <c r="AL9" s="705"/>
      <c r="AM9" s="705"/>
      <c r="AN9" s="705"/>
      <c r="AO9" s="705"/>
      <c r="AP9" s="705"/>
      <c r="AQ9" s="705"/>
      <c r="AR9" s="705"/>
      <c r="AS9" s="705"/>
      <c r="AT9" s="705"/>
      <c r="AU9" s="705"/>
      <c r="AV9" s="705"/>
      <c r="AW9" s="705"/>
      <c r="AX9" s="705"/>
      <c r="AY9" s="705"/>
      <c r="AZ9" s="705"/>
      <c r="BA9" s="705"/>
      <c r="BB9" s="705"/>
      <c r="BC9" s="705"/>
      <c r="BD9" s="705"/>
      <c r="BE9" s="705"/>
      <c r="BF9" s="705"/>
      <c r="BG9" s="705"/>
      <c r="BH9" s="705"/>
      <c r="BI9" s="705"/>
      <c r="BJ9" s="705"/>
    </row>
    <row r="17" spans="4:4">
      <c r="D17" s="704">
        <v>1</v>
      </c>
    </row>
  </sheetData>
  <dataConsolidate/>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3"/>
  <dimension ref="B2:F177"/>
  <sheetViews>
    <sheetView workbookViewId="0">
      <selection sqref="A1:XFD1048576"/>
    </sheetView>
  </sheetViews>
  <sheetFormatPr defaultRowHeight="12.75"/>
  <cols>
    <col min="2" max="2" width="9.140625" style="13"/>
    <col min="3" max="3" width="41.28515625" style="13" customWidth="1"/>
    <col min="4" max="4" width="64.140625" style="13" customWidth="1"/>
    <col min="5" max="5" width="66.42578125" style="13" customWidth="1"/>
    <col min="6" max="6" width="12.140625" style="165" customWidth="1"/>
    <col min="9" max="9" width="9.140625" customWidth="1"/>
  </cols>
  <sheetData>
    <row r="2" spans="2:6" ht="13.5" thickBot="1"/>
    <row r="3" spans="2:6" ht="63">
      <c r="B3" s="168" t="s">
        <v>1532</v>
      </c>
      <c r="C3" s="169" t="s">
        <v>1630</v>
      </c>
      <c r="D3" s="170" t="s">
        <v>1631</v>
      </c>
      <c r="E3" s="170" t="s">
        <v>1671</v>
      </c>
      <c r="F3" s="170" t="s">
        <v>74</v>
      </c>
    </row>
    <row r="4" spans="2:6" ht="24.75" customHeight="1">
      <c r="B4" s="171" t="s">
        <v>0</v>
      </c>
      <c r="C4" s="1123" t="s">
        <v>1635</v>
      </c>
      <c r="D4" s="1124"/>
      <c r="E4" s="1124"/>
      <c r="F4" s="172"/>
    </row>
    <row r="5" spans="2:6" ht="35.25" customHeight="1">
      <c r="B5" s="1119" t="s">
        <v>1548</v>
      </c>
      <c r="C5" s="1121" t="s">
        <v>1456</v>
      </c>
      <c r="D5" s="1121" t="s">
        <v>1457</v>
      </c>
      <c r="E5" s="1121" t="s">
        <v>1638</v>
      </c>
      <c r="F5" s="1125" t="s">
        <v>106</v>
      </c>
    </row>
    <row r="6" spans="2:6" ht="35.25" customHeight="1">
      <c r="B6" s="1120"/>
      <c r="C6" s="1122"/>
      <c r="D6" s="1122"/>
      <c r="E6" s="1122"/>
      <c r="F6" s="1126" t="s">
        <v>106</v>
      </c>
    </row>
    <row r="7" spans="2:6" ht="35.25" customHeight="1">
      <c r="B7" s="1119" t="s">
        <v>1549</v>
      </c>
      <c r="C7" s="1121" t="s">
        <v>1462</v>
      </c>
      <c r="D7" s="1121" t="s">
        <v>1607</v>
      </c>
      <c r="E7" s="1121" t="s">
        <v>1638</v>
      </c>
      <c r="F7" s="1125" t="s">
        <v>106</v>
      </c>
    </row>
    <row r="8" spans="2:6" ht="35.25" customHeight="1">
      <c r="B8" s="1120"/>
      <c r="C8" s="1122"/>
      <c r="D8" s="1122"/>
      <c r="E8" s="1122"/>
      <c r="F8" s="1126" t="s">
        <v>106</v>
      </c>
    </row>
    <row r="9" spans="2:6" ht="24" customHeight="1">
      <c r="B9" s="171" t="s">
        <v>9</v>
      </c>
      <c r="C9" s="1123" t="s">
        <v>1636</v>
      </c>
      <c r="D9" s="1124"/>
      <c r="E9" s="1124"/>
      <c r="F9" s="172"/>
    </row>
    <row r="10" spans="2:6" ht="29.25" customHeight="1">
      <c r="B10" s="1119" t="s">
        <v>1550</v>
      </c>
      <c r="C10" s="1121" t="s">
        <v>1672</v>
      </c>
      <c r="D10" s="1121" t="s">
        <v>77</v>
      </c>
      <c r="E10" s="1121" t="s">
        <v>1639</v>
      </c>
      <c r="F10" s="1125" t="s">
        <v>106</v>
      </c>
    </row>
    <row r="11" spans="2:6" ht="29.25" customHeight="1">
      <c r="B11" s="1120"/>
      <c r="C11" s="1122"/>
      <c r="D11" s="1122"/>
      <c r="E11" s="1122"/>
      <c r="F11" s="1126" t="s">
        <v>106</v>
      </c>
    </row>
    <row r="12" spans="2:6" ht="33.75" customHeight="1">
      <c r="B12" s="1119" t="s">
        <v>1551</v>
      </c>
      <c r="C12" s="1121" t="s">
        <v>1463</v>
      </c>
      <c r="D12" s="1121" t="s">
        <v>78</v>
      </c>
      <c r="E12" s="1121" t="s">
        <v>1639</v>
      </c>
      <c r="F12" s="1125" t="s">
        <v>106</v>
      </c>
    </row>
    <row r="13" spans="2:6" ht="33.75" customHeight="1">
      <c r="B13" s="1120"/>
      <c r="C13" s="1122"/>
      <c r="D13" s="1122"/>
      <c r="E13" s="1122"/>
      <c r="F13" s="1126" t="s">
        <v>106</v>
      </c>
    </row>
    <row r="14" spans="2:6" ht="33.75" customHeight="1">
      <c r="B14" s="1119" t="s">
        <v>1552</v>
      </c>
      <c r="C14" s="1121" t="s">
        <v>1464</v>
      </c>
      <c r="D14" s="1121" t="s">
        <v>1673</v>
      </c>
      <c r="E14" s="1121" t="s">
        <v>1639</v>
      </c>
      <c r="F14" s="1125" t="s">
        <v>106</v>
      </c>
    </row>
    <row r="15" spans="2:6" ht="33.75" customHeight="1">
      <c r="B15" s="1120"/>
      <c r="C15" s="1122"/>
      <c r="D15" s="1122"/>
      <c r="E15" s="1122"/>
      <c r="F15" s="1126" t="s">
        <v>106</v>
      </c>
    </row>
    <row r="16" spans="2:6" ht="29.25" customHeight="1">
      <c r="B16" s="1119" t="s">
        <v>1553</v>
      </c>
      <c r="C16" s="1121" t="s">
        <v>1465</v>
      </c>
      <c r="D16" s="1121" t="s">
        <v>111</v>
      </c>
      <c r="E16" s="1121" t="s">
        <v>1639</v>
      </c>
      <c r="F16" s="1125" t="s">
        <v>106</v>
      </c>
    </row>
    <row r="17" spans="2:6" ht="29.25" customHeight="1">
      <c r="B17" s="1120"/>
      <c r="C17" s="1122"/>
      <c r="D17" s="1122"/>
      <c r="E17" s="1122"/>
      <c r="F17" s="1126" t="s">
        <v>106</v>
      </c>
    </row>
    <row r="18" spans="2:6" ht="29.25" customHeight="1">
      <c r="B18" s="1119" t="s">
        <v>1554</v>
      </c>
      <c r="C18" s="1121" t="s">
        <v>1466</v>
      </c>
      <c r="D18" s="1121" t="s">
        <v>79</v>
      </c>
      <c r="E18" s="1121" t="s">
        <v>1639</v>
      </c>
      <c r="F18" s="1125" t="s">
        <v>106</v>
      </c>
    </row>
    <row r="19" spans="2:6" ht="29.25" customHeight="1">
      <c r="B19" s="1120"/>
      <c r="C19" s="1122"/>
      <c r="D19" s="1122"/>
      <c r="E19" s="1122"/>
      <c r="F19" s="1126" t="s">
        <v>106</v>
      </c>
    </row>
    <row r="20" spans="2:6" ht="29.25" customHeight="1">
      <c r="B20" s="1119" t="s">
        <v>1555</v>
      </c>
      <c r="C20" s="1121" t="s">
        <v>80</v>
      </c>
      <c r="D20" s="1121" t="s">
        <v>80</v>
      </c>
      <c r="E20" s="1121" t="s">
        <v>1639</v>
      </c>
      <c r="F20" s="1125" t="s">
        <v>106</v>
      </c>
    </row>
    <row r="21" spans="2:6" ht="29.25" customHeight="1">
      <c r="B21" s="1120"/>
      <c r="C21" s="1122"/>
      <c r="D21" s="1122"/>
      <c r="E21" s="1122"/>
      <c r="F21" s="1126" t="s">
        <v>106</v>
      </c>
    </row>
    <row r="22" spans="2:6" ht="29.25" customHeight="1">
      <c r="B22" s="1119" t="s">
        <v>1556</v>
      </c>
      <c r="C22" s="1121" t="s">
        <v>1467</v>
      </c>
      <c r="D22" s="1121" t="s">
        <v>81</v>
      </c>
      <c r="E22" s="1121" t="s">
        <v>1682</v>
      </c>
      <c r="F22" s="1125" t="s">
        <v>106</v>
      </c>
    </row>
    <row r="23" spans="2:6" ht="29.25" customHeight="1">
      <c r="B23" s="1120"/>
      <c r="C23" s="1122"/>
      <c r="D23" s="1122"/>
      <c r="E23" s="1122"/>
      <c r="F23" s="1126" t="s">
        <v>106</v>
      </c>
    </row>
    <row r="24" spans="2:6" ht="36" customHeight="1">
      <c r="B24" s="1119" t="s">
        <v>1557</v>
      </c>
      <c r="C24" s="1121" t="s">
        <v>1468</v>
      </c>
      <c r="D24" s="1121" t="s">
        <v>1641</v>
      </c>
      <c r="E24" s="1121" t="s">
        <v>1639</v>
      </c>
      <c r="F24" s="1125" t="s">
        <v>106</v>
      </c>
    </row>
    <row r="25" spans="2:6" ht="36" customHeight="1">
      <c r="B25" s="1120"/>
      <c r="C25" s="1122"/>
      <c r="D25" s="1122"/>
      <c r="E25" s="1122"/>
      <c r="F25" s="1126" t="s">
        <v>106</v>
      </c>
    </row>
    <row r="26" spans="2:6" ht="29.25" customHeight="1">
      <c r="B26" s="1119" t="s">
        <v>1558</v>
      </c>
      <c r="C26" s="1121" t="s">
        <v>1469</v>
      </c>
      <c r="D26" s="1121" t="s">
        <v>1608</v>
      </c>
      <c r="E26" s="1121" t="s">
        <v>1639</v>
      </c>
      <c r="F26" s="1125" t="s">
        <v>106</v>
      </c>
    </row>
    <row r="27" spans="2:6" ht="29.25" customHeight="1">
      <c r="B27" s="1120"/>
      <c r="C27" s="1122"/>
      <c r="D27" s="1122"/>
      <c r="E27" s="1122"/>
      <c r="F27" s="1126" t="s">
        <v>106</v>
      </c>
    </row>
    <row r="28" spans="2:6" ht="33.75" customHeight="1">
      <c r="B28" s="171" t="s">
        <v>12</v>
      </c>
      <c r="C28" s="1123" t="s">
        <v>1637</v>
      </c>
      <c r="D28" s="1124"/>
      <c r="E28" s="1124"/>
      <c r="F28" s="172"/>
    </row>
    <row r="29" spans="2:6" ht="72.75" customHeight="1">
      <c r="B29" s="1119" t="s">
        <v>1559</v>
      </c>
      <c r="C29" s="1121" t="s">
        <v>1470</v>
      </c>
      <c r="D29" s="1121" t="s">
        <v>1612</v>
      </c>
      <c r="E29" s="1121" t="s">
        <v>1642</v>
      </c>
      <c r="F29" s="1125" t="s">
        <v>106</v>
      </c>
    </row>
    <row r="30" spans="2:6" ht="72.75" customHeight="1">
      <c r="B30" s="1120"/>
      <c r="C30" s="1122"/>
      <c r="D30" s="1122"/>
      <c r="E30" s="1122"/>
      <c r="F30" s="1126" t="s">
        <v>106</v>
      </c>
    </row>
    <row r="31" spans="2:6" ht="72.75" customHeight="1">
      <c r="B31" s="1119" t="s">
        <v>1560</v>
      </c>
      <c r="C31" s="1121" t="s">
        <v>1471</v>
      </c>
      <c r="D31" s="1121" t="s">
        <v>1613</v>
      </c>
      <c r="E31" s="1121" t="s">
        <v>1643</v>
      </c>
      <c r="F31" s="1125" t="s">
        <v>106</v>
      </c>
    </row>
    <row r="32" spans="2:6" ht="72.75" customHeight="1">
      <c r="B32" s="1120"/>
      <c r="C32" s="1122"/>
      <c r="D32" s="1122"/>
      <c r="E32" s="1122"/>
      <c r="F32" s="1126" t="s">
        <v>106</v>
      </c>
    </row>
    <row r="33" spans="2:6" ht="120" customHeight="1">
      <c r="B33" s="1119" t="s">
        <v>1561</v>
      </c>
      <c r="C33" s="1121" t="s">
        <v>1472</v>
      </c>
      <c r="D33" s="1121" t="s">
        <v>1614</v>
      </c>
      <c r="E33" s="1121" t="s">
        <v>1652</v>
      </c>
      <c r="F33" s="1125" t="s">
        <v>106</v>
      </c>
    </row>
    <row r="34" spans="2:6" ht="120" customHeight="1">
      <c r="B34" s="1120"/>
      <c r="C34" s="1122"/>
      <c r="D34" s="1122"/>
      <c r="E34" s="1122"/>
      <c r="F34" s="1126" t="s">
        <v>106</v>
      </c>
    </row>
    <row r="35" spans="2:6" ht="25.5" customHeight="1">
      <c r="B35" s="1119" t="s">
        <v>1562</v>
      </c>
      <c r="C35" s="1121" t="s">
        <v>1473</v>
      </c>
      <c r="D35" s="1121" t="s">
        <v>82</v>
      </c>
      <c r="E35" s="1121" t="s">
        <v>1644</v>
      </c>
      <c r="F35" s="1125" t="s">
        <v>106</v>
      </c>
    </row>
    <row r="36" spans="2:6" ht="25.5" customHeight="1">
      <c r="B36" s="1120"/>
      <c r="C36" s="1122"/>
      <c r="D36" s="1122"/>
      <c r="E36" s="1122"/>
      <c r="F36" s="1126" t="s">
        <v>106</v>
      </c>
    </row>
    <row r="37" spans="2:6" ht="106.5" customHeight="1">
      <c r="B37" s="1119" t="s">
        <v>1563</v>
      </c>
      <c r="C37" s="1121" t="s">
        <v>1474</v>
      </c>
      <c r="D37" s="1121" t="s">
        <v>1674</v>
      </c>
      <c r="E37" s="1121" t="s">
        <v>1645</v>
      </c>
      <c r="F37" s="1125" t="s">
        <v>106</v>
      </c>
    </row>
    <row r="38" spans="2:6" ht="106.5" customHeight="1">
      <c r="B38" s="1120"/>
      <c r="C38" s="1122"/>
      <c r="D38" s="1122"/>
      <c r="E38" s="1122"/>
      <c r="F38" s="1126" t="s">
        <v>106</v>
      </c>
    </row>
    <row r="39" spans="2:6" ht="103.5" customHeight="1">
      <c r="B39" s="1119" t="s">
        <v>1564</v>
      </c>
      <c r="C39" s="1121" t="s">
        <v>1475</v>
      </c>
      <c r="D39" s="1121" t="s">
        <v>1476</v>
      </c>
      <c r="E39" s="1121" t="s">
        <v>1645</v>
      </c>
      <c r="F39" s="1125" t="s">
        <v>106</v>
      </c>
    </row>
    <row r="40" spans="2:6" ht="103.5" customHeight="1">
      <c r="B40" s="1120"/>
      <c r="C40" s="1122"/>
      <c r="D40" s="1122"/>
      <c r="E40" s="1122"/>
      <c r="F40" s="1126" t="s">
        <v>106</v>
      </c>
    </row>
    <row r="41" spans="2:6" ht="25.5" customHeight="1">
      <c r="B41" s="1119" t="s">
        <v>1565</v>
      </c>
      <c r="C41" s="1121" t="s">
        <v>1477</v>
      </c>
      <c r="D41" s="1121" t="s">
        <v>83</v>
      </c>
      <c r="E41" s="1121" t="s">
        <v>1644</v>
      </c>
      <c r="F41" s="1125" t="s">
        <v>106</v>
      </c>
    </row>
    <row r="42" spans="2:6" ht="25.5" customHeight="1">
      <c r="B42" s="1120"/>
      <c r="C42" s="1122"/>
      <c r="D42" s="1122"/>
      <c r="E42" s="1122"/>
      <c r="F42" s="1126" t="s">
        <v>106</v>
      </c>
    </row>
    <row r="43" spans="2:6" ht="25.5" customHeight="1">
      <c r="B43" s="1119" t="s">
        <v>1566</v>
      </c>
      <c r="C43" s="1121" t="s">
        <v>1478</v>
      </c>
      <c r="D43" s="1121" t="s">
        <v>112</v>
      </c>
      <c r="E43" s="1121" t="s">
        <v>1646</v>
      </c>
      <c r="F43" s="1125" t="s">
        <v>106</v>
      </c>
    </row>
    <row r="44" spans="2:6" ht="25.5" customHeight="1">
      <c r="B44" s="1120"/>
      <c r="C44" s="1122"/>
      <c r="D44" s="1122"/>
      <c r="E44" s="1122"/>
      <c r="F44" s="1126" t="s">
        <v>106</v>
      </c>
    </row>
    <row r="45" spans="2:6" ht="25.5" customHeight="1">
      <c r="B45" s="1119" t="s">
        <v>1567</v>
      </c>
      <c r="C45" s="1121" t="s">
        <v>1479</v>
      </c>
      <c r="D45" s="1121" t="s">
        <v>113</v>
      </c>
      <c r="E45" s="1121" t="s">
        <v>1646</v>
      </c>
      <c r="F45" s="1125" t="s">
        <v>106</v>
      </c>
    </row>
    <row r="46" spans="2:6" ht="25.5" customHeight="1">
      <c r="B46" s="1120"/>
      <c r="C46" s="1122"/>
      <c r="D46" s="1122"/>
      <c r="E46" s="1122"/>
      <c r="F46" s="1126" t="s">
        <v>106</v>
      </c>
    </row>
    <row r="47" spans="2:6" ht="30" customHeight="1">
      <c r="B47" s="171" t="s">
        <v>31</v>
      </c>
      <c r="C47" s="1123" t="s">
        <v>1634</v>
      </c>
      <c r="D47" s="1124"/>
      <c r="E47" s="1124"/>
      <c r="F47" s="172"/>
    </row>
    <row r="48" spans="2:6" ht="50.25" customHeight="1">
      <c r="B48" s="1119" t="s">
        <v>1568</v>
      </c>
      <c r="C48" s="1121" t="s">
        <v>1480</v>
      </c>
      <c r="D48" s="1121" t="s">
        <v>1609</v>
      </c>
      <c r="E48" s="1121" t="s">
        <v>1647</v>
      </c>
      <c r="F48" s="1125" t="s">
        <v>106</v>
      </c>
    </row>
    <row r="49" spans="2:6" ht="50.25" customHeight="1">
      <c r="B49" s="1120"/>
      <c r="C49" s="1122"/>
      <c r="D49" s="1122"/>
      <c r="E49" s="1122"/>
      <c r="F49" s="1126" t="s">
        <v>106</v>
      </c>
    </row>
    <row r="50" spans="2:6" ht="50.25" customHeight="1">
      <c r="B50" s="1119" t="s">
        <v>1569</v>
      </c>
      <c r="C50" s="1121" t="s">
        <v>1481</v>
      </c>
      <c r="D50" s="1121" t="s">
        <v>1482</v>
      </c>
      <c r="E50" s="1121" t="s">
        <v>1643</v>
      </c>
      <c r="F50" s="1125" t="s">
        <v>106</v>
      </c>
    </row>
    <row r="51" spans="2:6" ht="50.25" customHeight="1">
      <c r="B51" s="1120"/>
      <c r="C51" s="1122"/>
      <c r="D51" s="1122"/>
      <c r="E51" s="1122"/>
      <c r="F51" s="1126" t="s">
        <v>106</v>
      </c>
    </row>
    <row r="52" spans="2:6" ht="26.25" customHeight="1">
      <c r="B52" s="1119" t="s">
        <v>1570</v>
      </c>
      <c r="C52" s="1121" t="s">
        <v>1483</v>
      </c>
      <c r="D52" s="1121" t="s">
        <v>1649</v>
      </c>
      <c r="E52" s="1121" t="s">
        <v>1681</v>
      </c>
      <c r="F52" s="1125" t="s">
        <v>106</v>
      </c>
    </row>
    <row r="53" spans="2:6" ht="26.25" customHeight="1">
      <c r="B53" s="1120"/>
      <c r="C53" s="1122"/>
      <c r="D53" s="1122"/>
      <c r="E53" s="1122"/>
      <c r="F53" s="1126" t="s">
        <v>106</v>
      </c>
    </row>
    <row r="54" spans="2:6" ht="26.25" customHeight="1">
      <c r="B54" s="1119" t="s">
        <v>1571</v>
      </c>
      <c r="C54" s="1121" t="s">
        <v>1484</v>
      </c>
      <c r="D54" s="1121" t="s">
        <v>1461</v>
      </c>
      <c r="E54" s="1121" t="s">
        <v>1648</v>
      </c>
      <c r="F54" s="1125" t="s">
        <v>106</v>
      </c>
    </row>
    <row r="55" spans="2:6" ht="26.25" customHeight="1">
      <c r="B55" s="1120"/>
      <c r="C55" s="1122"/>
      <c r="D55" s="1122"/>
      <c r="E55" s="1122"/>
      <c r="F55" s="1126" t="s">
        <v>106</v>
      </c>
    </row>
    <row r="56" spans="2:6" ht="26.25" customHeight="1">
      <c r="B56" s="1119" t="s">
        <v>1572</v>
      </c>
      <c r="C56" s="1121" t="s">
        <v>1485</v>
      </c>
      <c r="D56" s="1121" t="s">
        <v>120</v>
      </c>
      <c r="E56" s="1121" t="s">
        <v>1644</v>
      </c>
      <c r="F56" s="1125" t="s">
        <v>106</v>
      </c>
    </row>
    <row r="57" spans="2:6" ht="26.25" customHeight="1">
      <c r="B57" s="1120"/>
      <c r="C57" s="1122"/>
      <c r="D57" s="1122"/>
      <c r="E57" s="1122"/>
      <c r="F57" s="1126" t="s">
        <v>106</v>
      </c>
    </row>
    <row r="58" spans="2:6" ht="26.25" customHeight="1">
      <c r="B58" s="1119" t="s">
        <v>1573</v>
      </c>
      <c r="C58" s="1121" t="s">
        <v>1486</v>
      </c>
      <c r="D58" s="1121" t="s">
        <v>115</v>
      </c>
      <c r="E58" s="1121" t="s">
        <v>1644</v>
      </c>
      <c r="F58" s="1125" t="s">
        <v>106</v>
      </c>
    </row>
    <row r="59" spans="2:6" ht="26.25" customHeight="1">
      <c r="B59" s="1120"/>
      <c r="C59" s="1122"/>
      <c r="D59" s="1122"/>
      <c r="E59" s="1122"/>
      <c r="F59" s="1126" t="s">
        <v>106</v>
      </c>
    </row>
    <row r="60" spans="2:6" ht="26.25" customHeight="1">
      <c r="B60" s="1119" t="s">
        <v>1574</v>
      </c>
      <c r="C60" s="1121" t="s">
        <v>1487</v>
      </c>
      <c r="D60" s="1121" t="s">
        <v>114</v>
      </c>
      <c r="E60" s="1121" t="s">
        <v>1644</v>
      </c>
      <c r="F60" s="1125" t="s">
        <v>106</v>
      </c>
    </row>
    <row r="61" spans="2:6" ht="26.25" customHeight="1">
      <c r="B61" s="1120"/>
      <c r="C61" s="1122"/>
      <c r="D61" s="1122"/>
      <c r="E61" s="1122"/>
      <c r="F61" s="1126" t="s">
        <v>106</v>
      </c>
    </row>
    <row r="62" spans="2:6" ht="26.25" customHeight="1">
      <c r="B62" s="1119" t="s">
        <v>1575</v>
      </c>
      <c r="C62" s="1121" t="s">
        <v>1488</v>
      </c>
      <c r="D62" s="1121" t="s">
        <v>1489</v>
      </c>
      <c r="E62" s="1121" t="s">
        <v>1648</v>
      </c>
      <c r="F62" s="1125" t="s">
        <v>106</v>
      </c>
    </row>
    <row r="63" spans="2:6" ht="26.25" customHeight="1">
      <c r="B63" s="1120"/>
      <c r="C63" s="1122"/>
      <c r="D63" s="1122"/>
      <c r="E63" s="1122"/>
      <c r="F63" s="1126" t="s">
        <v>106</v>
      </c>
    </row>
    <row r="64" spans="2:6" ht="26.25" customHeight="1">
      <c r="B64" s="1119" t="s">
        <v>122</v>
      </c>
      <c r="C64" s="1121" t="s">
        <v>1490</v>
      </c>
      <c r="D64" s="1121" t="s">
        <v>85</v>
      </c>
      <c r="E64" s="1121" t="s">
        <v>1640</v>
      </c>
      <c r="F64" s="1125" t="s">
        <v>106</v>
      </c>
    </row>
    <row r="65" spans="2:6" ht="26.25" customHeight="1">
      <c r="B65" s="1120"/>
      <c r="C65" s="1122"/>
      <c r="D65" s="1122"/>
      <c r="E65" s="1122"/>
      <c r="F65" s="1126" t="s">
        <v>106</v>
      </c>
    </row>
    <row r="66" spans="2:6" ht="26.25" customHeight="1">
      <c r="B66" s="1119" t="s">
        <v>123</v>
      </c>
      <c r="C66" s="1121" t="s">
        <v>80</v>
      </c>
      <c r="D66" s="1121" t="s">
        <v>80</v>
      </c>
      <c r="E66" s="1121" t="s">
        <v>1640</v>
      </c>
      <c r="F66" s="1125" t="s">
        <v>106</v>
      </c>
    </row>
    <row r="67" spans="2:6" ht="26.25" customHeight="1">
      <c r="B67" s="1120"/>
      <c r="C67" s="1122"/>
      <c r="D67" s="1122"/>
      <c r="E67" s="1122"/>
      <c r="F67" s="1126" t="s">
        <v>106</v>
      </c>
    </row>
    <row r="68" spans="2:6" ht="26.25" customHeight="1">
      <c r="B68" s="1119" t="s">
        <v>124</v>
      </c>
      <c r="C68" s="1121" t="s">
        <v>1491</v>
      </c>
      <c r="D68" s="1121" t="s">
        <v>1492</v>
      </c>
      <c r="E68" s="1121" t="s">
        <v>1651</v>
      </c>
      <c r="F68" s="1125" t="s">
        <v>107</v>
      </c>
    </row>
    <row r="69" spans="2:6" ht="26.25" customHeight="1">
      <c r="B69" s="1120"/>
      <c r="C69" s="1122"/>
      <c r="D69" s="1122"/>
      <c r="E69" s="1122"/>
      <c r="F69" s="1126" t="s">
        <v>107</v>
      </c>
    </row>
    <row r="70" spans="2:6" ht="26.25" customHeight="1">
      <c r="B70" s="1119" t="s">
        <v>125</v>
      </c>
      <c r="C70" s="1121" t="s">
        <v>1493</v>
      </c>
      <c r="D70" s="1121" t="s">
        <v>1494</v>
      </c>
      <c r="E70" s="1121" t="s">
        <v>1650</v>
      </c>
      <c r="F70" s="1125" t="s">
        <v>107</v>
      </c>
    </row>
    <row r="71" spans="2:6" ht="26.25" customHeight="1">
      <c r="B71" s="1120"/>
      <c r="C71" s="1122"/>
      <c r="D71" s="1122"/>
      <c r="E71" s="1122"/>
      <c r="F71" s="1126" t="s">
        <v>107</v>
      </c>
    </row>
    <row r="72" spans="2:6" ht="25.5" customHeight="1">
      <c r="B72" s="171" t="s">
        <v>37</v>
      </c>
      <c r="C72" s="173" t="s">
        <v>1633</v>
      </c>
      <c r="D72" s="174"/>
      <c r="E72" s="174"/>
      <c r="F72" s="174"/>
    </row>
    <row r="73" spans="2:6" ht="54.75" customHeight="1">
      <c r="B73" s="1119" t="s">
        <v>1576</v>
      </c>
      <c r="C73" s="1121" t="s">
        <v>1480</v>
      </c>
      <c r="D73" s="1121" t="s">
        <v>1610</v>
      </c>
      <c r="E73" s="1121" t="s">
        <v>1653</v>
      </c>
      <c r="F73" s="1125" t="s">
        <v>107</v>
      </c>
    </row>
    <row r="74" spans="2:6" ht="54.75" customHeight="1">
      <c r="B74" s="1120"/>
      <c r="C74" s="1122"/>
      <c r="D74" s="1122"/>
      <c r="E74" s="1122"/>
      <c r="F74" s="1126" t="s">
        <v>107</v>
      </c>
    </row>
    <row r="75" spans="2:6" ht="45.75" customHeight="1">
      <c r="B75" s="1119" t="s">
        <v>1577</v>
      </c>
      <c r="C75" s="1121" t="s">
        <v>1481</v>
      </c>
      <c r="D75" s="1121" t="s">
        <v>1611</v>
      </c>
      <c r="E75" s="1121" t="s">
        <v>1643</v>
      </c>
      <c r="F75" s="1125" t="s">
        <v>107</v>
      </c>
    </row>
    <row r="76" spans="2:6" ht="45.75" customHeight="1">
      <c r="B76" s="1120"/>
      <c r="C76" s="1122"/>
      <c r="D76" s="1122"/>
      <c r="E76" s="1122"/>
      <c r="F76" s="1126" t="s">
        <v>107</v>
      </c>
    </row>
    <row r="77" spans="2:6" ht="21.75" customHeight="1">
      <c r="B77" s="1119" t="s">
        <v>1578</v>
      </c>
      <c r="C77" s="1121" t="s">
        <v>1495</v>
      </c>
      <c r="D77" s="1121" t="s">
        <v>1675</v>
      </c>
      <c r="E77" s="1121" t="s">
        <v>1654</v>
      </c>
      <c r="F77" s="1125" t="s">
        <v>107</v>
      </c>
    </row>
    <row r="78" spans="2:6" ht="21.75" customHeight="1">
      <c r="B78" s="1120"/>
      <c r="C78" s="1122"/>
      <c r="D78" s="1122"/>
      <c r="E78" s="1122"/>
      <c r="F78" s="1126" t="s">
        <v>107</v>
      </c>
    </row>
    <row r="79" spans="2:6">
      <c r="B79" s="1119" t="s">
        <v>1579</v>
      </c>
      <c r="C79" s="1121" t="s">
        <v>1496</v>
      </c>
      <c r="D79" s="1121" t="s">
        <v>1496</v>
      </c>
      <c r="E79" s="1121" t="s">
        <v>1655</v>
      </c>
      <c r="F79" s="1125" t="s">
        <v>107</v>
      </c>
    </row>
    <row r="80" spans="2:6">
      <c r="B80" s="1120"/>
      <c r="C80" s="1122"/>
      <c r="D80" s="1122"/>
      <c r="E80" s="1122"/>
      <c r="F80" s="1126" t="s">
        <v>107</v>
      </c>
    </row>
    <row r="81" spans="2:6" ht="46.5" customHeight="1">
      <c r="B81" s="1119" t="s">
        <v>1580</v>
      </c>
      <c r="C81" s="1121" t="s">
        <v>1497</v>
      </c>
      <c r="D81" s="1121" t="s">
        <v>1498</v>
      </c>
      <c r="E81" s="1121" t="s">
        <v>1656</v>
      </c>
      <c r="F81" s="1125" t="s">
        <v>107</v>
      </c>
    </row>
    <row r="82" spans="2:6" ht="46.5" customHeight="1">
      <c r="B82" s="1120"/>
      <c r="C82" s="1122"/>
      <c r="D82" s="1122"/>
      <c r="E82" s="1122"/>
      <c r="F82" s="1126" t="s">
        <v>107</v>
      </c>
    </row>
    <row r="83" spans="2:6" ht="46.5" customHeight="1">
      <c r="B83" s="1119" t="s">
        <v>1581</v>
      </c>
      <c r="C83" s="1121" t="s">
        <v>1594</v>
      </c>
      <c r="D83" s="1121" t="s">
        <v>1595</v>
      </c>
      <c r="E83" s="1121" t="s">
        <v>1656</v>
      </c>
      <c r="F83" s="1125" t="s">
        <v>107</v>
      </c>
    </row>
    <row r="84" spans="2:6" ht="46.5" customHeight="1">
      <c r="B84" s="1120"/>
      <c r="C84" s="1122"/>
      <c r="D84" s="1122"/>
      <c r="E84" s="1122"/>
      <c r="F84" s="1126" t="s">
        <v>107</v>
      </c>
    </row>
    <row r="85" spans="2:6" ht="46.5" customHeight="1">
      <c r="B85" s="1119" t="s">
        <v>1582</v>
      </c>
      <c r="C85" s="1121" t="s">
        <v>1676</v>
      </c>
      <c r="D85" s="1121" t="s">
        <v>1596</v>
      </c>
      <c r="E85" s="1121" t="s">
        <v>1656</v>
      </c>
      <c r="F85" s="1125" t="s">
        <v>107</v>
      </c>
    </row>
    <row r="86" spans="2:6" ht="46.5" customHeight="1">
      <c r="B86" s="1120"/>
      <c r="C86" s="1122"/>
      <c r="D86" s="1122"/>
      <c r="E86" s="1122"/>
      <c r="F86" s="1126" t="s">
        <v>107</v>
      </c>
    </row>
    <row r="87" spans="2:6" ht="36" customHeight="1">
      <c r="B87" s="1119" t="s">
        <v>1583</v>
      </c>
      <c r="C87" s="1121" t="s">
        <v>86</v>
      </c>
      <c r="D87" s="1121" t="s">
        <v>86</v>
      </c>
      <c r="E87" s="1121" t="s">
        <v>1657</v>
      </c>
      <c r="F87" s="1125" t="s">
        <v>107</v>
      </c>
    </row>
    <row r="88" spans="2:6" ht="36" customHeight="1">
      <c r="B88" s="1120"/>
      <c r="C88" s="1122"/>
      <c r="D88" s="1122"/>
      <c r="E88" s="1122"/>
      <c r="F88" s="1126" t="s">
        <v>107</v>
      </c>
    </row>
    <row r="89" spans="2:6" ht="30" customHeight="1">
      <c r="B89" s="1119" t="s">
        <v>1584</v>
      </c>
      <c r="C89" s="1121" t="s">
        <v>1677</v>
      </c>
      <c r="D89" s="1121" t="s">
        <v>1678</v>
      </c>
      <c r="E89" s="1121" t="s">
        <v>1657</v>
      </c>
      <c r="F89" s="1125" t="s">
        <v>107</v>
      </c>
    </row>
    <row r="90" spans="2:6" ht="30" customHeight="1">
      <c r="B90" s="1120"/>
      <c r="C90" s="1122"/>
      <c r="D90" s="1122"/>
      <c r="E90" s="1122"/>
      <c r="F90" s="1126" t="s">
        <v>107</v>
      </c>
    </row>
    <row r="91" spans="2:6" ht="30.75" customHeight="1">
      <c r="B91" s="1119" t="s">
        <v>126</v>
      </c>
      <c r="C91" s="1121" t="s">
        <v>1499</v>
      </c>
      <c r="D91" s="1121" t="s">
        <v>87</v>
      </c>
      <c r="E91" s="1121" t="s">
        <v>1657</v>
      </c>
      <c r="F91" s="1125" t="s">
        <v>107</v>
      </c>
    </row>
    <row r="92" spans="2:6" ht="30.75" customHeight="1">
      <c r="B92" s="1120"/>
      <c r="C92" s="1122"/>
      <c r="D92" s="1122"/>
      <c r="E92" s="1122"/>
      <c r="F92" s="1126" t="s">
        <v>107</v>
      </c>
    </row>
    <row r="93" spans="2:6" ht="30.75" customHeight="1">
      <c r="B93" s="1119" t="s">
        <v>127</v>
      </c>
      <c r="C93" s="1121" t="s">
        <v>1500</v>
      </c>
      <c r="D93" s="1121" t="s">
        <v>1458</v>
      </c>
      <c r="E93" s="1121" t="s">
        <v>1657</v>
      </c>
      <c r="F93" s="1125" t="s">
        <v>107</v>
      </c>
    </row>
    <row r="94" spans="2:6" ht="30.75" customHeight="1">
      <c r="B94" s="1120"/>
      <c r="C94" s="1122"/>
      <c r="D94" s="1122"/>
      <c r="E94" s="1122"/>
      <c r="F94" s="1126" t="s">
        <v>107</v>
      </c>
    </row>
    <row r="95" spans="2:6" ht="30.75" customHeight="1">
      <c r="B95" s="1119" t="s">
        <v>128</v>
      </c>
      <c r="C95" s="1121" t="s">
        <v>1501</v>
      </c>
      <c r="D95" s="1121" t="s">
        <v>1585</v>
      </c>
      <c r="E95" s="1121" t="s">
        <v>1657</v>
      </c>
      <c r="F95" s="1125" t="s">
        <v>107</v>
      </c>
    </row>
    <row r="96" spans="2:6" ht="30.75" customHeight="1">
      <c r="B96" s="1120"/>
      <c r="C96" s="1122"/>
      <c r="D96" s="1122"/>
      <c r="E96" s="1122"/>
      <c r="F96" s="1126" t="s">
        <v>107</v>
      </c>
    </row>
    <row r="97" spans="2:6" ht="30.75" customHeight="1">
      <c r="B97" s="1119" t="s">
        <v>129</v>
      </c>
      <c r="C97" s="1121" t="s">
        <v>1502</v>
      </c>
      <c r="D97" s="1121" t="s">
        <v>1459</v>
      </c>
      <c r="E97" s="1121" t="s">
        <v>1657</v>
      </c>
      <c r="F97" s="1125" t="s">
        <v>107</v>
      </c>
    </row>
    <row r="98" spans="2:6" ht="30.75" customHeight="1">
      <c r="B98" s="1120"/>
      <c r="C98" s="1122"/>
      <c r="D98" s="1122"/>
      <c r="E98" s="1122"/>
      <c r="F98" s="1126" t="s">
        <v>107</v>
      </c>
    </row>
    <row r="99" spans="2:6" ht="30.75" customHeight="1">
      <c r="B99" s="1119" t="s">
        <v>130</v>
      </c>
      <c r="C99" s="1121" t="s">
        <v>1503</v>
      </c>
      <c r="D99" s="1121" t="s">
        <v>88</v>
      </c>
      <c r="E99" s="1121" t="s">
        <v>1657</v>
      </c>
      <c r="F99" s="1125" t="s">
        <v>107</v>
      </c>
    </row>
    <row r="100" spans="2:6" ht="30.75" customHeight="1">
      <c r="B100" s="1120"/>
      <c r="C100" s="1122"/>
      <c r="D100" s="1122"/>
      <c r="E100" s="1122"/>
      <c r="F100" s="1126" t="s">
        <v>107</v>
      </c>
    </row>
    <row r="101" spans="2:6" ht="30.75" customHeight="1">
      <c r="B101" s="1119" t="s">
        <v>131</v>
      </c>
      <c r="C101" s="1121" t="s">
        <v>1504</v>
      </c>
      <c r="D101" s="1121" t="s">
        <v>1460</v>
      </c>
      <c r="E101" s="1121" t="s">
        <v>1657</v>
      </c>
      <c r="F101" s="1125" t="s">
        <v>107</v>
      </c>
    </row>
    <row r="102" spans="2:6" ht="30.75" customHeight="1">
      <c r="B102" s="1120"/>
      <c r="C102" s="1122"/>
      <c r="D102" s="1122"/>
      <c r="E102" s="1122"/>
      <c r="F102" s="1126" t="s">
        <v>107</v>
      </c>
    </row>
    <row r="103" spans="2:6" ht="30" customHeight="1">
      <c r="B103" s="1119" t="s">
        <v>132</v>
      </c>
      <c r="C103" s="1121" t="s">
        <v>1505</v>
      </c>
      <c r="D103" s="1121" t="s">
        <v>89</v>
      </c>
      <c r="E103" s="1121" t="s">
        <v>1658</v>
      </c>
      <c r="F103" s="1125" t="s">
        <v>107</v>
      </c>
    </row>
    <row r="104" spans="2:6" ht="30" customHeight="1">
      <c r="B104" s="1120"/>
      <c r="C104" s="1122"/>
      <c r="D104" s="1122"/>
      <c r="E104" s="1122"/>
      <c r="F104" s="1126" t="s">
        <v>107</v>
      </c>
    </row>
    <row r="105" spans="2:6" ht="30" customHeight="1">
      <c r="B105" s="1119" t="s">
        <v>133</v>
      </c>
      <c r="C105" s="1121" t="s">
        <v>1506</v>
      </c>
      <c r="D105" s="1121" t="s">
        <v>90</v>
      </c>
      <c r="E105" s="1121" t="s">
        <v>1658</v>
      </c>
      <c r="F105" s="1125" t="s">
        <v>107</v>
      </c>
    </row>
    <row r="106" spans="2:6" ht="30" customHeight="1">
      <c r="B106" s="1120"/>
      <c r="C106" s="1122"/>
      <c r="D106" s="1122"/>
      <c r="E106" s="1122"/>
      <c r="F106" s="1126" t="s">
        <v>107</v>
      </c>
    </row>
    <row r="107" spans="2:6" ht="30" customHeight="1">
      <c r="B107" s="1119" t="s">
        <v>134</v>
      </c>
      <c r="C107" s="1121" t="s">
        <v>1507</v>
      </c>
      <c r="D107" s="1121" t="s">
        <v>91</v>
      </c>
      <c r="E107" s="1121" t="s">
        <v>1659</v>
      </c>
      <c r="F107" s="1125" t="s">
        <v>107</v>
      </c>
    </row>
    <row r="108" spans="2:6" ht="30" customHeight="1">
      <c r="B108" s="1120"/>
      <c r="C108" s="1122"/>
      <c r="D108" s="1122"/>
      <c r="E108" s="1122"/>
      <c r="F108" s="1126" t="s">
        <v>107</v>
      </c>
    </row>
    <row r="109" spans="2:6" ht="30" customHeight="1">
      <c r="B109" s="1119" t="s">
        <v>135</v>
      </c>
      <c r="C109" s="1121" t="s">
        <v>1586</v>
      </c>
      <c r="D109" s="1121" t="s">
        <v>1587</v>
      </c>
      <c r="E109" s="1121" t="s">
        <v>1659</v>
      </c>
      <c r="F109" s="1125" t="s">
        <v>107</v>
      </c>
    </row>
    <row r="110" spans="2:6" ht="30" customHeight="1">
      <c r="B110" s="1120"/>
      <c r="C110" s="1122"/>
      <c r="D110" s="1122"/>
      <c r="E110" s="1122"/>
      <c r="F110" s="1126" t="s">
        <v>107</v>
      </c>
    </row>
    <row r="111" spans="2:6" ht="30" customHeight="1">
      <c r="B111" s="1119" t="s">
        <v>136</v>
      </c>
      <c r="C111" s="1121" t="s">
        <v>1725</v>
      </c>
      <c r="D111" s="1121" t="s">
        <v>1724</v>
      </c>
      <c r="E111" s="1121" t="s">
        <v>1659</v>
      </c>
      <c r="F111" s="1125" t="s">
        <v>107</v>
      </c>
    </row>
    <row r="112" spans="2:6" ht="30" customHeight="1">
      <c r="B112" s="1120"/>
      <c r="C112" s="1122"/>
      <c r="D112" s="1122"/>
      <c r="E112" s="1122"/>
      <c r="F112" s="1126" t="s">
        <v>107</v>
      </c>
    </row>
    <row r="113" spans="2:6" ht="30" customHeight="1">
      <c r="B113" s="1119" t="s">
        <v>137</v>
      </c>
      <c r="C113" s="1121" t="s">
        <v>1509</v>
      </c>
      <c r="D113" s="1121" t="s">
        <v>93</v>
      </c>
      <c r="E113" s="1121" t="s">
        <v>1659</v>
      </c>
      <c r="F113" s="1125" t="s">
        <v>107</v>
      </c>
    </row>
    <row r="114" spans="2:6" ht="30" customHeight="1">
      <c r="B114" s="1120"/>
      <c r="C114" s="1122"/>
      <c r="D114" s="1122"/>
      <c r="E114" s="1122"/>
      <c r="F114" s="1126" t="s">
        <v>107</v>
      </c>
    </row>
    <row r="115" spans="2:6" ht="30" customHeight="1">
      <c r="B115" s="1119" t="s">
        <v>139</v>
      </c>
      <c r="C115" s="1121" t="s">
        <v>1679</v>
      </c>
      <c r="D115" s="1121" t="s">
        <v>1534</v>
      </c>
      <c r="E115" s="1121" t="s">
        <v>1659</v>
      </c>
      <c r="F115" s="1125" t="s">
        <v>107</v>
      </c>
    </row>
    <row r="116" spans="2:6" ht="30" customHeight="1">
      <c r="B116" s="1120"/>
      <c r="C116" s="1122"/>
      <c r="D116" s="1122"/>
      <c r="E116" s="1122"/>
      <c r="F116" s="1126" t="s">
        <v>107</v>
      </c>
    </row>
    <row r="117" spans="2:6" ht="30" customHeight="1">
      <c r="B117" s="1119" t="s">
        <v>140</v>
      </c>
      <c r="C117" s="1121" t="s">
        <v>1510</v>
      </c>
      <c r="D117" s="1121" t="s">
        <v>1535</v>
      </c>
      <c r="E117" s="1121" t="s">
        <v>1660</v>
      </c>
      <c r="F117" s="1125" t="s">
        <v>107</v>
      </c>
    </row>
    <row r="118" spans="2:6" ht="30" customHeight="1">
      <c r="B118" s="1120"/>
      <c r="C118" s="1122"/>
      <c r="D118" s="1122"/>
      <c r="E118" s="1122"/>
      <c r="F118" s="1126" t="s">
        <v>107</v>
      </c>
    </row>
    <row r="119" spans="2:6" ht="30" customHeight="1">
      <c r="B119" s="1119" t="s">
        <v>141</v>
      </c>
      <c r="C119" s="1121" t="s">
        <v>1511</v>
      </c>
      <c r="D119" s="1121" t="s">
        <v>1492</v>
      </c>
      <c r="E119" s="1121" t="s">
        <v>1651</v>
      </c>
      <c r="F119" s="1125" t="s">
        <v>107</v>
      </c>
    </row>
    <row r="120" spans="2:6" ht="30" customHeight="1">
      <c r="B120" s="1120"/>
      <c r="C120" s="1122"/>
      <c r="D120" s="1122"/>
      <c r="E120" s="1122"/>
      <c r="F120" s="1126" t="s">
        <v>107</v>
      </c>
    </row>
    <row r="121" spans="2:6" ht="30" customHeight="1">
      <c r="B121" s="1119" t="s">
        <v>142</v>
      </c>
      <c r="C121" s="1121" t="s">
        <v>95</v>
      </c>
      <c r="D121" s="1121" t="s">
        <v>1536</v>
      </c>
      <c r="E121" s="1121" t="s">
        <v>1650</v>
      </c>
      <c r="F121" s="1125" t="s">
        <v>107</v>
      </c>
    </row>
    <row r="122" spans="2:6" ht="30" customHeight="1">
      <c r="B122" s="1120"/>
      <c r="C122" s="1122"/>
      <c r="D122" s="1122"/>
      <c r="E122" s="1122"/>
      <c r="F122" s="1126" t="s">
        <v>107</v>
      </c>
    </row>
    <row r="123" spans="2:6" ht="30" customHeight="1">
      <c r="B123" s="1119" t="s">
        <v>143</v>
      </c>
      <c r="C123" s="1121" t="s">
        <v>1538</v>
      </c>
      <c r="D123" s="1121" t="s">
        <v>1539</v>
      </c>
      <c r="E123" s="1121" t="s">
        <v>1661</v>
      </c>
      <c r="F123" s="1125" t="s">
        <v>107</v>
      </c>
    </row>
    <row r="124" spans="2:6" ht="30" customHeight="1">
      <c r="B124" s="1120"/>
      <c r="C124" s="1122"/>
      <c r="D124" s="1122"/>
      <c r="E124" s="1122"/>
      <c r="F124" s="1126" t="s">
        <v>107</v>
      </c>
    </row>
    <row r="125" spans="2:6" ht="30" customHeight="1">
      <c r="B125" s="1119" t="s">
        <v>144</v>
      </c>
      <c r="C125" s="1121" t="s">
        <v>1588</v>
      </c>
      <c r="D125" s="1121" t="s">
        <v>1537</v>
      </c>
      <c r="E125" s="1121" t="s">
        <v>1662</v>
      </c>
      <c r="F125" s="1125" t="s">
        <v>107</v>
      </c>
    </row>
    <row r="126" spans="2:6" ht="30" customHeight="1">
      <c r="B126" s="1120"/>
      <c r="C126" s="1122"/>
      <c r="D126" s="1122"/>
      <c r="E126" s="1122"/>
      <c r="F126" s="1126" t="s">
        <v>107</v>
      </c>
    </row>
    <row r="127" spans="2:6" ht="30" customHeight="1">
      <c r="B127" s="1119" t="s">
        <v>145</v>
      </c>
      <c r="C127" s="1121" t="s">
        <v>1589</v>
      </c>
      <c r="D127" s="1121" t="s">
        <v>1680</v>
      </c>
      <c r="E127" s="1121" t="s">
        <v>1663</v>
      </c>
      <c r="F127" s="1125" t="s">
        <v>107</v>
      </c>
    </row>
    <row r="128" spans="2:6" ht="30" customHeight="1">
      <c r="B128" s="1120"/>
      <c r="C128" s="1122"/>
      <c r="D128" s="1122"/>
      <c r="E128" s="1122"/>
      <c r="F128" s="1126" t="s">
        <v>107</v>
      </c>
    </row>
    <row r="129" spans="2:6" ht="30" customHeight="1">
      <c r="B129" s="1119" t="s">
        <v>146</v>
      </c>
      <c r="C129" s="1121" t="s">
        <v>1590</v>
      </c>
      <c r="D129" s="1121" t="s">
        <v>1540</v>
      </c>
      <c r="E129" s="1121" t="s">
        <v>1664</v>
      </c>
      <c r="F129" s="1125" t="s">
        <v>107</v>
      </c>
    </row>
    <row r="130" spans="2:6" ht="30" customHeight="1">
      <c r="B130" s="1120"/>
      <c r="C130" s="1122"/>
      <c r="D130" s="1122"/>
      <c r="E130" s="1122"/>
      <c r="F130" s="1126" t="s">
        <v>107</v>
      </c>
    </row>
    <row r="131" spans="2:6" ht="30" customHeight="1">
      <c r="B131" s="1119" t="s">
        <v>160</v>
      </c>
      <c r="C131" s="1121" t="s">
        <v>1683</v>
      </c>
      <c r="D131" s="1121" t="s">
        <v>1591</v>
      </c>
      <c r="E131" s="1121" t="s">
        <v>1653</v>
      </c>
      <c r="F131" s="1125" t="s">
        <v>107</v>
      </c>
    </row>
    <row r="132" spans="2:6" ht="30" customHeight="1">
      <c r="B132" s="1120"/>
      <c r="C132" s="1122"/>
      <c r="D132" s="1122"/>
      <c r="E132" s="1122"/>
      <c r="F132" s="1126" t="s">
        <v>107</v>
      </c>
    </row>
    <row r="133" spans="2:6" ht="30" customHeight="1">
      <c r="B133" s="1119" t="s">
        <v>161</v>
      </c>
      <c r="C133" s="1121" t="s">
        <v>1513</v>
      </c>
      <c r="D133" s="1121" t="s">
        <v>118</v>
      </c>
      <c r="E133" s="1121" t="s">
        <v>1653</v>
      </c>
      <c r="F133" s="1125" t="s">
        <v>107</v>
      </c>
    </row>
    <row r="134" spans="2:6" ht="30" customHeight="1">
      <c r="B134" s="1120"/>
      <c r="C134" s="1122"/>
      <c r="D134" s="1122"/>
      <c r="E134" s="1122"/>
      <c r="F134" s="1126" t="s">
        <v>107</v>
      </c>
    </row>
    <row r="135" spans="2:6" ht="30" customHeight="1">
      <c r="B135" s="1119" t="s">
        <v>147</v>
      </c>
      <c r="C135" s="1121" t="s">
        <v>1514</v>
      </c>
      <c r="D135" s="1121" t="s">
        <v>96</v>
      </c>
      <c r="E135" s="1121" t="s">
        <v>1665</v>
      </c>
      <c r="F135" s="1125" t="s">
        <v>106</v>
      </c>
    </row>
    <row r="136" spans="2:6" ht="30" customHeight="1">
      <c r="B136" s="1120"/>
      <c r="C136" s="1122"/>
      <c r="D136" s="1122"/>
      <c r="E136" s="1122"/>
      <c r="F136" s="1126" t="s">
        <v>106</v>
      </c>
    </row>
    <row r="137" spans="2:6" ht="30" customHeight="1">
      <c r="B137" s="1119" t="s">
        <v>148</v>
      </c>
      <c r="C137" s="1121" t="s">
        <v>1515</v>
      </c>
      <c r="D137" s="1121" t="s">
        <v>97</v>
      </c>
      <c r="E137" s="1121" t="s">
        <v>1666</v>
      </c>
      <c r="F137" s="1125" t="s">
        <v>106</v>
      </c>
    </row>
    <row r="138" spans="2:6" ht="30" customHeight="1">
      <c r="B138" s="1120"/>
      <c r="C138" s="1122"/>
      <c r="D138" s="1122"/>
      <c r="E138" s="1122"/>
      <c r="F138" s="1126" t="s">
        <v>106</v>
      </c>
    </row>
    <row r="139" spans="2:6" ht="30" customHeight="1">
      <c r="B139" s="1119" t="s">
        <v>149</v>
      </c>
      <c r="C139" s="1121" t="s">
        <v>1516</v>
      </c>
      <c r="D139" s="1121" t="s">
        <v>98</v>
      </c>
      <c r="E139" s="1121" t="s">
        <v>1667</v>
      </c>
      <c r="F139" s="1125" t="s">
        <v>106</v>
      </c>
    </row>
    <row r="140" spans="2:6" ht="30" customHeight="1">
      <c r="B140" s="1120"/>
      <c r="C140" s="1122"/>
      <c r="D140" s="1122"/>
      <c r="E140" s="1122"/>
      <c r="F140" s="1126" t="s">
        <v>106</v>
      </c>
    </row>
    <row r="141" spans="2:6" ht="30" customHeight="1">
      <c r="B141" s="1119" t="s">
        <v>138</v>
      </c>
      <c r="C141" s="1121" t="s">
        <v>1517</v>
      </c>
      <c r="D141" s="1121" t="s">
        <v>94</v>
      </c>
      <c r="E141" s="1121" t="s">
        <v>1668</v>
      </c>
      <c r="F141" s="1125" t="s">
        <v>106</v>
      </c>
    </row>
    <row r="142" spans="2:6" ht="30" customHeight="1">
      <c r="B142" s="1120"/>
      <c r="C142" s="1122"/>
      <c r="D142" s="1122"/>
      <c r="E142" s="1122"/>
      <c r="F142" s="1126" t="s">
        <v>106</v>
      </c>
    </row>
    <row r="143" spans="2:6" ht="30" customHeight="1">
      <c r="B143" s="1119" t="s">
        <v>150</v>
      </c>
      <c r="C143" s="1121" t="s">
        <v>1518</v>
      </c>
      <c r="D143" s="1121" t="s">
        <v>1523</v>
      </c>
      <c r="E143" s="1121" t="s">
        <v>1668</v>
      </c>
      <c r="F143" s="1125" t="s">
        <v>106</v>
      </c>
    </row>
    <row r="144" spans="2:6" ht="30" customHeight="1">
      <c r="B144" s="1120"/>
      <c r="C144" s="1122"/>
      <c r="D144" s="1122"/>
      <c r="E144" s="1122"/>
      <c r="F144" s="1126" t="s">
        <v>106</v>
      </c>
    </row>
    <row r="145" spans="2:6" ht="30" customHeight="1">
      <c r="B145" s="1119" t="s">
        <v>151</v>
      </c>
      <c r="C145" s="1121" t="s">
        <v>1519</v>
      </c>
      <c r="D145" s="1121" t="s">
        <v>116</v>
      </c>
      <c r="E145" s="1121" t="s">
        <v>1668</v>
      </c>
      <c r="F145" s="1125" t="s">
        <v>106</v>
      </c>
    </row>
    <row r="146" spans="2:6" ht="30" customHeight="1">
      <c r="B146" s="1120"/>
      <c r="C146" s="1122"/>
      <c r="D146" s="1122"/>
      <c r="E146" s="1122"/>
      <c r="F146" s="1126" t="s">
        <v>106</v>
      </c>
    </row>
    <row r="147" spans="2:6" ht="30" customHeight="1">
      <c r="B147" s="1119" t="s">
        <v>152</v>
      </c>
      <c r="C147" s="1121" t="s">
        <v>1520</v>
      </c>
      <c r="D147" s="1121" t="s">
        <v>99</v>
      </c>
      <c r="E147" s="1121" t="s">
        <v>1668</v>
      </c>
      <c r="F147" s="1125" t="s">
        <v>106</v>
      </c>
    </row>
    <row r="148" spans="2:6" ht="30" customHeight="1">
      <c r="B148" s="1120"/>
      <c r="C148" s="1122"/>
      <c r="D148" s="1122"/>
      <c r="E148" s="1122"/>
      <c r="F148" s="1126" t="s">
        <v>106</v>
      </c>
    </row>
    <row r="149" spans="2:6" ht="30" customHeight="1">
      <c r="B149" s="1119" t="s">
        <v>153</v>
      </c>
      <c r="C149" s="1121" t="s">
        <v>100</v>
      </c>
      <c r="D149" s="1121" t="s">
        <v>100</v>
      </c>
      <c r="E149" s="1121" t="s">
        <v>1659</v>
      </c>
      <c r="F149" s="1125" t="s">
        <v>107</v>
      </c>
    </row>
    <row r="150" spans="2:6" ht="30" customHeight="1">
      <c r="B150" s="1120"/>
      <c r="C150" s="1122"/>
      <c r="D150" s="1122"/>
      <c r="E150" s="1122"/>
      <c r="F150" s="1126" t="s">
        <v>107</v>
      </c>
    </row>
    <row r="151" spans="2:6" ht="30" customHeight="1">
      <c r="B151" s="1119" t="s">
        <v>154</v>
      </c>
      <c r="C151" s="1121" t="s">
        <v>1593</v>
      </c>
      <c r="D151" s="1121" t="s">
        <v>1593</v>
      </c>
      <c r="E151" s="1121" t="s">
        <v>1659</v>
      </c>
      <c r="F151" s="1125" t="s">
        <v>107</v>
      </c>
    </row>
    <row r="152" spans="2:6" ht="30" customHeight="1">
      <c r="B152" s="1120"/>
      <c r="C152" s="1122"/>
      <c r="D152" s="1122"/>
      <c r="E152" s="1122"/>
      <c r="F152" s="1126" t="s">
        <v>107</v>
      </c>
    </row>
    <row r="153" spans="2:6" ht="30" customHeight="1">
      <c r="B153" s="1119" t="s">
        <v>155</v>
      </c>
      <c r="C153" s="1121" t="s">
        <v>1541</v>
      </c>
      <c r="D153" s="1121" t="s">
        <v>1542</v>
      </c>
      <c r="E153" s="1121" t="s">
        <v>1657</v>
      </c>
      <c r="F153" s="1125" t="s">
        <v>107</v>
      </c>
    </row>
    <row r="154" spans="2:6" ht="30" customHeight="1">
      <c r="B154" s="1120"/>
      <c r="C154" s="1122"/>
      <c r="D154" s="1122"/>
      <c r="E154" s="1122"/>
      <c r="F154" s="1126" t="s">
        <v>107</v>
      </c>
    </row>
    <row r="155" spans="2:6" ht="30" customHeight="1">
      <c r="B155" s="1119" t="s">
        <v>156</v>
      </c>
      <c r="C155" s="1121" t="s">
        <v>1592</v>
      </c>
      <c r="D155" s="1121" t="s">
        <v>1606</v>
      </c>
      <c r="E155" s="1121" t="s">
        <v>1657</v>
      </c>
      <c r="F155" s="1125" t="s">
        <v>107</v>
      </c>
    </row>
    <row r="156" spans="2:6" ht="30" customHeight="1">
      <c r="B156" s="1120"/>
      <c r="C156" s="1122"/>
      <c r="D156" s="1122"/>
      <c r="E156" s="1122"/>
      <c r="F156" s="1126" t="s">
        <v>107</v>
      </c>
    </row>
    <row r="157" spans="2:6" ht="30" customHeight="1">
      <c r="B157" s="1119" t="s">
        <v>157</v>
      </c>
      <c r="C157" s="1121" t="s">
        <v>101</v>
      </c>
      <c r="D157" s="1121" t="s">
        <v>101</v>
      </c>
      <c r="E157" s="1121" t="s">
        <v>1669</v>
      </c>
      <c r="F157" s="1125" t="s">
        <v>106</v>
      </c>
    </row>
    <row r="158" spans="2:6" ht="30" customHeight="1">
      <c r="B158" s="1120"/>
      <c r="C158" s="1122"/>
      <c r="D158" s="1122"/>
      <c r="E158" s="1122"/>
      <c r="F158" s="1126" t="s">
        <v>106</v>
      </c>
    </row>
    <row r="159" spans="2:6" ht="30" customHeight="1">
      <c r="B159" s="1119" t="s">
        <v>162</v>
      </c>
      <c r="C159" s="1121" t="s">
        <v>1601</v>
      </c>
      <c r="D159" s="1121" t="s">
        <v>1597</v>
      </c>
      <c r="E159" s="1121" t="s">
        <v>1653</v>
      </c>
      <c r="F159" s="1125" t="s">
        <v>106</v>
      </c>
    </row>
    <row r="160" spans="2:6" ht="30" customHeight="1">
      <c r="B160" s="1120"/>
      <c r="C160" s="1122"/>
      <c r="D160" s="1122"/>
      <c r="E160" s="1122"/>
      <c r="F160" s="1126" t="s">
        <v>106</v>
      </c>
    </row>
    <row r="161" spans="2:6" ht="30" customHeight="1">
      <c r="B161" s="1119" t="s">
        <v>163</v>
      </c>
      <c r="C161" s="1121" t="s">
        <v>1521</v>
      </c>
      <c r="D161" s="1121" t="s">
        <v>1602</v>
      </c>
      <c r="E161" s="1121" t="s">
        <v>1653</v>
      </c>
      <c r="F161" s="1125" t="s">
        <v>106</v>
      </c>
    </row>
    <row r="162" spans="2:6" ht="30" customHeight="1">
      <c r="B162" s="1120"/>
      <c r="C162" s="1122"/>
      <c r="D162" s="1122"/>
      <c r="E162" s="1122"/>
      <c r="F162" s="1126" t="s">
        <v>106</v>
      </c>
    </row>
    <row r="163" spans="2:6" ht="30" customHeight="1">
      <c r="B163" s="1119" t="s">
        <v>158</v>
      </c>
      <c r="C163" s="1121" t="s">
        <v>1603</v>
      </c>
      <c r="D163" s="1121" t="s">
        <v>1604</v>
      </c>
      <c r="E163" s="1121" t="s">
        <v>1669</v>
      </c>
      <c r="F163" s="1125" t="s">
        <v>106</v>
      </c>
    </row>
    <row r="164" spans="2:6" ht="30" customHeight="1">
      <c r="B164" s="1120"/>
      <c r="C164" s="1122"/>
      <c r="D164" s="1122"/>
      <c r="E164" s="1122"/>
      <c r="F164" s="1126" t="s">
        <v>106</v>
      </c>
    </row>
    <row r="165" spans="2:6" ht="30" customHeight="1">
      <c r="B165" s="1119" t="s">
        <v>159</v>
      </c>
      <c r="C165" s="1121" t="s">
        <v>1605</v>
      </c>
      <c r="D165" s="1121" t="s">
        <v>117</v>
      </c>
      <c r="E165" s="1121" t="s">
        <v>1669</v>
      </c>
      <c r="F165" s="1125" t="s">
        <v>106</v>
      </c>
    </row>
    <row r="166" spans="2:6" ht="30" customHeight="1">
      <c r="B166" s="1120"/>
      <c r="C166" s="1122"/>
      <c r="D166" s="1122"/>
      <c r="E166" s="1122"/>
      <c r="F166" s="1126" t="s">
        <v>106</v>
      </c>
    </row>
    <row r="167" spans="2:6" ht="31.5">
      <c r="B167" s="171" t="s">
        <v>38</v>
      </c>
      <c r="C167" s="173" t="s">
        <v>1632</v>
      </c>
      <c r="D167" s="174"/>
      <c r="E167" s="174"/>
      <c r="F167" s="174"/>
    </row>
    <row r="168" spans="2:6" ht="25.5" customHeight="1">
      <c r="B168" s="1119" t="s">
        <v>1543</v>
      </c>
      <c r="C168" s="1121" t="s">
        <v>1600</v>
      </c>
      <c r="D168" s="1121" t="s">
        <v>1598</v>
      </c>
      <c r="E168" s="1121" t="s">
        <v>1670</v>
      </c>
      <c r="F168" s="1125" t="s">
        <v>106</v>
      </c>
    </row>
    <row r="169" spans="2:6" ht="25.5" customHeight="1">
      <c r="B169" s="1120"/>
      <c r="C169" s="1122"/>
      <c r="D169" s="1122"/>
      <c r="E169" s="1122"/>
      <c r="F169" s="1126" t="s">
        <v>106</v>
      </c>
    </row>
    <row r="170" spans="2:6" ht="25.5" customHeight="1">
      <c r="B170" s="1119" t="s">
        <v>1544</v>
      </c>
      <c r="C170" s="1121" t="s">
        <v>1599</v>
      </c>
      <c r="D170" s="1121" t="s">
        <v>119</v>
      </c>
      <c r="E170" s="1121" t="s">
        <v>1670</v>
      </c>
      <c r="F170" s="1125" t="s">
        <v>106</v>
      </c>
    </row>
    <row r="171" spans="2:6" ht="25.5" customHeight="1">
      <c r="B171" s="1120"/>
      <c r="C171" s="1122"/>
      <c r="D171" s="1122"/>
      <c r="E171" s="1122"/>
      <c r="F171" s="1126" t="s">
        <v>106</v>
      </c>
    </row>
    <row r="172" spans="2:6" ht="25.5" customHeight="1">
      <c r="B172" s="1119" t="s">
        <v>1545</v>
      </c>
      <c r="C172" s="1121" t="s">
        <v>102</v>
      </c>
      <c r="D172" s="1121" t="s">
        <v>102</v>
      </c>
      <c r="E172" s="1121" t="s">
        <v>1670</v>
      </c>
      <c r="F172" s="1125" t="s">
        <v>106</v>
      </c>
    </row>
    <row r="173" spans="2:6" ht="25.5" customHeight="1">
      <c r="B173" s="1120"/>
      <c r="C173" s="1122"/>
      <c r="D173" s="1122"/>
      <c r="E173" s="1122"/>
      <c r="F173" s="1126" t="s">
        <v>106</v>
      </c>
    </row>
    <row r="174" spans="2:6" ht="25.5" customHeight="1">
      <c r="B174" s="1119" t="s">
        <v>1546</v>
      </c>
      <c r="C174" s="1121" t="s">
        <v>1522</v>
      </c>
      <c r="D174" s="1121" t="s">
        <v>103</v>
      </c>
      <c r="E174" s="1121" t="s">
        <v>1670</v>
      </c>
      <c r="F174" s="1125" t="s">
        <v>106</v>
      </c>
    </row>
    <row r="175" spans="2:6" ht="25.5" customHeight="1">
      <c r="B175" s="1120"/>
      <c r="C175" s="1122"/>
      <c r="D175" s="1122"/>
      <c r="E175" s="1122"/>
      <c r="F175" s="1126" t="s">
        <v>106</v>
      </c>
    </row>
    <row r="176" spans="2:6" ht="25.5" customHeight="1">
      <c r="B176" s="1119" t="s">
        <v>1547</v>
      </c>
      <c r="C176" s="1121" t="s">
        <v>104</v>
      </c>
      <c r="D176" s="1121" t="s">
        <v>104</v>
      </c>
      <c r="E176" s="1121" t="s">
        <v>1670</v>
      </c>
      <c r="F176" s="1125" t="s">
        <v>106</v>
      </c>
    </row>
    <row r="177" spans="2:6" ht="25.5" customHeight="1">
      <c r="B177" s="1120"/>
      <c r="C177" s="1122"/>
      <c r="D177" s="1122"/>
      <c r="E177" s="1122"/>
      <c r="F177" s="1126" t="s">
        <v>106</v>
      </c>
    </row>
  </sheetData>
  <mergeCells count="424">
    <mergeCell ref="F176:F177"/>
    <mergeCell ref="F163:F164"/>
    <mergeCell ref="F165:F166"/>
    <mergeCell ref="F168:F169"/>
    <mergeCell ref="F170:F171"/>
    <mergeCell ref="F172:F173"/>
    <mergeCell ref="F174:F175"/>
    <mergeCell ref="F151:F152"/>
    <mergeCell ref="F153:F154"/>
    <mergeCell ref="F155:F156"/>
    <mergeCell ref="F157:F158"/>
    <mergeCell ref="F159:F160"/>
    <mergeCell ref="F161:F162"/>
    <mergeCell ref="F139:F140"/>
    <mergeCell ref="F141:F142"/>
    <mergeCell ref="F143:F144"/>
    <mergeCell ref="F145:F146"/>
    <mergeCell ref="F147:F148"/>
    <mergeCell ref="F149:F150"/>
    <mergeCell ref="F127:F128"/>
    <mergeCell ref="F129:F130"/>
    <mergeCell ref="F131:F132"/>
    <mergeCell ref="F133:F134"/>
    <mergeCell ref="F135:F136"/>
    <mergeCell ref="F137:F138"/>
    <mergeCell ref="F115:F116"/>
    <mergeCell ref="F117:F118"/>
    <mergeCell ref="F119:F120"/>
    <mergeCell ref="F121:F122"/>
    <mergeCell ref="F123:F124"/>
    <mergeCell ref="F125:F126"/>
    <mergeCell ref="F103:F104"/>
    <mergeCell ref="F105:F106"/>
    <mergeCell ref="F107:F108"/>
    <mergeCell ref="F109:F110"/>
    <mergeCell ref="F111:F112"/>
    <mergeCell ref="F113:F114"/>
    <mergeCell ref="F91:F92"/>
    <mergeCell ref="F93:F94"/>
    <mergeCell ref="F95:F96"/>
    <mergeCell ref="F97:F98"/>
    <mergeCell ref="F99:F100"/>
    <mergeCell ref="F101:F102"/>
    <mergeCell ref="F79:F80"/>
    <mergeCell ref="F81:F82"/>
    <mergeCell ref="F83:F84"/>
    <mergeCell ref="F85:F86"/>
    <mergeCell ref="F87:F88"/>
    <mergeCell ref="F89:F90"/>
    <mergeCell ref="F66:F67"/>
    <mergeCell ref="F68:F69"/>
    <mergeCell ref="F70:F71"/>
    <mergeCell ref="F73:F74"/>
    <mergeCell ref="F75:F76"/>
    <mergeCell ref="F77:F78"/>
    <mergeCell ref="F54:F55"/>
    <mergeCell ref="F56:F57"/>
    <mergeCell ref="F58:F59"/>
    <mergeCell ref="F60:F61"/>
    <mergeCell ref="F62:F63"/>
    <mergeCell ref="F64:F65"/>
    <mergeCell ref="F41:F42"/>
    <mergeCell ref="F43:F44"/>
    <mergeCell ref="F45:F46"/>
    <mergeCell ref="F48:F49"/>
    <mergeCell ref="F50:F51"/>
    <mergeCell ref="F52:F53"/>
    <mergeCell ref="F29:F30"/>
    <mergeCell ref="F31:F32"/>
    <mergeCell ref="F33:F34"/>
    <mergeCell ref="F35:F36"/>
    <mergeCell ref="F37:F38"/>
    <mergeCell ref="F39:F40"/>
    <mergeCell ref="F16:F17"/>
    <mergeCell ref="F18:F19"/>
    <mergeCell ref="F20:F21"/>
    <mergeCell ref="F22:F23"/>
    <mergeCell ref="F24:F25"/>
    <mergeCell ref="F26:F27"/>
    <mergeCell ref="C4:E4"/>
    <mergeCell ref="F5:F6"/>
    <mergeCell ref="F7:F8"/>
    <mergeCell ref="F10:F11"/>
    <mergeCell ref="F12:F13"/>
    <mergeCell ref="F14:F15"/>
    <mergeCell ref="E24:E25"/>
    <mergeCell ref="E26:E27"/>
    <mergeCell ref="E172:E173"/>
    <mergeCell ref="E174:E175"/>
    <mergeCell ref="E176:E177"/>
    <mergeCell ref="C47:E47"/>
    <mergeCell ref="C28:E28"/>
    <mergeCell ref="C9:E9"/>
    <mergeCell ref="E159:E160"/>
    <mergeCell ref="E161:E162"/>
    <mergeCell ref="E163:E164"/>
    <mergeCell ref="E165:E166"/>
    <mergeCell ref="E168:E169"/>
    <mergeCell ref="E170:E171"/>
    <mergeCell ref="E147:E148"/>
    <mergeCell ref="E149:E150"/>
    <mergeCell ref="E151:E152"/>
    <mergeCell ref="E153:E154"/>
    <mergeCell ref="E155:E156"/>
    <mergeCell ref="E157:E158"/>
    <mergeCell ref="E135:E136"/>
    <mergeCell ref="E137:E138"/>
    <mergeCell ref="E139:E140"/>
    <mergeCell ref="E141:E142"/>
    <mergeCell ref="E143:E144"/>
    <mergeCell ref="E145:E146"/>
    <mergeCell ref="E123:E124"/>
    <mergeCell ref="E125:E126"/>
    <mergeCell ref="E127:E128"/>
    <mergeCell ref="E129:E130"/>
    <mergeCell ref="E131:E132"/>
    <mergeCell ref="E133:E134"/>
    <mergeCell ref="E111:E112"/>
    <mergeCell ref="E113:E114"/>
    <mergeCell ref="E115:E116"/>
    <mergeCell ref="E117:E118"/>
    <mergeCell ref="E119:E120"/>
    <mergeCell ref="E121:E122"/>
    <mergeCell ref="E99:E100"/>
    <mergeCell ref="E101:E102"/>
    <mergeCell ref="E103:E104"/>
    <mergeCell ref="E105:E106"/>
    <mergeCell ref="E107:E108"/>
    <mergeCell ref="E109:E110"/>
    <mergeCell ref="E87:E88"/>
    <mergeCell ref="E89:E90"/>
    <mergeCell ref="E91:E92"/>
    <mergeCell ref="E93:E94"/>
    <mergeCell ref="E95:E96"/>
    <mergeCell ref="E97:E98"/>
    <mergeCell ref="E75:E76"/>
    <mergeCell ref="E77:E78"/>
    <mergeCell ref="E79:E80"/>
    <mergeCell ref="E81:E82"/>
    <mergeCell ref="E83:E84"/>
    <mergeCell ref="E85:E86"/>
    <mergeCell ref="E62:E63"/>
    <mergeCell ref="E64:E65"/>
    <mergeCell ref="E66:E67"/>
    <mergeCell ref="E68:E69"/>
    <mergeCell ref="E70:E71"/>
    <mergeCell ref="E73:E74"/>
    <mergeCell ref="E50:E51"/>
    <mergeCell ref="E52:E53"/>
    <mergeCell ref="E54:E55"/>
    <mergeCell ref="E56:E57"/>
    <mergeCell ref="E58:E59"/>
    <mergeCell ref="E60:E61"/>
    <mergeCell ref="E37:E38"/>
    <mergeCell ref="E39:E40"/>
    <mergeCell ref="E41:E42"/>
    <mergeCell ref="E43:E44"/>
    <mergeCell ref="E45:E46"/>
    <mergeCell ref="E48:E49"/>
    <mergeCell ref="E29:E30"/>
    <mergeCell ref="E31:E32"/>
    <mergeCell ref="E33:E34"/>
    <mergeCell ref="E35:E36"/>
    <mergeCell ref="E5:E6"/>
    <mergeCell ref="E7:E8"/>
    <mergeCell ref="E10:E11"/>
    <mergeCell ref="E12:E13"/>
    <mergeCell ref="E14:E15"/>
    <mergeCell ref="E16:E17"/>
    <mergeCell ref="E18:E19"/>
    <mergeCell ref="E20:E21"/>
    <mergeCell ref="E22:E23"/>
    <mergeCell ref="B174:B175"/>
    <mergeCell ref="C174:C175"/>
    <mergeCell ref="D174:D175"/>
    <mergeCell ref="B176:B177"/>
    <mergeCell ref="C176:C177"/>
    <mergeCell ref="D176:D177"/>
    <mergeCell ref="B170:B171"/>
    <mergeCell ref="C170:C171"/>
    <mergeCell ref="D170:D171"/>
    <mergeCell ref="B172:B173"/>
    <mergeCell ref="C172:C173"/>
    <mergeCell ref="D172:D173"/>
    <mergeCell ref="B165:B166"/>
    <mergeCell ref="C165:C166"/>
    <mergeCell ref="D165:D166"/>
    <mergeCell ref="B168:B169"/>
    <mergeCell ref="C168:C169"/>
    <mergeCell ref="D168:D169"/>
    <mergeCell ref="B161:B162"/>
    <mergeCell ref="C161:C162"/>
    <mergeCell ref="D161:D162"/>
    <mergeCell ref="B163:B164"/>
    <mergeCell ref="C163:C164"/>
    <mergeCell ref="D163:D164"/>
    <mergeCell ref="B157:B158"/>
    <mergeCell ref="C157:C158"/>
    <mergeCell ref="D157:D158"/>
    <mergeCell ref="B159:B160"/>
    <mergeCell ref="C159:C160"/>
    <mergeCell ref="D159:D160"/>
    <mergeCell ref="B153:B154"/>
    <mergeCell ref="C153:C154"/>
    <mergeCell ref="D153:D154"/>
    <mergeCell ref="B155:B156"/>
    <mergeCell ref="C155:C156"/>
    <mergeCell ref="D155:D156"/>
    <mergeCell ref="B149:B150"/>
    <mergeCell ref="C149:C150"/>
    <mergeCell ref="D149:D150"/>
    <mergeCell ref="B151:B152"/>
    <mergeCell ref="C151:C152"/>
    <mergeCell ref="D151:D152"/>
    <mergeCell ref="B145:B146"/>
    <mergeCell ref="C145:C146"/>
    <mergeCell ref="D145:D146"/>
    <mergeCell ref="B147:B148"/>
    <mergeCell ref="C147:C148"/>
    <mergeCell ref="D147:D148"/>
    <mergeCell ref="B141:B142"/>
    <mergeCell ref="C141:C142"/>
    <mergeCell ref="D141:D142"/>
    <mergeCell ref="B143:B144"/>
    <mergeCell ref="C143:C144"/>
    <mergeCell ref="D143:D144"/>
    <mergeCell ref="B137:B138"/>
    <mergeCell ref="C137:C138"/>
    <mergeCell ref="D137:D138"/>
    <mergeCell ref="B139:B140"/>
    <mergeCell ref="C139:C140"/>
    <mergeCell ref="D139:D140"/>
    <mergeCell ref="B133:B134"/>
    <mergeCell ref="C133:C134"/>
    <mergeCell ref="D133:D134"/>
    <mergeCell ref="B135:B136"/>
    <mergeCell ref="C135:C136"/>
    <mergeCell ref="D135:D136"/>
    <mergeCell ref="B129:B130"/>
    <mergeCell ref="C129:C130"/>
    <mergeCell ref="D129:D130"/>
    <mergeCell ref="B131:B132"/>
    <mergeCell ref="C131:C132"/>
    <mergeCell ref="D131:D132"/>
    <mergeCell ref="B125:B126"/>
    <mergeCell ref="C125:C126"/>
    <mergeCell ref="D125:D126"/>
    <mergeCell ref="B127:B128"/>
    <mergeCell ref="C127:C128"/>
    <mergeCell ref="D127:D128"/>
    <mergeCell ref="B121:B122"/>
    <mergeCell ref="C121:C122"/>
    <mergeCell ref="D121:D122"/>
    <mergeCell ref="B123:B124"/>
    <mergeCell ref="C123:C124"/>
    <mergeCell ref="D123:D124"/>
    <mergeCell ref="B117:B118"/>
    <mergeCell ref="C117:C118"/>
    <mergeCell ref="D117:D118"/>
    <mergeCell ref="B119:B120"/>
    <mergeCell ref="C119:C120"/>
    <mergeCell ref="D119:D120"/>
    <mergeCell ref="B113:B114"/>
    <mergeCell ref="C113:C114"/>
    <mergeCell ref="D113:D114"/>
    <mergeCell ref="B115:B116"/>
    <mergeCell ref="C115:C116"/>
    <mergeCell ref="D115:D116"/>
    <mergeCell ref="B109:B110"/>
    <mergeCell ref="C109:C110"/>
    <mergeCell ref="D109:D110"/>
    <mergeCell ref="B111:B112"/>
    <mergeCell ref="C111:C112"/>
    <mergeCell ref="D111:D112"/>
    <mergeCell ref="B105:B106"/>
    <mergeCell ref="C105:C106"/>
    <mergeCell ref="D105:D106"/>
    <mergeCell ref="B107:B108"/>
    <mergeCell ref="C107:C108"/>
    <mergeCell ref="D107:D108"/>
    <mergeCell ref="B101:B102"/>
    <mergeCell ref="C101:C102"/>
    <mergeCell ref="D101:D102"/>
    <mergeCell ref="B103:B104"/>
    <mergeCell ref="C103:C104"/>
    <mergeCell ref="D103:D104"/>
    <mergeCell ref="B97:B98"/>
    <mergeCell ref="C97:C98"/>
    <mergeCell ref="D97:D98"/>
    <mergeCell ref="B99:B100"/>
    <mergeCell ref="C99:C100"/>
    <mergeCell ref="D99:D100"/>
    <mergeCell ref="B93:B94"/>
    <mergeCell ref="C93:C94"/>
    <mergeCell ref="D93:D94"/>
    <mergeCell ref="B95:B96"/>
    <mergeCell ref="C95:C96"/>
    <mergeCell ref="D95:D96"/>
    <mergeCell ref="B89:B90"/>
    <mergeCell ref="C89:C90"/>
    <mergeCell ref="D89:D90"/>
    <mergeCell ref="B91:B92"/>
    <mergeCell ref="C91:C92"/>
    <mergeCell ref="D91:D92"/>
    <mergeCell ref="B85:B86"/>
    <mergeCell ref="C85:C86"/>
    <mergeCell ref="D85:D86"/>
    <mergeCell ref="B87:B88"/>
    <mergeCell ref="C87:C88"/>
    <mergeCell ref="D87:D88"/>
    <mergeCell ref="B81:B82"/>
    <mergeCell ref="C81:C82"/>
    <mergeCell ref="D81:D82"/>
    <mergeCell ref="B83:B84"/>
    <mergeCell ref="C83:C84"/>
    <mergeCell ref="D83:D84"/>
    <mergeCell ref="B77:B78"/>
    <mergeCell ref="C77:C78"/>
    <mergeCell ref="D77:D78"/>
    <mergeCell ref="B79:B80"/>
    <mergeCell ref="C79:C80"/>
    <mergeCell ref="D79:D80"/>
    <mergeCell ref="B73:B74"/>
    <mergeCell ref="C73:C74"/>
    <mergeCell ref="D73:D74"/>
    <mergeCell ref="B75:B76"/>
    <mergeCell ref="C75:C76"/>
    <mergeCell ref="D75:D76"/>
    <mergeCell ref="B68:B69"/>
    <mergeCell ref="C68:C69"/>
    <mergeCell ref="D68:D69"/>
    <mergeCell ref="B70:B71"/>
    <mergeCell ref="C70:C71"/>
    <mergeCell ref="D70:D71"/>
    <mergeCell ref="B64:B65"/>
    <mergeCell ref="C64:C65"/>
    <mergeCell ref="D64:D65"/>
    <mergeCell ref="B66:B67"/>
    <mergeCell ref="C66:C67"/>
    <mergeCell ref="D66:D67"/>
    <mergeCell ref="B60:B61"/>
    <mergeCell ref="C60:C61"/>
    <mergeCell ref="D60:D61"/>
    <mergeCell ref="B62:B63"/>
    <mergeCell ref="C62:C63"/>
    <mergeCell ref="D62:D63"/>
    <mergeCell ref="B56:B57"/>
    <mergeCell ref="C56:C57"/>
    <mergeCell ref="D56:D57"/>
    <mergeCell ref="B58:B59"/>
    <mergeCell ref="C58:C59"/>
    <mergeCell ref="D58:D59"/>
    <mergeCell ref="B52:B53"/>
    <mergeCell ref="C52:C53"/>
    <mergeCell ref="D52:D53"/>
    <mergeCell ref="B54:B55"/>
    <mergeCell ref="C54:C55"/>
    <mergeCell ref="D54:D55"/>
    <mergeCell ref="B48:B49"/>
    <mergeCell ref="C48:C49"/>
    <mergeCell ref="D48:D49"/>
    <mergeCell ref="B50:B51"/>
    <mergeCell ref="C50:C51"/>
    <mergeCell ref="D50:D51"/>
    <mergeCell ref="B43:B44"/>
    <mergeCell ref="C43:C44"/>
    <mergeCell ref="D43:D44"/>
    <mergeCell ref="B45:B46"/>
    <mergeCell ref="C45:C46"/>
    <mergeCell ref="D45:D46"/>
    <mergeCell ref="B39:B40"/>
    <mergeCell ref="C39:C40"/>
    <mergeCell ref="D39:D40"/>
    <mergeCell ref="B41:B42"/>
    <mergeCell ref="C41:C42"/>
    <mergeCell ref="D41:D42"/>
    <mergeCell ref="B35:B36"/>
    <mergeCell ref="C35:C36"/>
    <mergeCell ref="D35:D36"/>
    <mergeCell ref="B37:B38"/>
    <mergeCell ref="C37:C38"/>
    <mergeCell ref="D37:D38"/>
    <mergeCell ref="B31:B32"/>
    <mergeCell ref="C31:C32"/>
    <mergeCell ref="D31:D32"/>
    <mergeCell ref="B33:B34"/>
    <mergeCell ref="C33:C34"/>
    <mergeCell ref="D33:D34"/>
    <mergeCell ref="B26:B27"/>
    <mergeCell ref="C26:C27"/>
    <mergeCell ref="D26:D27"/>
    <mergeCell ref="B29:B30"/>
    <mergeCell ref="C29:C30"/>
    <mergeCell ref="D29:D30"/>
    <mergeCell ref="B22:B23"/>
    <mergeCell ref="C22:C23"/>
    <mergeCell ref="D22:D23"/>
    <mergeCell ref="B24:B25"/>
    <mergeCell ref="C24:C25"/>
    <mergeCell ref="D24:D25"/>
    <mergeCell ref="B18:B19"/>
    <mergeCell ref="C18:C19"/>
    <mergeCell ref="D18:D19"/>
    <mergeCell ref="B20:B21"/>
    <mergeCell ref="C20:C21"/>
    <mergeCell ref="D20:D21"/>
    <mergeCell ref="B14:B15"/>
    <mergeCell ref="C14:C15"/>
    <mergeCell ref="D14:D15"/>
    <mergeCell ref="B16:B17"/>
    <mergeCell ref="C16:C17"/>
    <mergeCell ref="D16:D17"/>
    <mergeCell ref="B10:B11"/>
    <mergeCell ref="C10:C11"/>
    <mergeCell ref="D10:D11"/>
    <mergeCell ref="B12:B13"/>
    <mergeCell ref="C12:C13"/>
    <mergeCell ref="D12:D13"/>
    <mergeCell ref="B5:B6"/>
    <mergeCell ref="C5:C6"/>
    <mergeCell ref="D5:D6"/>
    <mergeCell ref="B7:B8"/>
    <mergeCell ref="C7:C8"/>
    <mergeCell ref="D7:D8"/>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17"/>
  <dimension ref="A1:K1610"/>
  <sheetViews>
    <sheetView workbookViewId="0">
      <pane xSplit="1" ySplit="3" topLeftCell="B4" activePane="bottomRight" state="frozen"/>
      <selection pane="topRight" activeCell="B1" sqref="B1"/>
      <selection pane="bottomLeft" activeCell="A4" sqref="A4"/>
      <selection pane="bottomRight" activeCell="J277" sqref="J277"/>
    </sheetView>
  </sheetViews>
  <sheetFormatPr defaultRowHeight="15"/>
  <cols>
    <col min="1" max="1" width="19.85546875" style="59" customWidth="1"/>
    <col min="2" max="2" width="25" style="58" customWidth="1"/>
    <col min="3" max="3" width="25.7109375" style="59" customWidth="1"/>
    <col min="4" max="4" width="22.140625" style="59" customWidth="1"/>
    <col min="5" max="5" width="13.85546875" style="60" customWidth="1"/>
    <col min="6" max="6" width="23.85546875" style="59" customWidth="1"/>
    <col min="7" max="7" width="26.85546875" style="58" customWidth="1"/>
    <col min="8" max="8" width="13.5703125" style="98" customWidth="1"/>
    <col min="9" max="16384" width="9.140625" style="54"/>
  </cols>
  <sheetData>
    <row r="1" spans="1:11" ht="18.75">
      <c r="A1" s="49" t="s">
        <v>164</v>
      </c>
      <c r="B1" s="50"/>
      <c r="C1" s="51"/>
      <c r="D1" s="52"/>
      <c r="E1" s="53"/>
      <c r="F1" s="54"/>
      <c r="G1" s="55"/>
      <c r="H1" s="56"/>
    </row>
    <row r="2" spans="1:11" ht="15.75" thickBot="1">
      <c r="A2" s="57"/>
      <c r="G2" s="61"/>
      <c r="H2" s="57"/>
    </row>
    <row r="3" spans="1:11" ht="24.75" thickBot="1">
      <c r="A3" s="62" t="s">
        <v>165</v>
      </c>
      <c r="B3" s="63" t="s">
        <v>166</v>
      </c>
      <c r="C3" s="63" t="s">
        <v>167</v>
      </c>
      <c r="D3" s="63" t="s">
        <v>168</v>
      </c>
      <c r="E3" s="64" t="s">
        <v>169</v>
      </c>
      <c r="F3" s="63" t="s">
        <v>170</v>
      </c>
      <c r="G3" s="63" t="s">
        <v>13</v>
      </c>
      <c r="H3" s="63" t="s">
        <v>171</v>
      </c>
      <c r="J3"/>
      <c r="K3"/>
    </row>
    <row r="4" spans="1:11" ht="24">
      <c r="A4" s="65" t="s">
        <v>931</v>
      </c>
      <c r="B4" s="66" t="s">
        <v>909</v>
      </c>
      <c r="C4" s="66" t="s">
        <v>1098</v>
      </c>
      <c r="D4" s="96" t="s">
        <v>177</v>
      </c>
      <c r="E4" s="92" t="s">
        <v>1114</v>
      </c>
      <c r="F4" s="69" t="s">
        <v>1101</v>
      </c>
      <c r="G4" s="69" t="s">
        <v>1115</v>
      </c>
      <c r="H4" s="70" t="s">
        <v>176</v>
      </c>
      <c r="I4" s="54">
        <f>COUNTA(G4:G1579)</f>
        <v>950</v>
      </c>
      <c r="J4"/>
      <c r="K4"/>
    </row>
    <row r="5" spans="1:11" ht="24">
      <c r="A5" s="65" t="s">
        <v>32</v>
      </c>
      <c r="B5" s="66" t="s">
        <v>247</v>
      </c>
      <c r="C5" s="66" t="s">
        <v>268</v>
      </c>
      <c r="D5" s="79" t="s">
        <v>177</v>
      </c>
      <c r="E5" s="68" t="s">
        <v>250</v>
      </c>
      <c r="F5" s="69" t="s">
        <v>44</v>
      </c>
      <c r="G5" s="69" t="s">
        <v>280</v>
      </c>
      <c r="H5" s="70" t="s">
        <v>176</v>
      </c>
      <c r="J5"/>
      <c r="K5"/>
    </row>
    <row r="6" spans="1:11" ht="36">
      <c r="A6" s="65" t="s">
        <v>1413</v>
      </c>
      <c r="B6" s="66" t="s">
        <v>1413</v>
      </c>
      <c r="C6" s="66" t="s">
        <v>1427</v>
      </c>
      <c r="D6" s="90" t="s">
        <v>177</v>
      </c>
      <c r="E6" s="82" t="s">
        <v>1108</v>
      </c>
      <c r="F6" s="69" t="s">
        <v>44</v>
      </c>
      <c r="G6" s="69" t="s">
        <v>1438</v>
      </c>
      <c r="H6" s="70" t="s">
        <v>243</v>
      </c>
      <c r="J6"/>
      <c r="K6"/>
    </row>
    <row r="7" spans="1:11" ht="36">
      <c r="A7" s="65" t="s">
        <v>1206</v>
      </c>
      <c r="B7" s="66" t="s">
        <v>1227</v>
      </c>
      <c r="C7" s="66" t="s">
        <v>1227</v>
      </c>
      <c r="D7" s="69" t="s">
        <v>739</v>
      </c>
      <c r="E7" s="80" t="s">
        <v>740</v>
      </c>
      <c r="F7" s="69" t="s">
        <v>222</v>
      </c>
      <c r="G7" s="69" t="s">
        <v>1229</v>
      </c>
      <c r="H7" s="70" t="s">
        <v>176</v>
      </c>
      <c r="J7"/>
      <c r="K7"/>
    </row>
    <row r="8" spans="1:11" ht="24">
      <c r="A8" s="71" t="s">
        <v>795</v>
      </c>
      <c r="B8" s="72" t="s">
        <v>795</v>
      </c>
      <c r="C8" s="72" t="s">
        <v>796</v>
      </c>
      <c r="D8" s="67" t="s">
        <v>177</v>
      </c>
      <c r="E8" s="83" t="s">
        <v>466</v>
      </c>
      <c r="F8" s="69" t="s">
        <v>47</v>
      </c>
      <c r="G8" s="69" t="s">
        <v>817</v>
      </c>
      <c r="H8" s="70" t="s">
        <v>210</v>
      </c>
      <c r="J8"/>
      <c r="K8"/>
    </row>
    <row r="9" spans="1:11" ht="36">
      <c r="A9" s="71" t="s">
        <v>1206</v>
      </c>
      <c r="B9" s="72" t="s">
        <v>1254</v>
      </c>
      <c r="C9" s="72" t="s">
        <v>1254</v>
      </c>
      <c r="D9" s="67" t="s">
        <v>177</v>
      </c>
      <c r="E9" s="80" t="s">
        <v>248</v>
      </c>
      <c r="F9" s="69" t="s">
        <v>44</v>
      </c>
      <c r="G9" s="67" t="s">
        <v>1259</v>
      </c>
      <c r="H9" s="70" t="s">
        <v>176</v>
      </c>
      <c r="J9"/>
      <c r="K9"/>
    </row>
    <row r="10" spans="1:11" ht="24">
      <c r="A10" s="71" t="s">
        <v>839</v>
      </c>
      <c r="B10" s="72" t="s">
        <v>694</v>
      </c>
      <c r="C10" s="72" t="s">
        <v>694</v>
      </c>
      <c r="D10" s="67" t="s">
        <v>603</v>
      </c>
      <c r="E10" s="80"/>
      <c r="F10" s="69" t="s">
        <v>50</v>
      </c>
      <c r="G10" s="67" t="s">
        <v>857</v>
      </c>
      <c r="H10" s="70" t="s">
        <v>843</v>
      </c>
      <c r="J10"/>
      <c r="K10"/>
    </row>
    <row r="11" spans="1:11" ht="36">
      <c r="A11" s="65" t="s">
        <v>1413</v>
      </c>
      <c r="B11" s="66" t="s">
        <v>1413</v>
      </c>
      <c r="C11" s="66" t="s">
        <v>1418</v>
      </c>
      <c r="D11" s="90" t="s">
        <v>177</v>
      </c>
      <c r="E11" s="80" t="s">
        <v>1415</v>
      </c>
      <c r="F11" s="69" t="s">
        <v>46</v>
      </c>
      <c r="G11" s="67" t="s">
        <v>1422</v>
      </c>
      <c r="H11" s="70" t="s">
        <v>176</v>
      </c>
      <c r="J11"/>
      <c r="K11"/>
    </row>
    <row r="12" spans="1:11">
      <c r="A12" s="65" t="s">
        <v>699</v>
      </c>
      <c r="B12" s="66" t="s">
        <v>720</v>
      </c>
      <c r="C12" s="66" t="s">
        <v>723</v>
      </c>
      <c r="D12" s="69" t="s">
        <v>720</v>
      </c>
      <c r="E12" s="80"/>
      <c r="F12" s="69" t="s">
        <v>50</v>
      </c>
      <c r="G12" s="67" t="s">
        <v>731</v>
      </c>
      <c r="H12" s="70" t="s">
        <v>176</v>
      </c>
      <c r="J12"/>
      <c r="K12"/>
    </row>
    <row r="13" spans="1:11" ht="24">
      <c r="A13" s="65" t="s">
        <v>699</v>
      </c>
      <c r="B13" s="66" t="s">
        <v>720</v>
      </c>
      <c r="C13" s="66" t="s">
        <v>721</v>
      </c>
      <c r="D13" s="69" t="s">
        <v>720</v>
      </c>
      <c r="E13" s="80"/>
      <c r="F13" s="69" t="s">
        <v>174</v>
      </c>
      <c r="G13" s="67" t="s">
        <v>722</v>
      </c>
      <c r="H13" s="70" t="s">
        <v>176</v>
      </c>
      <c r="J13"/>
      <c r="K13"/>
    </row>
    <row r="14" spans="1:11" ht="24">
      <c r="A14" s="65" t="s">
        <v>972</v>
      </c>
      <c r="B14" s="66" t="s">
        <v>996</v>
      </c>
      <c r="C14" s="66" t="s">
        <v>1003</v>
      </c>
      <c r="D14" s="69" t="s">
        <v>468</v>
      </c>
      <c r="E14" s="80"/>
      <c r="F14" s="69" t="s">
        <v>50</v>
      </c>
      <c r="G14" s="67" t="s">
        <v>1010</v>
      </c>
      <c r="H14" s="70" t="s">
        <v>210</v>
      </c>
      <c r="J14"/>
      <c r="K14"/>
    </row>
    <row r="15" spans="1:11" ht="24">
      <c r="A15" s="65" t="s">
        <v>839</v>
      </c>
      <c r="B15" s="66" t="s">
        <v>861</v>
      </c>
      <c r="C15" s="66" t="s">
        <v>861</v>
      </c>
      <c r="D15" s="69" t="s">
        <v>451</v>
      </c>
      <c r="E15" s="80"/>
      <c r="F15" s="69" t="s">
        <v>695</v>
      </c>
      <c r="G15" s="67" t="s">
        <v>862</v>
      </c>
      <c r="H15" s="70" t="s">
        <v>843</v>
      </c>
      <c r="J15"/>
      <c r="K15"/>
    </row>
    <row r="16" spans="1:11" ht="24">
      <c r="A16" s="65" t="s">
        <v>32</v>
      </c>
      <c r="B16" s="66" t="s">
        <v>470</v>
      </c>
      <c r="C16" s="66" t="s">
        <v>557</v>
      </c>
      <c r="D16" s="67" t="s">
        <v>470</v>
      </c>
      <c r="E16" s="86"/>
      <c r="F16" s="69" t="s">
        <v>518</v>
      </c>
      <c r="G16" s="67" t="s">
        <v>573</v>
      </c>
      <c r="H16" s="70" t="s">
        <v>210</v>
      </c>
      <c r="J16"/>
      <c r="K16"/>
    </row>
    <row r="17" spans="1:11" ht="36">
      <c r="A17" s="65" t="s">
        <v>1206</v>
      </c>
      <c r="B17" s="66" t="s">
        <v>1221</v>
      </c>
      <c r="C17" s="66" t="s">
        <v>1225</v>
      </c>
      <c r="D17" s="67" t="s">
        <v>739</v>
      </c>
      <c r="E17" s="86" t="s">
        <v>740</v>
      </c>
      <c r="F17" s="69" t="s">
        <v>51</v>
      </c>
      <c r="G17" s="67" t="s">
        <v>1226</v>
      </c>
      <c r="H17" s="70" t="s">
        <v>176</v>
      </c>
      <c r="J17"/>
      <c r="K17"/>
    </row>
    <row r="18" spans="1:11" ht="24">
      <c r="A18" s="65" t="s">
        <v>822</v>
      </c>
      <c r="B18" s="66" t="s">
        <v>822</v>
      </c>
      <c r="C18" s="66" t="s">
        <v>832</v>
      </c>
      <c r="D18" s="67" t="s">
        <v>177</v>
      </c>
      <c r="E18" s="86" t="s">
        <v>466</v>
      </c>
      <c r="F18" s="69" t="s">
        <v>48</v>
      </c>
      <c r="G18" s="67" t="s">
        <v>834</v>
      </c>
      <c r="H18" s="70" t="s">
        <v>210</v>
      </c>
      <c r="J18"/>
      <c r="K18"/>
    </row>
    <row r="19" spans="1:11" ht="24">
      <c r="A19" s="65" t="s">
        <v>32</v>
      </c>
      <c r="B19" s="66" t="s">
        <v>470</v>
      </c>
      <c r="C19" s="66" t="s">
        <v>557</v>
      </c>
      <c r="D19" s="67" t="s">
        <v>470</v>
      </c>
      <c r="E19" s="86"/>
      <c r="F19" s="69" t="s">
        <v>580</v>
      </c>
      <c r="G19" s="67" t="s">
        <v>581</v>
      </c>
      <c r="H19" s="70" t="s">
        <v>210</v>
      </c>
      <c r="J19"/>
      <c r="K19"/>
    </row>
    <row r="20" spans="1:11" ht="24">
      <c r="A20" s="65" t="s">
        <v>32</v>
      </c>
      <c r="B20" s="66" t="s">
        <v>247</v>
      </c>
      <c r="C20" s="66" t="s">
        <v>383</v>
      </c>
      <c r="D20" s="79" t="s">
        <v>247</v>
      </c>
      <c r="E20" s="75"/>
      <c r="F20" s="69" t="s">
        <v>43</v>
      </c>
      <c r="G20" s="67" t="s">
        <v>407</v>
      </c>
      <c r="H20" s="70" t="s">
        <v>176</v>
      </c>
      <c r="J20"/>
      <c r="K20"/>
    </row>
    <row r="21" spans="1:11" ht="36">
      <c r="A21" s="65" t="s">
        <v>1363</v>
      </c>
      <c r="B21" s="66" t="s">
        <v>1364</v>
      </c>
      <c r="C21" s="66" t="s">
        <v>1376</v>
      </c>
      <c r="D21" s="66" t="s">
        <v>1366</v>
      </c>
      <c r="E21" s="86"/>
      <c r="F21" s="69" t="s">
        <v>48</v>
      </c>
      <c r="G21" s="67" t="s">
        <v>1380</v>
      </c>
      <c r="H21" s="70" t="s">
        <v>176</v>
      </c>
    </row>
    <row r="22" spans="1:11" ht="24">
      <c r="A22" s="65" t="s">
        <v>972</v>
      </c>
      <c r="B22" s="66" t="s">
        <v>996</v>
      </c>
      <c r="C22" s="66" t="s">
        <v>1011</v>
      </c>
      <c r="D22" s="66" t="s">
        <v>996</v>
      </c>
      <c r="E22" s="86"/>
      <c r="F22" s="69" t="s">
        <v>48</v>
      </c>
      <c r="G22" s="67" t="s">
        <v>1020</v>
      </c>
      <c r="H22" s="70" t="s">
        <v>176</v>
      </c>
    </row>
    <row r="23" spans="1:11" ht="24">
      <c r="A23" s="65" t="s">
        <v>699</v>
      </c>
      <c r="B23" s="66" t="s">
        <v>703</v>
      </c>
      <c r="C23" s="66" t="s">
        <v>782</v>
      </c>
      <c r="D23" s="66" t="s">
        <v>720</v>
      </c>
      <c r="E23" s="86"/>
      <c r="F23" s="69" t="s">
        <v>48</v>
      </c>
      <c r="G23" s="67" t="s">
        <v>794</v>
      </c>
      <c r="H23" s="70" t="s">
        <v>176</v>
      </c>
    </row>
    <row r="24" spans="1:11">
      <c r="A24" s="65" t="s">
        <v>972</v>
      </c>
      <c r="B24" s="66" t="s">
        <v>1041</v>
      </c>
      <c r="C24" s="66" t="s">
        <v>1041</v>
      </c>
      <c r="D24" s="95" t="s">
        <v>468</v>
      </c>
      <c r="E24" s="86"/>
      <c r="F24" s="69" t="s">
        <v>48</v>
      </c>
      <c r="G24" s="67" t="s">
        <v>1073</v>
      </c>
      <c r="H24" s="70" t="s">
        <v>210</v>
      </c>
    </row>
    <row r="25" spans="1:11" ht="36">
      <c r="A25" s="65" t="s">
        <v>32</v>
      </c>
      <c r="B25" s="66" t="s">
        <v>408</v>
      </c>
      <c r="C25" s="66" t="s">
        <v>442</v>
      </c>
      <c r="D25" s="66" t="s">
        <v>410</v>
      </c>
      <c r="E25" s="86"/>
      <c r="F25" s="69" t="s">
        <v>43</v>
      </c>
      <c r="G25" s="67" t="s">
        <v>447</v>
      </c>
      <c r="H25" s="70" t="s">
        <v>210</v>
      </c>
    </row>
    <row r="26" spans="1:11" ht="36">
      <c r="A26" s="65" t="s">
        <v>1206</v>
      </c>
      <c r="B26" s="66" t="s">
        <v>1209</v>
      </c>
      <c r="C26" s="66" t="s">
        <v>1219</v>
      </c>
      <c r="D26" s="66" t="s">
        <v>739</v>
      </c>
      <c r="E26" s="86" t="s">
        <v>740</v>
      </c>
      <c r="F26" s="69" t="s">
        <v>51</v>
      </c>
      <c r="G26" s="67" t="s">
        <v>1220</v>
      </c>
      <c r="H26" s="70" t="s">
        <v>176</v>
      </c>
    </row>
    <row r="27" spans="1:11" ht="36">
      <c r="A27" s="65" t="s">
        <v>931</v>
      </c>
      <c r="B27" s="66" t="s">
        <v>923</v>
      </c>
      <c r="C27" s="66" t="s">
        <v>1154</v>
      </c>
      <c r="D27" s="66" t="s">
        <v>62</v>
      </c>
      <c r="E27" s="86"/>
      <c r="F27" s="69" t="s">
        <v>51</v>
      </c>
      <c r="G27" s="67" t="s">
        <v>1155</v>
      </c>
      <c r="H27" s="70" t="s">
        <v>176</v>
      </c>
    </row>
    <row r="28" spans="1:11" ht="24">
      <c r="A28" s="65" t="s">
        <v>972</v>
      </c>
      <c r="B28" s="66" t="s">
        <v>996</v>
      </c>
      <c r="C28" s="66" t="s">
        <v>1011</v>
      </c>
      <c r="D28" s="95" t="s">
        <v>996</v>
      </c>
      <c r="E28" s="86"/>
      <c r="F28" s="69" t="s">
        <v>1013</v>
      </c>
      <c r="G28" s="67" t="s">
        <v>1015</v>
      </c>
      <c r="H28" s="70" t="s">
        <v>176</v>
      </c>
    </row>
    <row r="29" spans="1:11" ht="36">
      <c r="A29" s="65" t="s">
        <v>1413</v>
      </c>
      <c r="B29" s="66" t="s">
        <v>1413</v>
      </c>
      <c r="C29" s="66" t="s">
        <v>1418</v>
      </c>
      <c r="D29" s="95" t="s">
        <v>177</v>
      </c>
      <c r="E29" s="86" t="s">
        <v>1415</v>
      </c>
      <c r="F29" s="69" t="s">
        <v>183</v>
      </c>
      <c r="G29" s="67" t="s">
        <v>1424</v>
      </c>
      <c r="H29" s="70" t="s">
        <v>176</v>
      </c>
    </row>
    <row r="30" spans="1:11" ht="24">
      <c r="A30" s="65" t="s">
        <v>972</v>
      </c>
      <c r="B30" s="66" t="s">
        <v>1041</v>
      </c>
      <c r="C30" s="66" t="s">
        <v>1042</v>
      </c>
      <c r="D30" s="95" t="s">
        <v>451</v>
      </c>
      <c r="E30" s="86"/>
      <c r="F30" s="69" t="s">
        <v>50</v>
      </c>
      <c r="G30" s="67" t="s">
        <v>1048</v>
      </c>
      <c r="H30" s="70" t="s">
        <v>210</v>
      </c>
    </row>
    <row r="31" spans="1:11" ht="24">
      <c r="A31" s="65" t="s">
        <v>32</v>
      </c>
      <c r="B31" s="66" t="s">
        <v>470</v>
      </c>
      <c r="C31" s="66" t="s">
        <v>534</v>
      </c>
      <c r="D31" s="66" t="s">
        <v>470</v>
      </c>
      <c r="E31" s="86"/>
      <c r="F31" s="69" t="s">
        <v>48</v>
      </c>
      <c r="G31" s="67" t="s">
        <v>537</v>
      </c>
      <c r="H31" s="70" t="s">
        <v>176</v>
      </c>
    </row>
    <row r="32" spans="1:11" ht="36">
      <c r="A32" s="65" t="s">
        <v>32</v>
      </c>
      <c r="B32" s="66" t="s">
        <v>408</v>
      </c>
      <c r="C32" s="66" t="s">
        <v>413</v>
      </c>
      <c r="D32" s="67" t="s">
        <v>410</v>
      </c>
      <c r="E32" s="86"/>
      <c r="F32" s="69" t="s">
        <v>422</v>
      </c>
      <c r="G32" s="67" t="s">
        <v>424</v>
      </c>
      <c r="H32" s="70" t="s">
        <v>176</v>
      </c>
    </row>
    <row r="33" spans="1:8" ht="24">
      <c r="A33" s="65" t="s">
        <v>972</v>
      </c>
      <c r="B33" s="66" t="s">
        <v>996</v>
      </c>
      <c r="C33" s="66" t="s">
        <v>1011</v>
      </c>
      <c r="D33" s="66" t="s">
        <v>996</v>
      </c>
      <c r="E33" s="86"/>
      <c r="F33" s="69" t="s">
        <v>50</v>
      </c>
      <c r="G33" s="69" t="s">
        <v>1037</v>
      </c>
      <c r="H33" s="70" t="s">
        <v>210</v>
      </c>
    </row>
    <row r="34" spans="1:8" ht="24">
      <c r="A34" s="65" t="s">
        <v>931</v>
      </c>
      <c r="B34" s="66" t="s">
        <v>932</v>
      </c>
      <c r="C34" s="66" t="s">
        <v>1203</v>
      </c>
      <c r="D34" s="95" t="s">
        <v>1201</v>
      </c>
      <c r="E34" s="86"/>
      <c r="F34" s="69" t="s">
        <v>1178</v>
      </c>
      <c r="G34" s="67" t="s">
        <v>1205</v>
      </c>
      <c r="H34" s="70" t="s">
        <v>176</v>
      </c>
    </row>
    <row r="35" spans="1:8" ht="24">
      <c r="A35" s="65" t="s">
        <v>699</v>
      </c>
      <c r="B35" s="66" t="s">
        <v>700</v>
      </c>
      <c r="C35" s="66" t="s">
        <v>716</v>
      </c>
      <c r="D35" s="66" t="s">
        <v>700</v>
      </c>
      <c r="E35" s="86"/>
      <c r="F35" s="69" t="s">
        <v>48</v>
      </c>
      <c r="G35" s="69" t="s">
        <v>718</v>
      </c>
      <c r="H35" s="70" t="s">
        <v>210</v>
      </c>
    </row>
    <row r="36" spans="1:8" ht="24">
      <c r="A36" s="65" t="s">
        <v>32</v>
      </c>
      <c r="B36" s="66" t="s">
        <v>247</v>
      </c>
      <c r="C36" s="66" t="s">
        <v>323</v>
      </c>
      <c r="D36" s="85" t="s">
        <v>247</v>
      </c>
      <c r="E36" s="75"/>
      <c r="F36" s="69" t="s">
        <v>40</v>
      </c>
      <c r="G36" s="69" t="s">
        <v>358</v>
      </c>
      <c r="H36" s="70" t="s">
        <v>210</v>
      </c>
    </row>
    <row r="37" spans="1:8" ht="24">
      <c r="A37" s="65" t="s">
        <v>839</v>
      </c>
      <c r="B37" s="66" t="s">
        <v>871</v>
      </c>
      <c r="C37" s="66" t="s">
        <v>871</v>
      </c>
      <c r="D37" s="67" t="s">
        <v>603</v>
      </c>
      <c r="E37" s="86"/>
      <c r="F37" s="69" t="s">
        <v>47</v>
      </c>
      <c r="G37" s="67" t="s">
        <v>890</v>
      </c>
      <c r="H37" s="70" t="s">
        <v>860</v>
      </c>
    </row>
    <row r="38" spans="1:8">
      <c r="A38" s="65" t="s">
        <v>32</v>
      </c>
      <c r="B38" s="66" t="s">
        <v>219</v>
      </c>
      <c r="C38" s="66" t="s">
        <v>219</v>
      </c>
      <c r="D38" s="66" t="s">
        <v>219</v>
      </c>
      <c r="E38" s="75"/>
      <c r="F38" s="69" t="s">
        <v>46</v>
      </c>
      <c r="G38" s="67" t="s">
        <v>238</v>
      </c>
      <c r="H38" s="70" t="s">
        <v>210</v>
      </c>
    </row>
    <row r="39" spans="1:8" ht="36">
      <c r="A39" s="65" t="s">
        <v>1363</v>
      </c>
      <c r="B39" s="66" t="s">
        <v>1364</v>
      </c>
      <c r="C39" s="66" t="s">
        <v>1403</v>
      </c>
      <c r="D39" s="66" t="s">
        <v>1366</v>
      </c>
      <c r="E39" s="86"/>
      <c r="F39" s="69" t="s">
        <v>1404</v>
      </c>
      <c r="G39" s="67" t="s">
        <v>1405</v>
      </c>
      <c r="H39" s="70" t="s">
        <v>176</v>
      </c>
    </row>
    <row r="40" spans="1:8" ht="24">
      <c r="A40" s="65" t="s">
        <v>908</v>
      </c>
      <c r="B40" s="66" t="s">
        <v>617</v>
      </c>
      <c r="C40" s="66" t="s">
        <v>617</v>
      </c>
      <c r="D40" s="67" t="s">
        <v>603</v>
      </c>
      <c r="E40" s="86"/>
      <c r="F40" s="69" t="s">
        <v>924</v>
      </c>
      <c r="G40" s="67" t="s">
        <v>925</v>
      </c>
      <c r="H40" s="70" t="s">
        <v>910</v>
      </c>
    </row>
    <row r="41" spans="1:8" ht="24">
      <c r="A41" s="65" t="s">
        <v>972</v>
      </c>
      <c r="B41" s="66" t="s">
        <v>996</v>
      </c>
      <c r="C41" s="66" t="s">
        <v>1003</v>
      </c>
      <c r="D41" s="69" t="s">
        <v>468</v>
      </c>
      <c r="E41" s="80"/>
      <c r="F41" s="69" t="s">
        <v>47</v>
      </c>
      <c r="G41" s="67" t="s">
        <v>1007</v>
      </c>
      <c r="H41" s="70" t="s">
        <v>210</v>
      </c>
    </row>
    <row r="42" spans="1:8">
      <c r="A42" s="65" t="s">
        <v>32</v>
      </c>
      <c r="B42" s="66" t="s">
        <v>219</v>
      </c>
      <c r="C42" s="66" t="s">
        <v>219</v>
      </c>
      <c r="D42" s="81" t="s">
        <v>219</v>
      </c>
      <c r="E42" s="82"/>
      <c r="F42" s="69" t="s">
        <v>46</v>
      </c>
      <c r="G42" s="67" t="s">
        <v>230</v>
      </c>
      <c r="H42" s="70" t="s">
        <v>176</v>
      </c>
    </row>
    <row r="43" spans="1:8" ht="36">
      <c r="A43" s="65" t="s">
        <v>1206</v>
      </c>
      <c r="B43" s="66" t="s">
        <v>1236</v>
      </c>
      <c r="C43" s="66" t="s">
        <v>1237</v>
      </c>
      <c r="D43" s="69" t="s">
        <v>739</v>
      </c>
      <c r="E43" s="80" t="s">
        <v>740</v>
      </c>
      <c r="F43" s="69" t="s">
        <v>1237</v>
      </c>
      <c r="G43" s="67" t="s">
        <v>1238</v>
      </c>
      <c r="H43" s="70" t="s">
        <v>176</v>
      </c>
    </row>
    <row r="44" spans="1:8" ht="24">
      <c r="A44" s="65" t="s">
        <v>699</v>
      </c>
      <c r="B44" s="66" t="s">
        <v>720</v>
      </c>
      <c r="C44" s="66" t="s">
        <v>756</v>
      </c>
      <c r="D44" s="69" t="s">
        <v>177</v>
      </c>
      <c r="E44" s="80" t="s">
        <v>751</v>
      </c>
      <c r="F44" s="69" t="s">
        <v>47</v>
      </c>
      <c r="G44" s="67" t="s">
        <v>766</v>
      </c>
      <c r="H44" s="70" t="s">
        <v>176</v>
      </c>
    </row>
    <row r="45" spans="1:8" ht="24">
      <c r="A45" s="65" t="s">
        <v>699</v>
      </c>
      <c r="B45" s="66" t="s">
        <v>703</v>
      </c>
      <c r="C45" s="66" t="s">
        <v>782</v>
      </c>
      <c r="D45" s="69" t="s">
        <v>700</v>
      </c>
      <c r="E45" s="80"/>
      <c r="F45" s="69" t="s">
        <v>47</v>
      </c>
      <c r="G45" s="67" t="s">
        <v>792</v>
      </c>
      <c r="H45" s="70" t="s">
        <v>176</v>
      </c>
    </row>
    <row r="46" spans="1:8" ht="24">
      <c r="A46" s="65" t="s">
        <v>972</v>
      </c>
      <c r="B46" s="66" t="s">
        <v>1041</v>
      </c>
      <c r="C46" s="66" t="s">
        <v>1042</v>
      </c>
      <c r="D46" s="81" t="s">
        <v>470</v>
      </c>
      <c r="E46" s="80"/>
      <c r="F46" s="69" t="s">
        <v>50</v>
      </c>
      <c r="G46" s="67" t="s">
        <v>1050</v>
      </c>
      <c r="H46" s="70" t="s">
        <v>210</v>
      </c>
    </row>
    <row r="47" spans="1:8" ht="24">
      <c r="A47" s="65" t="s">
        <v>908</v>
      </c>
      <c r="B47" s="66" t="s">
        <v>951</v>
      </c>
      <c r="C47" s="66" t="s">
        <v>955</v>
      </c>
      <c r="D47" s="69" t="s">
        <v>603</v>
      </c>
      <c r="E47" s="80"/>
      <c r="F47" s="69" t="s">
        <v>47</v>
      </c>
      <c r="G47" s="67" t="s">
        <v>956</v>
      </c>
      <c r="H47" s="70" t="s">
        <v>910</v>
      </c>
    </row>
    <row r="48" spans="1:8" ht="24">
      <c r="A48" s="65" t="s">
        <v>32</v>
      </c>
      <c r="B48" s="66" t="s">
        <v>449</v>
      </c>
      <c r="C48" s="66" t="s">
        <v>458</v>
      </c>
      <c r="D48" s="77" t="s">
        <v>451</v>
      </c>
      <c r="E48" s="68"/>
      <c r="F48" s="69" t="s">
        <v>48</v>
      </c>
      <c r="G48" s="79" t="s">
        <v>462</v>
      </c>
      <c r="H48" s="70" t="s">
        <v>176</v>
      </c>
    </row>
    <row r="49" spans="1:8">
      <c r="A49" s="65" t="s">
        <v>32</v>
      </c>
      <c r="B49" s="66" t="s">
        <v>219</v>
      </c>
      <c r="C49" s="66" t="s">
        <v>219</v>
      </c>
      <c r="D49" s="69" t="s">
        <v>219</v>
      </c>
      <c r="E49" s="68"/>
      <c r="F49" s="69" t="s">
        <v>46</v>
      </c>
      <c r="G49" s="67" t="s">
        <v>242</v>
      </c>
      <c r="H49" s="70" t="s">
        <v>210</v>
      </c>
    </row>
    <row r="50" spans="1:8" ht="24">
      <c r="A50" s="65" t="s">
        <v>795</v>
      </c>
      <c r="B50" s="66" t="s">
        <v>795</v>
      </c>
      <c r="C50" s="66" t="s">
        <v>796</v>
      </c>
      <c r="D50" s="69" t="s">
        <v>177</v>
      </c>
      <c r="E50" s="80" t="s">
        <v>466</v>
      </c>
      <c r="F50" s="69" t="s">
        <v>50</v>
      </c>
      <c r="G50" s="67" t="s">
        <v>819</v>
      </c>
      <c r="H50" s="70" t="s">
        <v>210</v>
      </c>
    </row>
    <row r="51" spans="1:8" ht="24">
      <c r="A51" s="65" t="s">
        <v>32</v>
      </c>
      <c r="B51" s="66" t="s">
        <v>470</v>
      </c>
      <c r="C51" s="66" t="s">
        <v>519</v>
      </c>
      <c r="D51" s="69" t="s">
        <v>470</v>
      </c>
      <c r="E51" s="80"/>
      <c r="F51" s="69" t="s">
        <v>47</v>
      </c>
      <c r="G51" s="67" t="s">
        <v>524</v>
      </c>
      <c r="H51" s="70" t="s">
        <v>176</v>
      </c>
    </row>
    <row r="52" spans="1:8" ht="24">
      <c r="A52" s="65" t="s">
        <v>972</v>
      </c>
      <c r="B52" s="66" t="s">
        <v>1041</v>
      </c>
      <c r="C52" s="66" t="s">
        <v>1042</v>
      </c>
      <c r="D52" s="90" t="s">
        <v>470</v>
      </c>
      <c r="E52" s="80"/>
      <c r="F52" s="69" t="s">
        <v>50</v>
      </c>
      <c r="G52" s="67" t="s">
        <v>1047</v>
      </c>
      <c r="H52" s="70" t="s">
        <v>210</v>
      </c>
    </row>
    <row r="53" spans="1:8" ht="24">
      <c r="A53" s="65" t="s">
        <v>32</v>
      </c>
      <c r="B53" s="66" t="s">
        <v>247</v>
      </c>
      <c r="C53" s="66" t="s">
        <v>383</v>
      </c>
      <c r="D53" s="79" t="s">
        <v>177</v>
      </c>
      <c r="E53" s="68" t="s">
        <v>250</v>
      </c>
      <c r="F53" s="69" t="s">
        <v>44</v>
      </c>
      <c r="G53" s="67" t="s">
        <v>388</v>
      </c>
      <c r="H53" s="70" t="s">
        <v>176</v>
      </c>
    </row>
    <row r="54" spans="1:8" ht="36">
      <c r="A54" s="65" t="s">
        <v>1206</v>
      </c>
      <c r="B54" s="66" t="s">
        <v>1328</v>
      </c>
      <c r="C54" s="66" t="s">
        <v>1328</v>
      </c>
      <c r="D54" s="69" t="s">
        <v>177</v>
      </c>
      <c r="E54" s="80" t="s">
        <v>248</v>
      </c>
      <c r="F54" s="69" t="s">
        <v>43</v>
      </c>
      <c r="G54" s="67" t="s">
        <v>1340</v>
      </c>
      <c r="H54" s="70" t="s">
        <v>176</v>
      </c>
    </row>
    <row r="55" spans="1:8" ht="24">
      <c r="A55" s="65" t="s">
        <v>603</v>
      </c>
      <c r="B55" s="66" t="s">
        <v>672</v>
      </c>
      <c r="C55" s="66" t="s">
        <v>687</v>
      </c>
      <c r="D55" s="69" t="s">
        <v>177</v>
      </c>
      <c r="E55" s="78" t="s">
        <v>466</v>
      </c>
      <c r="F55" s="67" t="s">
        <v>48</v>
      </c>
      <c r="G55" s="69" t="s">
        <v>689</v>
      </c>
      <c r="H55" s="70" t="s">
        <v>210</v>
      </c>
    </row>
    <row r="56" spans="1:8">
      <c r="A56" s="65" t="s">
        <v>931</v>
      </c>
      <c r="B56" s="66" t="s">
        <v>932</v>
      </c>
      <c r="C56" s="66" t="s">
        <v>1194</v>
      </c>
      <c r="D56" s="81" t="s">
        <v>935</v>
      </c>
      <c r="E56" s="107" t="s">
        <v>936</v>
      </c>
      <c r="F56" s="67" t="s">
        <v>48</v>
      </c>
      <c r="G56" s="69" t="s">
        <v>1199</v>
      </c>
      <c r="H56" s="70" t="s">
        <v>176</v>
      </c>
    </row>
    <row r="57" spans="1:8" ht="24">
      <c r="A57" s="65" t="s">
        <v>699</v>
      </c>
      <c r="B57" s="66" t="s">
        <v>700</v>
      </c>
      <c r="C57" s="66" t="s">
        <v>701</v>
      </c>
      <c r="D57" s="69" t="s">
        <v>700</v>
      </c>
      <c r="E57" s="78"/>
      <c r="F57" s="69" t="s">
        <v>181</v>
      </c>
      <c r="G57" s="69" t="s">
        <v>705</v>
      </c>
      <c r="H57" s="70" t="s">
        <v>176</v>
      </c>
    </row>
    <row r="58" spans="1:8" ht="24">
      <c r="A58" s="65" t="s">
        <v>699</v>
      </c>
      <c r="B58" s="66" t="s">
        <v>700</v>
      </c>
      <c r="C58" s="66" t="s">
        <v>712</v>
      </c>
      <c r="D58" s="69" t="s">
        <v>700</v>
      </c>
      <c r="E58" s="78"/>
      <c r="F58" s="69" t="s">
        <v>51</v>
      </c>
      <c r="G58" s="69" t="s">
        <v>713</v>
      </c>
      <c r="H58" s="70" t="s">
        <v>176</v>
      </c>
    </row>
    <row r="59" spans="1:8" ht="36">
      <c r="A59" s="65" t="s">
        <v>1363</v>
      </c>
      <c r="B59" s="66" t="s">
        <v>1364</v>
      </c>
      <c r="C59" s="66" t="s">
        <v>1364</v>
      </c>
      <c r="D59" s="67" t="s">
        <v>739</v>
      </c>
      <c r="E59" s="78" t="s">
        <v>740</v>
      </c>
      <c r="F59" s="69" t="s">
        <v>1401</v>
      </c>
      <c r="G59" s="69" t="s">
        <v>1402</v>
      </c>
      <c r="H59" s="70" t="s">
        <v>176</v>
      </c>
    </row>
    <row r="60" spans="1:8" ht="36">
      <c r="A60" s="65" t="s">
        <v>1363</v>
      </c>
      <c r="B60" s="66" t="s">
        <v>1364</v>
      </c>
      <c r="C60" s="66" t="s">
        <v>1376</v>
      </c>
      <c r="D60" s="67" t="s">
        <v>1366</v>
      </c>
      <c r="E60" s="78"/>
      <c r="F60" s="69" t="s">
        <v>48</v>
      </c>
      <c r="G60" s="69" t="s">
        <v>1383</v>
      </c>
      <c r="H60" s="70" t="s">
        <v>176</v>
      </c>
    </row>
    <row r="61" spans="1:8" ht="24">
      <c r="A61" s="65" t="s">
        <v>603</v>
      </c>
      <c r="B61" s="66" t="s">
        <v>672</v>
      </c>
      <c r="C61" s="66" t="s">
        <v>682</v>
      </c>
      <c r="D61" s="81" t="s">
        <v>468</v>
      </c>
      <c r="E61" s="80"/>
      <c r="F61" s="69" t="s">
        <v>50</v>
      </c>
      <c r="G61" s="67" t="s">
        <v>686</v>
      </c>
      <c r="H61" s="70" t="s">
        <v>210</v>
      </c>
    </row>
    <row r="62" spans="1:8" ht="36">
      <c r="A62" s="65" t="s">
        <v>1206</v>
      </c>
      <c r="B62" s="66" t="s">
        <v>1328</v>
      </c>
      <c r="C62" s="66" t="s">
        <v>1328</v>
      </c>
      <c r="D62" s="69" t="s">
        <v>177</v>
      </c>
      <c r="E62" s="80" t="s">
        <v>466</v>
      </c>
      <c r="F62" s="69" t="s">
        <v>46</v>
      </c>
      <c r="G62" s="67" t="s">
        <v>1345</v>
      </c>
      <c r="H62" s="70" t="s">
        <v>176</v>
      </c>
    </row>
    <row r="63" spans="1:8" ht="24">
      <c r="A63" s="65" t="s">
        <v>699</v>
      </c>
      <c r="B63" s="66" t="s">
        <v>700</v>
      </c>
      <c r="C63" s="66" t="s">
        <v>716</v>
      </c>
      <c r="D63" s="69" t="s">
        <v>700</v>
      </c>
      <c r="E63" s="80"/>
      <c r="F63" s="69" t="s">
        <v>48</v>
      </c>
      <c r="G63" s="67" t="s">
        <v>717</v>
      </c>
      <c r="H63" s="70" t="s">
        <v>210</v>
      </c>
    </row>
    <row r="64" spans="1:8" ht="36">
      <c r="A64" s="65" t="s">
        <v>32</v>
      </c>
      <c r="B64" s="66" t="s">
        <v>408</v>
      </c>
      <c r="C64" s="66" t="s">
        <v>432</v>
      </c>
      <c r="D64" s="69" t="s">
        <v>177</v>
      </c>
      <c r="E64" s="80" t="s">
        <v>415</v>
      </c>
      <c r="F64" s="69" t="s">
        <v>434</v>
      </c>
      <c r="G64" s="67" t="s">
        <v>436</v>
      </c>
      <c r="H64" s="70" t="s">
        <v>176</v>
      </c>
    </row>
    <row r="65" spans="1:8" ht="36">
      <c r="A65" s="65" t="s">
        <v>1206</v>
      </c>
      <c r="B65" s="66" t="s">
        <v>1328</v>
      </c>
      <c r="C65" s="66" t="s">
        <v>1328</v>
      </c>
      <c r="D65" s="69" t="s">
        <v>177</v>
      </c>
      <c r="E65" s="80" t="s">
        <v>466</v>
      </c>
      <c r="F65" s="69" t="s">
        <v>48</v>
      </c>
      <c r="G65" s="67" t="s">
        <v>1349</v>
      </c>
      <c r="H65" s="70" t="s">
        <v>176</v>
      </c>
    </row>
    <row r="66" spans="1:8">
      <c r="A66" s="65" t="s">
        <v>822</v>
      </c>
      <c r="B66" s="66" t="s">
        <v>822</v>
      </c>
      <c r="C66" s="66" t="s">
        <v>823</v>
      </c>
      <c r="D66" s="69" t="s">
        <v>822</v>
      </c>
      <c r="E66" s="80"/>
      <c r="F66" s="69" t="s">
        <v>47</v>
      </c>
      <c r="G66" s="67" t="s">
        <v>826</v>
      </c>
      <c r="H66" s="70" t="s">
        <v>210</v>
      </c>
    </row>
    <row r="67" spans="1:8" ht="36">
      <c r="A67" s="65" t="s">
        <v>931</v>
      </c>
      <c r="B67" s="66" t="s">
        <v>932</v>
      </c>
      <c r="C67" s="66" t="s">
        <v>1160</v>
      </c>
      <c r="D67" s="69" t="s">
        <v>932</v>
      </c>
      <c r="E67" s="80"/>
      <c r="F67" s="69" t="s">
        <v>538</v>
      </c>
      <c r="G67" s="67" t="s">
        <v>1166</v>
      </c>
      <c r="H67" s="70" t="s">
        <v>176</v>
      </c>
    </row>
    <row r="68" spans="1:8" ht="24">
      <c r="A68" s="65" t="s">
        <v>32</v>
      </c>
      <c r="B68" s="66" t="s">
        <v>172</v>
      </c>
      <c r="C68" s="66" t="s">
        <v>202</v>
      </c>
      <c r="D68" s="69" t="s">
        <v>172</v>
      </c>
      <c r="E68" s="68"/>
      <c r="F68" s="69" t="s">
        <v>49</v>
      </c>
      <c r="G68" s="67" t="s">
        <v>213</v>
      </c>
      <c r="H68" s="70" t="s">
        <v>210</v>
      </c>
    </row>
    <row r="69" spans="1:8" ht="24">
      <c r="A69" s="65" t="s">
        <v>839</v>
      </c>
      <c r="B69" s="66" t="s">
        <v>871</v>
      </c>
      <c r="C69" s="66" t="s">
        <v>871</v>
      </c>
      <c r="D69" s="69" t="s">
        <v>603</v>
      </c>
      <c r="E69" s="80"/>
      <c r="F69" s="69" t="s">
        <v>50</v>
      </c>
      <c r="G69" s="67" t="s">
        <v>885</v>
      </c>
      <c r="H69" s="70" t="s">
        <v>843</v>
      </c>
    </row>
    <row r="70" spans="1:8" ht="36">
      <c r="A70" s="65" t="s">
        <v>1206</v>
      </c>
      <c r="B70" s="66" t="s">
        <v>1328</v>
      </c>
      <c r="C70" s="66" t="s">
        <v>1328</v>
      </c>
      <c r="D70" s="69" t="s">
        <v>177</v>
      </c>
      <c r="E70" s="80" t="s">
        <v>1324</v>
      </c>
      <c r="F70" s="69" t="s">
        <v>1355</v>
      </c>
      <c r="G70" s="67" t="s">
        <v>1356</v>
      </c>
      <c r="H70" s="70" t="s">
        <v>176</v>
      </c>
    </row>
    <row r="71" spans="1:8" ht="36">
      <c r="A71" s="65" t="s">
        <v>1206</v>
      </c>
      <c r="B71" s="66" t="s">
        <v>1328</v>
      </c>
      <c r="C71" s="66" t="s">
        <v>1328</v>
      </c>
      <c r="D71" s="81" t="s">
        <v>177</v>
      </c>
      <c r="E71" s="80" t="s">
        <v>1196</v>
      </c>
      <c r="F71" s="69" t="s">
        <v>283</v>
      </c>
      <c r="G71" s="67" t="s">
        <v>1329</v>
      </c>
      <c r="H71" s="70" t="s">
        <v>176</v>
      </c>
    </row>
    <row r="72" spans="1:8" ht="24">
      <c r="A72" s="65" t="s">
        <v>931</v>
      </c>
      <c r="B72" s="66" t="s">
        <v>909</v>
      </c>
      <c r="C72" s="66" t="s">
        <v>1129</v>
      </c>
      <c r="D72" s="96" t="s">
        <v>177</v>
      </c>
      <c r="E72" s="94" t="s">
        <v>1105</v>
      </c>
      <c r="F72" s="69" t="s">
        <v>40</v>
      </c>
      <c r="G72" s="69" t="s">
        <v>1131</v>
      </c>
      <c r="H72" s="70" t="s">
        <v>176</v>
      </c>
    </row>
    <row r="73" spans="1:8" ht="36">
      <c r="A73" s="65" t="s">
        <v>1206</v>
      </c>
      <c r="B73" s="66" t="s">
        <v>1328</v>
      </c>
      <c r="C73" s="66" t="s">
        <v>1328</v>
      </c>
      <c r="D73" s="69" t="s">
        <v>177</v>
      </c>
      <c r="E73" s="80" t="s">
        <v>1334</v>
      </c>
      <c r="F73" s="69" t="s">
        <v>283</v>
      </c>
      <c r="G73" s="67" t="s">
        <v>1335</v>
      </c>
      <c r="H73" s="70" t="s">
        <v>176</v>
      </c>
    </row>
    <row r="74" spans="1:8">
      <c r="A74" s="65" t="s">
        <v>32</v>
      </c>
      <c r="B74" s="66" t="s">
        <v>247</v>
      </c>
      <c r="C74" s="66" t="s">
        <v>251</v>
      </c>
      <c r="D74" s="77" t="s">
        <v>177</v>
      </c>
      <c r="E74" s="68" t="s">
        <v>250</v>
      </c>
      <c r="F74" s="69" t="s">
        <v>183</v>
      </c>
      <c r="G74" s="67" t="s">
        <v>264</v>
      </c>
      <c r="H74" s="70" t="s">
        <v>176</v>
      </c>
    </row>
    <row r="75" spans="1:8" ht="24">
      <c r="A75" s="65" t="s">
        <v>839</v>
      </c>
      <c r="B75" s="66" t="s">
        <v>871</v>
      </c>
      <c r="C75" s="66" t="s">
        <v>871</v>
      </c>
      <c r="D75" s="69" t="s">
        <v>603</v>
      </c>
      <c r="E75" s="80"/>
      <c r="F75" s="69" t="s">
        <v>47</v>
      </c>
      <c r="G75" s="67" t="s">
        <v>878</v>
      </c>
      <c r="H75" s="70" t="s">
        <v>843</v>
      </c>
    </row>
    <row r="76" spans="1:8" ht="36">
      <c r="A76" s="65" t="s">
        <v>972</v>
      </c>
      <c r="B76" s="66" t="s">
        <v>840</v>
      </c>
      <c r="C76" s="66" t="s">
        <v>981</v>
      </c>
      <c r="D76" s="90" t="s">
        <v>468</v>
      </c>
      <c r="E76" s="80"/>
      <c r="F76" s="69" t="s">
        <v>50</v>
      </c>
      <c r="G76" s="67" t="s">
        <v>982</v>
      </c>
      <c r="H76" s="70" t="s">
        <v>176</v>
      </c>
    </row>
    <row r="77" spans="1:8" ht="24">
      <c r="A77" s="65" t="s">
        <v>32</v>
      </c>
      <c r="B77" s="66" t="s">
        <v>470</v>
      </c>
      <c r="C77" s="66" t="s">
        <v>534</v>
      </c>
      <c r="D77" s="69" t="s">
        <v>470</v>
      </c>
      <c r="E77" s="80"/>
      <c r="F77" s="69" t="s">
        <v>48</v>
      </c>
      <c r="G77" s="67" t="s">
        <v>542</v>
      </c>
      <c r="H77" s="70" t="s">
        <v>176</v>
      </c>
    </row>
    <row r="78" spans="1:8" ht="36">
      <c r="A78" s="65" t="s">
        <v>699</v>
      </c>
      <c r="B78" s="66" t="s">
        <v>703</v>
      </c>
      <c r="C78" s="66" t="s">
        <v>782</v>
      </c>
      <c r="D78" s="69" t="s">
        <v>703</v>
      </c>
      <c r="E78" s="80"/>
      <c r="F78" s="69" t="s">
        <v>47</v>
      </c>
      <c r="G78" s="67" t="s">
        <v>789</v>
      </c>
      <c r="H78" s="70" t="s">
        <v>176</v>
      </c>
    </row>
    <row r="79" spans="1:8" ht="24">
      <c r="A79" s="65" t="s">
        <v>32</v>
      </c>
      <c r="B79" s="66" t="s">
        <v>470</v>
      </c>
      <c r="C79" s="66" t="s">
        <v>534</v>
      </c>
      <c r="D79" s="67" t="s">
        <v>470</v>
      </c>
      <c r="E79" s="68"/>
      <c r="F79" s="69" t="s">
        <v>538</v>
      </c>
      <c r="G79" s="67" t="s">
        <v>539</v>
      </c>
      <c r="H79" s="70" t="s">
        <v>176</v>
      </c>
    </row>
    <row r="80" spans="1:8" ht="24">
      <c r="A80" s="65" t="s">
        <v>32</v>
      </c>
      <c r="B80" s="66" t="s">
        <v>172</v>
      </c>
      <c r="C80" s="66" t="s">
        <v>173</v>
      </c>
      <c r="D80" s="69" t="s">
        <v>172</v>
      </c>
      <c r="E80" s="68"/>
      <c r="F80" s="69" t="s">
        <v>183</v>
      </c>
      <c r="G80" s="67" t="s">
        <v>184</v>
      </c>
      <c r="H80" s="70" t="s">
        <v>176</v>
      </c>
    </row>
    <row r="81" spans="1:8" ht="24">
      <c r="A81" s="65" t="s">
        <v>931</v>
      </c>
      <c r="B81" s="66" t="s">
        <v>909</v>
      </c>
      <c r="C81" s="66" t="s">
        <v>1137</v>
      </c>
      <c r="D81" s="69" t="s">
        <v>909</v>
      </c>
      <c r="E81" s="80"/>
      <c r="F81" s="69" t="s">
        <v>41</v>
      </c>
      <c r="G81" s="67" t="s">
        <v>1140</v>
      </c>
      <c r="H81" s="70" t="s">
        <v>176</v>
      </c>
    </row>
    <row r="82" spans="1:8" ht="24">
      <c r="A82" s="65" t="s">
        <v>603</v>
      </c>
      <c r="B82" s="66" t="s">
        <v>647</v>
      </c>
      <c r="C82" s="66" t="s">
        <v>648</v>
      </c>
      <c r="D82" s="88" t="s">
        <v>468</v>
      </c>
      <c r="E82" s="83"/>
      <c r="F82" s="69" t="s">
        <v>50</v>
      </c>
      <c r="G82" s="67" t="s">
        <v>651</v>
      </c>
      <c r="H82" s="70" t="s">
        <v>210</v>
      </c>
    </row>
    <row r="83" spans="1:8" ht="24">
      <c r="A83" s="65" t="s">
        <v>32</v>
      </c>
      <c r="B83" s="66" t="s">
        <v>247</v>
      </c>
      <c r="C83" s="66" t="s">
        <v>323</v>
      </c>
      <c r="D83" s="84" t="s">
        <v>247</v>
      </c>
      <c r="E83" s="73"/>
      <c r="F83" s="69" t="s">
        <v>40</v>
      </c>
      <c r="G83" s="67" t="s">
        <v>340</v>
      </c>
      <c r="H83" s="70" t="s">
        <v>176</v>
      </c>
    </row>
    <row r="84" spans="1:8" ht="24">
      <c r="A84" s="65" t="s">
        <v>839</v>
      </c>
      <c r="B84" s="66" t="s">
        <v>871</v>
      </c>
      <c r="C84" s="66" t="s">
        <v>871</v>
      </c>
      <c r="D84" s="69" t="s">
        <v>603</v>
      </c>
      <c r="E84" s="80"/>
      <c r="F84" s="69" t="s">
        <v>47</v>
      </c>
      <c r="G84" s="67" t="s">
        <v>889</v>
      </c>
      <c r="H84" s="70" t="s">
        <v>843</v>
      </c>
    </row>
    <row r="85" spans="1:8" ht="24">
      <c r="A85" s="65" t="s">
        <v>972</v>
      </c>
      <c r="B85" s="66" t="s">
        <v>996</v>
      </c>
      <c r="C85" s="66" t="s">
        <v>1011</v>
      </c>
      <c r="D85" s="69" t="s">
        <v>468</v>
      </c>
      <c r="E85" s="80"/>
      <c r="F85" s="69" t="s">
        <v>48</v>
      </c>
      <c r="G85" s="67" t="s">
        <v>1026</v>
      </c>
      <c r="H85" s="70" t="s">
        <v>210</v>
      </c>
    </row>
    <row r="86" spans="1:8">
      <c r="A86" s="65" t="s">
        <v>908</v>
      </c>
      <c r="B86" s="66" t="s">
        <v>951</v>
      </c>
      <c r="C86" s="66" t="s">
        <v>957</v>
      </c>
      <c r="D86" s="69" t="s">
        <v>603</v>
      </c>
      <c r="E86" s="80"/>
      <c r="F86" s="69" t="s">
        <v>47</v>
      </c>
      <c r="G86" s="67" t="s">
        <v>960</v>
      </c>
      <c r="H86" s="70" t="s">
        <v>910</v>
      </c>
    </row>
    <row r="87" spans="1:8" ht="24">
      <c r="A87" s="65" t="s">
        <v>839</v>
      </c>
      <c r="B87" s="66" t="s">
        <v>871</v>
      </c>
      <c r="C87" s="66" t="s">
        <v>871</v>
      </c>
      <c r="D87" s="69" t="s">
        <v>603</v>
      </c>
      <c r="E87" s="80"/>
      <c r="F87" s="69" t="s">
        <v>50</v>
      </c>
      <c r="G87" s="67" t="s">
        <v>888</v>
      </c>
      <c r="H87" s="70" t="s">
        <v>843</v>
      </c>
    </row>
    <row r="88" spans="1:8" ht="24">
      <c r="A88" s="65" t="s">
        <v>32</v>
      </c>
      <c r="B88" s="66" t="s">
        <v>219</v>
      </c>
      <c r="C88" s="66" t="s">
        <v>219</v>
      </c>
      <c r="D88" s="77" t="s">
        <v>177</v>
      </c>
      <c r="E88" s="80" t="s">
        <v>220</v>
      </c>
      <c r="F88" s="69" t="s">
        <v>183</v>
      </c>
      <c r="G88" s="67" t="s">
        <v>225</v>
      </c>
      <c r="H88" s="70" t="s">
        <v>176</v>
      </c>
    </row>
    <row r="89" spans="1:8" ht="24">
      <c r="A89" s="65" t="s">
        <v>32</v>
      </c>
      <c r="B89" s="66" t="s">
        <v>247</v>
      </c>
      <c r="C89" s="66" t="s">
        <v>323</v>
      </c>
      <c r="D89" s="77" t="s">
        <v>247</v>
      </c>
      <c r="E89" s="68"/>
      <c r="F89" s="69" t="s">
        <v>283</v>
      </c>
      <c r="G89" s="67" t="s">
        <v>336</v>
      </c>
      <c r="H89" s="70" t="s">
        <v>176</v>
      </c>
    </row>
    <row r="90" spans="1:8" ht="24">
      <c r="A90" s="65" t="s">
        <v>603</v>
      </c>
      <c r="B90" s="66" t="s">
        <v>634</v>
      </c>
      <c r="C90" s="66" t="s">
        <v>643</v>
      </c>
      <c r="D90" s="69" t="s">
        <v>603</v>
      </c>
      <c r="E90" s="80"/>
      <c r="F90" s="69" t="s">
        <v>51</v>
      </c>
      <c r="G90" s="67" t="s">
        <v>644</v>
      </c>
      <c r="H90" s="70" t="s">
        <v>210</v>
      </c>
    </row>
    <row r="91" spans="1:8" ht="24">
      <c r="A91" s="65" t="s">
        <v>972</v>
      </c>
      <c r="B91" s="66" t="s">
        <v>996</v>
      </c>
      <c r="C91" s="66" t="s">
        <v>1011</v>
      </c>
      <c r="D91" s="69" t="s">
        <v>996</v>
      </c>
      <c r="E91" s="80"/>
      <c r="F91" s="69" t="s">
        <v>47</v>
      </c>
      <c r="G91" s="67" t="s">
        <v>1035</v>
      </c>
      <c r="H91" s="70" t="s">
        <v>210</v>
      </c>
    </row>
    <row r="92" spans="1:8" ht="24">
      <c r="A92" s="65" t="s">
        <v>32</v>
      </c>
      <c r="B92" s="66" t="s">
        <v>247</v>
      </c>
      <c r="C92" s="66" t="s">
        <v>268</v>
      </c>
      <c r="D92" s="77" t="s">
        <v>177</v>
      </c>
      <c r="E92" s="68" t="s">
        <v>250</v>
      </c>
      <c r="F92" s="69" t="s">
        <v>43</v>
      </c>
      <c r="G92" s="67" t="s">
        <v>290</v>
      </c>
      <c r="H92" s="70" t="s">
        <v>176</v>
      </c>
    </row>
    <row r="93" spans="1:8" ht="24">
      <c r="A93" s="65" t="s">
        <v>32</v>
      </c>
      <c r="B93" s="66" t="s">
        <v>247</v>
      </c>
      <c r="C93" s="66" t="s">
        <v>310</v>
      </c>
      <c r="D93" s="77" t="s">
        <v>247</v>
      </c>
      <c r="E93" s="68"/>
      <c r="F93" s="69" t="s">
        <v>183</v>
      </c>
      <c r="G93" s="67" t="s">
        <v>316</v>
      </c>
      <c r="H93" s="70" t="s">
        <v>176</v>
      </c>
    </row>
    <row r="94" spans="1:8" ht="36">
      <c r="A94" s="65" t="s">
        <v>1206</v>
      </c>
      <c r="B94" s="66" t="s">
        <v>1328</v>
      </c>
      <c r="C94" s="66" t="s">
        <v>1328</v>
      </c>
      <c r="D94" s="69" t="s">
        <v>177</v>
      </c>
      <c r="E94" s="80" t="s">
        <v>466</v>
      </c>
      <c r="F94" s="69" t="s">
        <v>181</v>
      </c>
      <c r="G94" s="67" t="s">
        <v>1359</v>
      </c>
      <c r="H94" s="70" t="s">
        <v>176</v>
      </c>
    </row>
    <row r="95" spans="1:8" ht="24">
      <c r="A95" s="65" t="s">
        <v>699</v>
      </c>
      <c r="B95" s="66" t="s">
        <v>720</v>
      </c>
      <c r="C95" s="66" t="s">
        <v>734</v>
      </c>
      <c r="D95" s="69" t="s">
        <v>720</v>
      </c>
      <c r="E95" s="80"/>
      <c r="F95" s="69" t="s">
        <v>51</v>
      </c>
      <c r="G95" s="67" t="s">
        <v>735</v>
      </c>
      <c r="H95" s="70" t="s">
        <v>176</v>
      </c>
    </row>
    <row r="96" spans="1:8" ht="24">
      <c r="A96" s="65" t="s">
        <v>32</v>
      </c>
      <c r="B96" s="66" t="s">
        <v>470</v>
      </c>
      <c r="C96" s="66" t="s">
        <v>534</v>
      </c>
      <c r="D96" s="69" t="s">
        <v>470</v>
      </c>
      <c r="E96" s="80"/>
      <c r="F96" s="69" t="s">
        <v>47</v>
      </c>
      <c r="G96" s="67" t="s">
        <v>552</v>
      </c>
      <c r="H96" s="70" t="s">
        <v>176</v>
      </c>
    </row>
    <row r="97" spans="1:8" ht="24">
      <c r="A97" s="65" t="s">
        <v>839</v>
      </c>
      <c r="B97" s="66" t="s">
        <v>871</v>
      </c>
      <c r="C97" s="66" t="s">
        <v>871</v>
      </c>
      <c r="D97" s="69" t="s">
        <v>603</v>
      </c>
      <c r="E97" s="80"/>
      <c r="F97" s="69" t="s">
        <v>882</v>
      </c>
      <c r="G97" s="67" t="s">
        <v>884</v>
      </c>
      <c r="H97" s="70" t="s">
        <v>843</v>
      </c>
    </row>
    <row r="98" spans="1:8">
      <c r="A98" s="65" t="s">
        <v>32</v>
      </c>
      <c r="B98" s="66" t="s">
        <v>247</v>
      </c>
      <c r="C98" s="66" t="s">
        <v>251</v>
      </c>
      <c r="D98" s="77" t="s">
        <v>177</v>
      </c>
      <c r="E98" s="68" t="s">
        <v>261</v>
      </c>
      <c r="F98" s="69" t="s">
        <v>43</v>
      </c>
      <c r="G98" s="67" t="s">
        <v>262</v>
      </c>
      <c r="H98" s="70" t="s">
        <v>176</v>
      </c>
    </row>
    <row r="99" spans="1:8" ht="24">
      <c r="A99" s="65" t="s">
        <v>32</v>
      </c>
      <c r="B99" s="66" t="s">
        <v>470</v>
      </c>
      <c r="C99" s="66" t="s">
        <v>473</v>
      </c>
      <c r="D99" s="69" t="s">
        <v>177</v>
      </c>
      <c r="E99" s="80" t="s">
        <v>476</v>
      </c>
      <c r="F99" s="69" t="s">
        <v>183</v>
      </c>
      <c r="G99" s="67" t="s">
        <v>488</v>
      </c>
      <c r="H99" s="70" t="s">
        <v>176</v>
      </c>
    </row>
    <row r="100" spans="1:8" ht="36">
      <c r="A100" s="65" t="s">
        <v>32</v>
      </c>
      <c r="B100" s="66" t="s">
        <v>408</v>
      </c>
      <c r="C100" s="66" t="s">
        <v>432</v>
      </c>
      <c r="D100" s="72" t="s">
        <v>410</v>
      </c>
      <c r="E100" s="83"/>
      <c r="F100" s="69" t="s">
        <v>48</v>
      </c>
      <c r="G100" s="67" t="s">
        <v>441</v>
      </c>
      <c r="H100" s="70" t="s">
        <v>210</v>
      </c>
    </row>
    <row r="101" spans="1:8">
      <c r="A101" s="65" t="s">
        <v>32</v>
      </c>
      <c r="B101" s="66" t="s">
        <v>247</v>
      </c>
      <c r="C101" s="66" t="s">
        <v>383</v>
      </c>
      <c r="D101" s="77" t="s">
        <v>177</v>
      </c>
      <c r="E101" s="68" t="s">
        <v>250</v>
      </c>
      <c r="F101" s="69" t="s">
        <v>183</v>
      </c>
      <c r="G101" s="67" t="s">
        <v>405</v>
      </c>
      <c r="H101" s="70" t="s">
        <v>176</v>
      </c>
    </row>
    <row r="102" spans="1:8" ht="24">
      <c r="A102" s="65" t="s">
        <v>931</v>
      </c>
      <c r="B102" s="66" t="s">
        <v>932</v>
      </c>
      <c r="C102" s="66" t="s">
        <v>1156</v>
      </c>
      <c r="D102" s="88" t="s">
        <v>935</v>
      </c>
      <c r="E102" s="89" t="s">
        <v>936</v>
      </c>
      <c r="F102" s="69" t="s">
        <v>51</v>
      </c>
      <c r="G102" s="67" t="s">
        <v>1157</v>
      </c>
      <c r="H102" s="70" t="s">
        <v>176</v>
      </c>
    </row>
    <row r="103" spans="1:8" ht="24">
      <c r="A103" s="65" t="s">
        <v>931</v>
      </c>
      <c r="B103" s="66" t="s">
        <v>932</v>
      </c>
      <c r="C103" s="66" t="s">
        <v>1172</v>
      </c>
      <c r="D103" s="81" t="s">
        <v>935</v>
      </c>
      <c r="E103" s="82" t="s">
        <v>936</v>
      </c>
      <c r="F103" s="69" t="s">
        <v>1174</v>
      </c>
      <c r="G103" s="67" t="s">
        <v>1175</v>
      </c>
      <c r="H103" s="70" t="s">
        <v>176</v>
      </c>
    </row>
    <row r="104" spans="1:8" ht="36">
      <c r="A104" s="65" t="s">
        <v>699</v>
      </c>
      <c r="B104" s="66" t="s">
        <v>703</v>
      </c>
      <c r="C104" s="66" t="s">
        <v>782</v>
      </c>
      <c r="D104" s="69" t="s">
        <v>703</v>
      </c>
      <c r="E104" s="80"/>
      <c r="F104" s="69" t="s">
        <v>47</v>
      </c>
      <c r="G104" s="67" t="s">
        <v>790</v>
      </c>
      <c r="H104" s="70" t="s">
        <v>176</v>
      </c>
    </row>
    <row r="105" spans="1:8" ht="24">
      <c r="A105" s="65" t="s">
        <v>931</v>
      </c>
      <c r="B105" s="66" t="s">
        <v>909</v>
      </c>
      <c r="C105" s="66" t="s">
        <v>1129</v>
      </c>
      <c r="D105" s="91" t="s">
        <v>177</v>
      </c>
      <c r="E105" s="92" t="s">
        <v>1100</v>
      </c>
      <c r="F105" s="69" t="s">
        <v>40</v>
      </c>
      <c r="G105" s="67" t="s">
        <v>1133</v>
      </c>
      <c r="H105" s="70" t="s">
        <v>176</v>
      </c>
    </row>
    <row r="106" spans="1:8" ht="24">
      <c r="A106" s="65" t="s">
        <v>32</v>
      </c>
      <c r="B106" s="66" t="s">
        <v>247</v>
      </c>
      <c r="C106" s="66" t="s">
        <v>323</v>
      </c>
      <c r="D106" s="77" t="s">
        <v>247</v>
      </c>
      <c r="E106" s="68"/>
      <c r="F106" s="69" t="s">
        <v>337</v>
      </c>
      <c r="G106" s="67" t="s">
        <v>345</v>
      </c>
      <c r="H106" s="70" t="s">
        <v>176</v>
      </c>
    </row>
    <row r="107" spans="1:8" ht="36">
      <c r="A107" s="65" t="s">
        <v>1363</v>
      </c>
      <c r="B107" s="66" t="s">
        <v>1364</v>
      </c>
      <c r="C107" s="66" t="s">
        <v>1369</v>
      </c>
      <c r="D107" s="69" t="s">
        <v>739</v>
      </c>
      <c r="E107" s="80" t="s">
        <v>740</v>
      </c>
      <c r="F107" s="69" t="s">
        <v>1371</v>
      </c>
      <c r="G107" s="67" t="s">
        <v>1372</v>
      </c>
      <c r="H107" s="70" t="s">
        <v>176</v>
      </c>
    </row>
    <row r="108" spans="1:8" ht="36">
      <c r="A108" s="65" t="s">
        <v>32</v>
      </c>
      <c r="B108" s="66" t="s">
        <v>408</v>
      </c>
      <c r="C108" s="66" t="s">
        <v>442</v>
      </c>
      <c r="D108" s="77" t="s">
        <v>177</v>
      </c>
      <c r="E108" s="68" t="s">
        <v>430</v>
      </c>
      <c r="F108" s="69" t="s">
        <v>422</v>
      </c>
      <c r="G108" s="67" t="s">
        <v>446</v>
      </c>
      <c r="H108" s="70" t="s">
        <v>176</v>
      </c>
    </row>
    <row r="109" spans="1:8" ht="36">
      <c r="A109" s="65" t="s">
        <v>1206</v>
      </c>
      <c r="B109" s="66" t="s">
        <v>1286</v>
      </c>
      <c r="C109" s="66" t="s">
        <v>1286</v>
      </c>
      <c r="D109" s="69" t="s">
        <v>603</v>
      </c>
      <c r="E109" s="80" t="s">
        <v>466</v>
      </c>
      <c r="F109" s="69" t="s">
        <v>48</v>
      </c>
      <c r="G109" s="67" t="s">
        <v>1292</v>
      </c>
      <c r="H109" s="70" t="s">
        <v>210</v>
      </c>
    </row>
    <row r="110" spans="1:8" ht="24">
      <c r="A110" s="65" t="s">
        <v>931</v>
      </c>
      <c r="B110" s="66" t="s">
        <v>932</v>
      </c>
      <c r="C110" s="66" t="s">
        <v>1172</v>
      </c>
      <c r="D110" s="81" t="s">
        <v>935</v>
      </c>
      <c r="E110" s="82" t="s">
        <v>936</v>
      </c>
      <c r="F110" s="69" t="s">
        <v>1182</v>
      </c>
      <c r="G110" s="67" t="s">
        <v>1184</v>
      </c>
      <c r="H110" s="70" t="s">
        <v>176</v>
      </c>
    </row>
    <row r="111" spans="1:8" ht="24">
      <c r="A111" s="65" t="s">
        <v>931</v>
      </c>
      <c r="B111" s="66" t="s">
        <v>909</v>
      </c>
      <c r="C111" s="66" t="s">
        <v>1098</v>
      </c>
      <c r="D111" s="93" t="s">
        <v>177</v>
      </c>
      <c r="E111" s="92" t="s">
        <v>1106</v>
      </c>
      <c r="F111" s="69" t="s">
        <v>1101</v>
      </c>
      <c r="G111" s="67" t="s">
        <v>1107</v>
      </c>
      <c r="H111" s="70" t="s">
        <v>176</v>
      </c>
    </row>
    <row r="112" spans="1:8">
      <c r="A112" s="65" t="s">
        <v>972</v>
      </c>
      <c r="B112" s="66" t="s">
        <v>1041</v>
      </c>
      <c r="C112" s="66" t="s">
        <v>1041</v>
      </c>
      <c r="D112" s="88" t="s">
        <v>468</v>
      </c>
      <c r="E112" s="83"/>
      <c r="F112" s="69" t="s">
        <v>48</v>
      </c>
      <c r="G112" s="67" t="s">
        <v>1076</v>
      </c>
      <c r="H112" s="70" t="s">
        <v>210</v>
      </c>
    </row>
    <row r="113" spans="1:8" ht="36">
      <c r="A113" s="65" t="s">
        <v>1206</v>
      </c>
      <c r="B113" s="66" t="s">
        <v>1254</v>
      </c>
      <c r="C113" s="66" t="s">
        <v>1254</v>
      </c>
      <c r="D113" s="69" t="s">
        <v>177</v>
      </c>
      <c r="E113" s="80" t="s">
        <v>250</v>
      </c>
      <c r="F113" s="69" t="s">
        <v>1237</v>
      </c>
      <c r="G113" s="67" t="s">
        <v>1283</v>
      </c>
      <c r="H113" s="70" t="s">
        <v>176</v>
      </c>
    </row>
    <row r="114" spans="1:8">
      <c r="A114" s="65"/>
      <c r="B114" s="66"/>
      <c r="C114" s="66"/>
      <c r="D114" s="72"/>
      <c r="E114" s="73"/>
      <c r="F114" s="69"/>
      <c r="G114" s="74" t="s">
        <v>191</v>
      </c>
      <c r="H114" s="70"/>
    </row>
    <row r="115" spans="1:8" ht="24">
      <c r="A115" s="65" t="s">
        <v>603</v>
      </c>
      <c r="B115" s="66" t="s">
        <v>617</v>
      </c>
      <c r="C115" s="66" t="s">
        <v>629</v>
      </c>
      <c r="D115" s="69" t="s">
        <v>603</v>
      </c>
      <c r="E115" s="80"/>
      <c r="F115" s="69" t="s">
        <v>51</v>
      </c>
      <c r="G115" s="67" t="s">
        <v>630</v>
      </c>
      <c r="H115" s="70" t="s">
        <v>210</v>
      </c>
    </row>
    <row r="116" spans="1:8" ht="24">
      <c r="A116" s="65" t="s">
        <v>931</v>
      </c>
      <c r="B116" s="66" t="s">
        <v>932</v>
      </c>
      <c r="C116" s="66" t="s">
        <v>1172</v>
      </c>
      <c r="D116" s="81" t="s">
        <v>935</v>
      </c>
      <c r="E116" s="82" t="s">
        <v>936</v>
      </c>
      <c r="F116" s="69" t="s">
        <v>1178</v>
      </c>
      <c r="G116" s="67" t="s">
        <v>1181</v>
      </c>
      <c r="H116" s="70" t="s">
        <v>176</v>
      </c>
    </row>
    <row r="117" spans="1:8" ht="24">
      <c r="A117" s="65" t="s">
        <v>699</v>
      </c>
      <c r="B117" s="66" t="s">
        <v>720</v>
      </c>
      <c r="C117" s="66" t="s">
        <v>756</v>
      </c>
      <c r="D117" s="69" t="s">
        <v>177</v>
      </c>
      <c r="E117" s="80" t="s">
        <v>751</v>
      </c>
      <c r="F117" s="69" t="s">
        <v>48</v>
      </c>
      <c r="G117" s="67" t="s">
        <v>762</v>
      </c>
      <c r="H117" s="70" t="s">
        <v>176</v>
      </c>
    </row>
    <row r="118" spans="1:8">
      <c r="A118" s="65" t="s">
        <v>603</v>
      </c>
      <c r="B118" s="66" t="s">
        <v>603</v>
      </c>
      <c r="C118" s="66" t="s">
        <v>604</v>
      </c>
      <c r="D118" s="69" t="s">
        <v>603</v>
      </c>
      <c r="E118" s="68"/>
      <c r="F118" s="69" t="s">
        <v>174</v>
      </c>
      <c r="G118" s="67" t="s">
        <v>605</v>
      </c>
      <c r="H118" s="70" t="s">
        <v>210</v>
      </c>
    </row>
    <row r="119" spans="1:8" ht="24">
      <c r="A119" s="65" t="s">
        <v>908</v>
      </c>
      <c r="B119" s="66" t="s">
        <v>634</v>
      </c>
      <c r="C119" s="66" t="s">
        <v>634</v>
      </c>
      <c r="D119" s="69" t="s">
        <v>603</v>
      </c>
      <c r="E119" s="80"/>
      <c r="F119" s="69" t="s">
        <v>928</v>
      </c>
      <c r="G119" s="67" t="s">
        <v>929</v>
      </c>
      <c r="H119" s="70" t="s">
        <v>910</v>
      </c>
    </row>
    <row r="120" spans="1:8" ht="36">
      <c r="A120" s="65" t="s">
        <v>931</v>
      </c>
      <c r="B120" s="66" t="s">
        <v>932</v>
      </c>
      <c r="C120" s="66" t="s">
        <v>1160</v>
      </c>
      <c r="D120" s="81" t="s">
        <v>935</v>
      </c>
      <c r="E120" s="82" t="s">
        <v>936</v>
      </c>
      <c r="F120" s="69" t="s">
        <v>51</v>
      </c>
      <c r="G120" s="67" t="s">
        <v>1162</v>
      </c>
      <c r="H120" s="70" t="s">
        <v>176</v>
      </c>
    </row>
    <row r="121" spans="1:8" ht="24">
      <c r="A121" s="65" t="s">
        <v>822</v>
      </c>
      <c r="B121" s="66" t="s">
        <v>822</v>
      </c>
      <c r="C121" s="66" t="s">
        <v>827</v>
      </c>
      <c r="D121" s="69" t="s">
        <v>822</v>
      </c>
      <c r="E121" s="80"/>
      <c r="F121" s="69" t="s">
        <v>51</v>
      </c>
      <c r="G121" s="67" t="s">
        <v>828</v>
      </c>
      <c r="H121" s="70" t="s">
        <v>210</v>
      </c>
    </row>
    <row r="122" spans="1:8" ht="36">
      <c r="A122" s="65" t="s">
        <v>972</v>
      </c>
      <c r="B122" s="66" t="s">
        <v>1041</v>
      </c>
      <c r="C122" s="66" t="s">
        <v>1042</v>
      </c>
      <c r="D122" s="81" t="s">
        <v>703</v>
      </c>
      <c r="E122" s="83"/>
      <c r="F122" s="69" t="s">
        <v>50</v>
      </c>
      <c r="G122" s="67" t="s">
        <v>1051</v>
      </c>
      <c r="H122" s="70" t="s">
        <v>210</v>
      </c>
    </row>
    <row r="123" spans="1:8">
      <c r="A123" s="65" t="s">
        <v>32</v>
      </c>
      <c r="B123" s="66" t="s">
        <v>247</v>
      </c>
      <c r="C123" s="66" t="s">
        <v>268</v>
      </c>
      <c r="D123" s="77" t="s">
        <v>177</v>
      </c>
      <c r="E123" s="68" t="s">
        <v>250</v>
      </c>
      <c r="F123" s="69" t="s">
        <v>43</v>
      </c>
      <c r="G123" s="67" t="s">
        <v>291</v>
      </c>
      <c r="H123" s="70" t="s">
        <v>176</v>
      </c>
    </row>
    <row r="124" spans="1:8" ht="24">
      <c r="A124" s="65" t="s">
        <v>972</v>
      </c>
      <c r="B124" s="66" t="s">
        <v>983</v>
      </c>
      <c r="C124" s="66" t="s">
        <v>983</v>
      </c>
      <c r="D124" s="81" t="s">
        <v>468</v>
      </c>
      <c r="E124" s="80"/>
      <c r="F124" s="69" t="s">
        <v>538</v>
      </c>
      <c r="G124" s="67" t="s">
        <v>985</v>
      </c>
      <c r="H124" s="70" t="s">
        <v>365</v>
      </c>
    </row>
    <row r="125" spans="1:8" ht="24">
      <c r="A125" s="65" t="s">
        <v>908</v>
      </c>
      <c r="B125" s="66" t="s">
        <v>617</v>
      </c>
      <c r="C125" s="66" t="s">
        <v>617</v>
      </c>
      <c r="D125" s="69" t="s">
        <v>603</v>
      </c>
      <c r="E125" s="80"/>
      <c r="F125" s="69" t="s">
        <v>48</v>
      </c>
      <c r="G125" s="67" t="s">
        <v>926</v>
      </c>
      <c r="H125" s="70" t="s">
        <v>910</v>
      </c>
    </row>
    <row r="126" spans="1:8">
      <c r="A126" s="65" t="s">
        <v>603</v>
      </c>
      <c r="B126" s="66" t="s">
        <v>647</v>
      </c>
      <c r="C126" s="66" t="s">
        <v>648</v>
      </c>
      <c r="D126" s="69" t="s">
        <v>177</v>
      </c>
      <c r="E126" s="80" t="s">
        <v>466</v>
      </c>
      <c r="F126" s="69" t="s">
        <v>48</v>
      </c>
      <c r="G126" s="67" t="s">
        <v>649</v>
      </c>
      <c r="H126" s="70" t="s">
        <v>210</v>
      </c>
    </row>
    <row r="127" spans="1:8" ht="36">
      <c r="A127" s="65" t="s">
        <v>1206</v>
      </c>
      <c r="B127" s="66" t="s">
        <v>1303</v>
      </c>
      <c r="C127" s="66" t="s">
        <v>1303</v>
      </c>
      <c r="D127" s="69" t="s">
        <v>177</v>
      </c>
      <c r="E127" s="80" t="s">
        <v>1309</v>
      </c>
      <c r="F127" s="69" t="s">
        <v>514</v>
      </c>
      <c r="G127" s="67" t="s">
        <v>1310</v>
      </c>
      <c r="H127" s="70" t="s">
        <v>176</v>
      </c>
    </row>
    <row r="128" spans="1:8" ht="24">
      <c r="A128" s="65" t="s">
        <v>32</v>
      </c>
      <c r="B128" s="66" t="s">
        <v>470</v>
      </c>
      <c r="C128" s="66" t="s">
        <v>583</v>
      </c>
      <c r="D128" s="72" t="s">
        <v>177</v>
      </c>
      <c r="E128" s="83" t="s">
        <v>498</v>
      </c>
      <c r="F128" s="69" t="s">
        <v>283</v>
      </c>
      <c r="G128" s="67" t="s">
        <v>584</v>
      </c>
      <c r="H128" s="70" t="s">
        <v>176</v>
      </c>
    </row>
    <row r="129" spans="1:8" ht="36">
      <c r="A129" s="65" t="s">
        <v>1413</v>
      </c>
      <c r="B129" s="66" t="s">
        <v>1413</v>
      </c>
      <c r="C129" s="66" t="s">
        <v>1418</v>
      </c>
      <c r="D129" s="88" t="s">
        <v>177</v>
      </c>
      <c r="E129" s="83" t="s">
        <v>1415</v>
      </c>
      <c r="F129" s="69" t="s">
        <v>183</v>
      </c>
      <c r="G129" s="67" t="s">
        <v>1426</v>
      </c>
      <c r="H129" s="70" t="s">
        <v>176</v>
      </c>
    </row>
    <row r="130" spans="1:8" ht="36">
      <c r="A130" s="65" t="s">
        <v>1363</v>
      </c>
      <c r="B130" s="66" t="s">
        <v>1364</v>
      </c>
      <c r="C130" s="66" t="s">
        <v>1384</v>
      </c>
      <c r="D130" s="72" t="s">
        <v>1366</v>
      </c>
      <c r="E130" s="83"/>
      <c r="F130" s="69" t="s">
        <v>48</v>
      </c>
      <c r="G130" s="67" t="s">
        <v>1389</v>
      </c>
      <c r="H130" s="70" t="s">
        <v>176</v>
      </c>
    </row>
    <row r="131" spans="1:8" ht="36">
      <c r="A131" s="65" t="s">
        <v>1363</v>
      </c>
      <c r="B131" s="66" t="s">
        <v>1364</v>
      </c>
      <c r="C131" s="66" t="s">
        <v>1365</v>
      </c>
      <c r="D131" s="69" t="s">
        <v>1366</v>
      </c>
      <c r="E131" s="80"/>
      <c r="F131" s="69" t="s">
        <v>48</v>
      </c>
      <c r="G131" s="67" t="s">
        <v>1368</v>
      </c>
      <c r="H131" s="70" t="s">
        <v>176</v>
      </c>
    </row>
    <row r="132" spans="1:8" ht="36">
      <c r="A132" s="65" t="s">
        <v>1206</v>
      </c>
      <c r="B132" s="66" t="s">
        <v>1328</v>
      </c>
      <c r="C132" s="66" t="s">
        <v>1328</v>
      </c>
      <c r="D132" s="69" t="s">
        <v>177</v>
      </c>
      <c r="E132" s="80" t="s">
        <v>466</v>
      </c>
      <c r="F132" s="69" t="s">
        <v>43</v>
      </c>
      <c r="G132" s="67" t="s">
        <v>1330</v>
      </c>
      <c r="H132" s="70" t="s">
        <v>176</v>
      </c>
    </row>
    <row r="133" spans="1:8" ht="24">
      <c r="A133" s="65" t="s">
        <v>32</v>
      </c>
      <c r="B133" s="66" t="s">
        <v>470</v>
      </c>
      <c r="C133" s="66" t="s">
        <v>557</v>
      </c>
      <c r="D133" s="69" t="s">
        <v>470</v>
      </c>
      <c r="E133" s="80"/>
      <c r="F133" s="69" t="s">
        <v>47</v>
      </c>
      <c r="G133" s="67" t="s">
        <v>562</v>
      </c>
      <c r="H133" s="70" t="s">
        <v>210</v>
      </c>
    </row>
    <row r="134" spans="1:8">
      <c r="A134" s="65" t="s">
        <v>908</v>
      </c>
      <c r="B134" s="66" t="s">
        <v>634</v>
      </c>
      <c r="C134" s="66" t="s">
        <v>634</v>
      </c>
      <c r="D134" s="69" t="s">
        <v>603</v>
      </c>
      <c r="E134" s="80"/>
      <c r="F134" s="69" t="s">
        <v>48</v>
      </c>
      <c r="G134" s="67" t="s">
        <v>930</v>
      </c>
      <c r="H134" s="70" t="s">
        <v>910</v>
      </c>
    </row>
    <row r="135" spans="1:8" ht="24">
      <c r="A135" s="65" t="s">
        <v>32</v>
      </c>
      <c r="B135" s="66" t="s">
        <v>470</v>
      </c>
      <c r="C135" s="66" t="s">
        <v>473</v>
      </c>
      <c r="D135" s="69" t="s">
        <v>470</v>
      </c>
      <c r="E135" s="80"/>
      <c r="F135" s="69" t="s">
        <v>46</v>
      </c>
      <c r="G135" s="67" t="s">
        <v>504</v>
      </c>
      <c r="H135" s="70" t="s">
        <v>176</v>
      </c>
    </row>
    <row r="136" spans="1:8" ht="24">
      <c r="A136" s="65" t="s">
        <v>32</v>
      </c>
      <c r="B136" s="66" t="s">
        <v>172</v>
      </c>
      <c r="C136" s="66" t="s">
        <v>173</v>
      </c>
      <c r="D136" s="72" t="s">
        <v>177</v>
      </c>
      <c r="E136" s="73" t="s">
        <v>188</v>
      </c>
      <c r="F136" s="69" t="s">
        <v>189</v>
      </c>
      <c r="G136" s="69" t="s">
        <v>190</v>
      </c>
      <c r="H136" s="70" t="s">
        <v>176</v>
      </c>
    </row>
    <row r="137" spans="1:8" ht="24">
      <c r="A137" s="65" t="s">
        <v>32</v>
      </c>
      <c r="B137" s="66" t="s">
        <v>247</v>
      </c>
      <c r="C137" s="66" t="s">
        <v>323</v>
      </c>
      <c r="D137" s="84" t="s">
        <v>247</v>
      </c>
      <c r="E137" s="73"/>
      <c r="F137" s="69" t="s">
        <v>40</v>
      </c>
      <c r="G137" s="67" t="s">
        <v>368</v>
      </c>
      <c r="H137" s="70" t="s">
        <v>365</v>
      </c>
    </row>
    <row r="138" spans="1:8" ht="24">
      <c r="A138" s="65" t="s">
        <v>32</v>
      </c>
      <c r="B138" s="66" t="s">
        <v>219</v>
      </c>
      <c r="C138" s="66" t="s">
        <v>219</v>
      </c>
      <c r="D138" s="77" t="s">
        <v>219</v>
      </c>
      <c r="E138" s="68"/>
      <c r="F138" s="69" t="s">
        <v>183</v>
      </c>
      <c r="G138" s="67" t="s">
        <v>227</v>
      </c>
      <c r="H138" s="70" t="s">
        <v>176</v>
      </c>
    </row>
    <row r="139" spans="1:8">
      <c r="A139" s="65" t="s">
        <v>699</v>
      </c>
      <c r="B139" s="66" t="s">
        <v>720</v>
      </c>
      <c r="C139" s="66" t="s">
        <v>720</v>
      </c>
      <c r="D139" s="69" t="s">
        <v>720</v>
      </c>
      <c r="E139" s="80"/>
      <c r="F139" s="69" t="s">
        <v>47</v>
      </c>
      <c r="G139" s="67" t="s">
        <v>733</v>
      </c>
      <c r="H139" s="70" t="s">
        <v>176</v>
      </c>
    </row>
    <row r="140" spans="1:8" ht="24">
      <c r="A140" s="65" t="s">
        <v>603</v>
      </c>
      <c r="B140" s="66" t="s">
        <v>617</v>
      </c>
      <c r="C140" s="66" t="s">
        <v>617</v>
      </c>
      <c r="D140" s="69" t="s">
        <v>177</v>
      </c>
      <c r="E140" s="80" t="s">
        <v>466</v>
      </c>
      <c r="F140" s="69" t="s">
        <v>48</v>
      </c>
      <c r="G140" s="67" t="s">
        <v>624</v>
      </c>
      <c r="H140" s="70" t="s">
        <v>210</v>
      </c>
    </row>
    <row r="141" spans="1:8" ht="36">
      <c r="A141" s="65" t="s">
        <v>1206</v>
      </c>
      <c r="B141" s="66" t="s">
        <v>1254</v>
      </c>
      <c r="C141" s="66" t="s">
        <v>1254</v>
      </c>
      <c r="D141" s="69" t="s">
        <v>177</v>
      </c>
      <c r="E141" s="80" t="s">
        <v>248</v>
      </c>
      <c r="F141" s="69" t="s">
        <v>1250</v>
      </c>
      <c r="G141" s="67" t="s">
        <v>1278</v>
      </c>
      <c r="H141" s="70" t="s">
        <v>176</v>
      </c>
    </row>
    <row r="142" spans="1:8" ht="24">
      <c r="A142" s="65" t="s">
        <v>32</v>
      </c>
      <c r="B142" s="66" t="s">
        <v>247</v>
      </c>
      <c r="C142" s="66" t="s">
        <v>323</v>
      </c>
      <c r="D142" s="77" t="s">
        <v>177</v>
      </c>
      <c r="E142" s="68" t="s">
        <v>250</v>
      </c>
      <c r="F142" s="69" t="s">
        <v>40</v>
      </c>
      <c r="G142" s="67" t="s">
        <v>341</v>
      </c>
      <c r="H142" s="70" t="s">
        <v>176</v>
      </c>
    </row>
    <row r="143" spans="1:8">
      <c r="A143" s="65" t="s">
        <v>699</v>
      </c>
      <c r="B143" s="66" t="s">
        <v>720</v>
      </c>
      <c r="C143" s="66" t="s">
        <v>723</v>
      </c>
      <c r="D143" s="69" t="s">
        <v>177</v>
      </c>
      <c r="E143" s="80" t="s">
        <v>250</v>
      </c>
      <c r="F143" s="69" t="s">
        <v>44</v>
      </c>
      <c r="G143" s="67" t="s">
        <v>725</v>
      </c>
      <c r="H143" s="70" t="s">
        <v>176</v>
      </c>
    </row>
    <row r="144" spans="1:8">
      <c r="A144" s="65" t="s">
        <v>839</v>
      </c>
      <c r="B144" s="66" t="s">
        <v>694</v>
      </c>
      <c r="C144" s="66" t="s">
        <v>694</v>
      </c>
      <c r="D144" s="69" t="s">
        <v>603</v>
      </c>
      <c r="E144" s="80"/>
      <c r="F144" s="69" t="s">
        <v>48</v>
      </c>
      <c r="G144" s="67" t="s">
        <v>852</v>
      </c>
      <c r="H144" s="70" t="s">
        <v>843</v>
      </c>
    </row>
    <row r="145" spans="1:8" ht="24">
      <c r="A145" s="65" t="s">
        <v>603</v>
      </c>
      <c r="B145" s="66" t="s">
        <v>647</v>
      </c>
      <c r="C145" s="66" t="s">
        <v>658</v>
      </c>
      <c r="D145" s="69" t="s">
        <v>603</v>
      </c>
      <c r="E145" s="83"/>
      <c r="F145" s="69" t="s">
        <v>48</v>
      </c>
      <c r="G145" s="69" t="s">
        <v>660</v>
      </c>
      <c r="H145" s="70" t="s">
        <v>210</v>
      </c>
    </row>
    <row r="146" spans="1:8" ht="24">
      <c r="A146" s="65" t="s">
        <v>908</v>
      </c>
      <c r="B146" s="66" t="s">
        <v>951</v>
      </c>
      <c r="C146" s="66" t="s">
        <v>957</v>
      </c>
      <c r="D146" s="72" t="s">
        <v>603</v>
      </c>
      <c r="E146" s="83"/>
      <c r="F146" s="69" t="s">
        <v>48</v>
      </c>
      <c r="G146" s="67" t="s">
        <v>958</v>
      </c>
      <c r="H146" s="70" t="s">
        <v>910</v>
      </c>
    </row>
    <row r="147" spans="1:8" ht="36">
      <c r="A147" s="65" t="s">
        <v>1413</v>
      </c>
      <c r="B147" s="66" t="s">
        <v>1413</v>
      </c>
      <c r="C147" s="66" t="s">
        <v>1427</v>
      </c>
      <c r="D147" s="88" t="s">
        <v>177</v>
      </c>
      <c r="E147" s="89" t="s">
        <v>1108</v>
      </c>
      <c r="F147" s="69" t="s">
        <v>233</v>
      </c>
      <c r="G147" s="67" t="s">
        <v>1437</v>
      </c>
      <c r="H147" s="70" t="s">
        <v>243</v>
      </c>
    </row>
    <row r="148" spans="1:8" ht="24">
      <c r="A148" s="65" t="s">
        <v>32</v>
      </c>
      <c r="B148" s="66" t="s">
        <v>247</v>
      </c>
      <c r="C148" s="66" t="s">
        <v>268</v>
      </c>
      <c r="D148" s="84" t="s">
        <v>247</v>
      </c>
      <c r="E148" s="73"/>
      <c r="F148" s="69" t="s">
        <v>285</v>
      </c>
      <c r="G148" s="67" t="s">
        <v>286</v>
      </c>
      <c r="H148" s="70" t="s">
        <v>176</v>
      </c>
    </row>
    <row r="149" spans="1:8" ht="36">
      <c r="A149" s="65" t="s">
        <v>1413</v>
      </c>
      <c r="B149" s="66" t="s">
        <v>1413</v>
      </c>
      <c r="C149" s="66" t="s">
        <v>1418</v>
      </c>
      <c r="D149" s="88" t="s">
        <v>177</v>
      </c>
      <c r="E149" s="83" t="s">
        <v>1415</v>
      </c>
      <c r="F149" s="69" t="s">
        <v>183</v>
      </c>
      <c r="G149" s="67" t="s">
        <v>1420</v>
      </c>
      <c r="H149" s="70" t="s">
        <v>176</v>
      </c>
    </row>
    <row r="150" spans="1:8" ht="36">
      <c r="A150" s="65" t="s">
        <v>839</v>
      </c>
      <c r="B150" s="66" t="s">
        <v>892</v>
      </c>
      <c r="C150" s="66" t="s">
        <v>892</v>
      </c>
      <c r="D150" s="69" t="s">
        <v>703</v>
      </c>
      <c r="E150" s="80"/>
      <c r="F150" s="69" t="s">
        <v>695</v>
      </c>
      <c r="G150" s="67" t="s">
        <v>898</v>
      </c>
      <c r="H150" s="70" t="s">
        <v>860</v>
      </c>
    </row>
    <row r="151" spans="1:8" ht="24">
      <c r="A151" s="65" t="s">
        <v>931</v>
      </c>
      <c r="B151" s="66" t="s">
        <v>909</v>
      </c>
      <c r="C151" s="66" t="s">
        <v>1098</v>
      </c>
      <c r="D151" s="91" t="s">
        <v>177</v>
      </c>
      <c r="E151" s="92" t="s">
        <v>1108</v>
      </c>
      <c r="F151" s="69" t="s">
        <v>1101</v>
      </c>
      <c r="G151" s="67" t="s">
        <v>1109</v>
      </c>
      <c r="H151" s="70" t="s">
        <v>176</v>
      </c>
    </row>
    <row r="152" spans="1:8" ht="36">
      <c r="A152" s="65" t="s">
        <v>32</v>
      </c>
      <c r="B152" s="66" t="s">
        <v>408</v>
      </c>
      <c r="C152" s="66" t="s">
        <v>432</v>
      </c>
      <c r="D152" s="69" t="s">
        <v>410</v>
      </c>
      <c r="E152" s="80"/>
      <c r="F152" s="69" t="s">
        <v>422</v>
      </c>
      <c r="G152" s="67" t="s">
        <v>437</v>
      </c>
      <c r="H152" s="70" t="s">
        <v>176</v>
      </c>
    </row>
    <row r="153" spans="1:8" ht="24">
      <c r="A153" s="65" t="s">
        <v>32</v>
      </c>
      <c r="B153" s="66" t="s">
        <v>247</v>
      </c>
      <c r="C153" s="66" t="s">
        <v>323</v>
      </c>
      <c r="D153" s="77" t="s">
        <v>177</v>
      </c>
      <c r="E153" s="68" t="s">
        <v>250</v>
      </c>
      <c r="F153" s="69" t="s">
        <v>337</v>
      </c>
      <c r="G153" s="67" t="s">
        <v>346</v>
      </c>
      <c r="H153" s="70" t="s">
        <v>176</v>
      </c>
    </row>
    <row r="154" spans="1:8">
      <c r="A154" s="65" t="s">
        <v>603</v>
      </c>
      <c r="B154" s="66" t="s">
        <v>647</v>
      </c>
      <c r="C154" s="66" t="s">
        <v>666</v>
      </c>
      <c r="D154" s="69" t="s">
        <v>603</v>
      </c>
      <c r="E154" s="80"/>
      <c r="F154" s="69" t="s">
        <v>47</v>
      </c>
      <c r="G154" s="67" t="s">
        <v>671</v>
      </c>
      <c r="H154" s="70" t="s">
        <v>210</v>
      </c>
    </row>
    <row r="155" spans="1:8" ht="36">
      <c r="A155" s="65" t="s">
        <v>32</v>
      </c>
      <c r="B155" s="66" t="s">
        <v>408</v>
      </c>
      <c r="C155" s="66" t="s">
        <v>413</v>
      </c>
      <c r="D155" s="69" t="s">
        <v>410</v>
      </c>
      <c r="E155" s="80"/>
      <c r="F155" s="69" t="s">
        <v>43</v>
      </c>
      <c r="G155" s="67" t="s">
        <v>428</v>
      </c>
      <c r="H155" s="70" t="s">
        <v>210</v>
      </c>
    </row>
    <row r="156" spans="1:8" ht="24">
      <c r="A156" s="65" t="s">
        <v>32</v>
      </c>
      <c r="B156" s="66" t="s">
        <v>247</v>
      </c>
      <c r="C156" s="66" t="s">
        <v>310</v>
      </c>
      <c r="D156" s="77" t="s">
        <v>247</v>
      </c>
      <c r="E156" s="68"/>
      <c r="F156" s="69" t="s">
        <v>44</v>
      </c>
      <c r="G156" s="67" t="s">
        <v>320</v>
      </c>
      <c r="H156" s="70" t="s">
        <v>176</v>
      </c>
    </row>
    <row r="157" spans="1:8" ht="36">
      <c r="A157" s="65" t="s">
        <v>1206</v>
      </c>
      <c r="B157" s="66" t="s">
        <v>1254</v>
      </c>
      <c r="C157" s="66" t="s">
        <v>1254</v>
      </c>
      <c r="D157" s="69" t="s">
        <v>177</v>
      </c>
      <c r="E157" s="80" t="s">
        <v>1267</v>
      </c>
      <c r="F157" s="69" t="s">
        <v>40</v>
      </c>
      <c r="G157" s="67" t="s">
        <v>1268</v>
      </c>
      <c r="H157" s="70" t="s">
        <v>176</v>
      </c>
    </row>
    <row r="158" spans="1:8" ht="36">
      <c r="A158" s="65" t="s">
        <v>1413</v>
      </c>
      <c r="B158" s="66" t="s">
        <v>1413</v>
      </c>
      <c r="C158" s="66" t="s">
        <v>1427</v>
      </c>
      <c r="D158" s="81" t="s">
        <v>177</v>
      </c>
      <c r="E158" s="82" t="s">
        <v>1108</v>
      </c>
      <c r="F158" s="69" t="s">
        <v>283</v>
      </c>
      <c r="G158" s="67" t="s">
        <v>1428</v>
      </c>
      <c r="H158" s="70" t="s">
        <v>243</v>
      </c>
    </row>
    <row r="159" spans="1:8" ht="36">
      <c r="A159" s="65" t="s">
        <v>1206</v>
      </c>
      <c r="B159" s="66" t="s">
        <v>1294</v>
      </c>
      <c r="C159" s="66" t="s">
        <v>1294</v>
      </c>
      <c r="D159" s="69" t="s">
        <v>739</v>
      </c>
      <c r="E159" s="80" t="s">
        <v>740</v>
      </c>
      <c r="F159" s="69" t="s">
        <v>1299</v>
      </c>
      <c r="G159" s="67" t="s">
        <v>1300</v>
      </c>
      <c r="H159" s="70" t="s">
        <v>176</v>
      </c>
    </row>
    <row r="160" spans="1:8">
      <c r="A160" s="65" t="s">
        <v>32</v>
      </c>
      <c r="B160" s="66" t="s">
        <v>219</v>
      </c>
      <c r="C160" s="66" t="s">
        <v>219</v>
      </c>
      <c r="D160" s="69" t="s">
        <v>219</v>
      </c>
      <c r="E160" s="68"/>
      <c r="F160" s="69" t="s">
        <v>46</v>
      </c>
      <c r="G160" s="67" t="s">
        <v>241</v>
      </c>
      <c r="H160" s="70" t="s">
        <v>210</v>
      </c>
    </row>
    <row r="161" spans="1:8" ht="24">
      <c r="A161" s="65" t="s">
        <v>931</v>
      </c>
      <c r="B161" s="66" t="s">
        <v>932</v>
      </c>
      <c r="C161" s="66" t="s">
        <v>1172</v>
      </c>
      <c r="D161" s="81" t="s">
        <v>935</v>
      </c>
      <c r="E161" s="82" t="s">
        <v>936</v>
      </c>
      <c r="F161" s="69" t="s">
        <v>1182</v>
      </c>
      <c r="G161" s="67" t="s">
        <v>1183</v>
      </c>
      <c r="H161" s="70" t="s">
        <v>176</v>
      </c>
    </row>
    <row r="162" spans="1:8" ht="24">
      <c r="A162" s="65" t="s">
        <v>32</v>
      </c>
      <c r="B162" s="66" t="s">
        <v>247</v>
      </c>
      <c r="C162" s="66" t="s">
        <v>323</v>
      </c>
      <c r="D162" s="77" t="s">
        <v>247</v>
      </c>
      <c r="E162" s="68"/>
      <c r="F162" s="69" t="s">
        <v>43</v>
      </c>
      <c r="G162" s="67" t="s">
        <v>330</v>
      </c>
      <c r="H162" s="70" t="s">
        <v>176</v>
      </c>
    </row>
    <row r="163" spans="1:8" ht="24">
      <c r="A163" s="65" t="s">
        <v>32</v>
      </c>
      <c r="B163" s="66" t="s">
        <v>470</v>
      </c>
      <c r="C163" s="66" t="s">
        <v>588</v>
      </c>
      <c r="D163" s="69" t="s">
        <v>177</v>
      </c>
      <c r="E163" s="80" t="s">
        <v>566</v>
      </c>
      <c r="F163" s="69" t="s">
        <v>46</v>
      </c>
      <c r="G163" s="67" t="s">
        <v>600</v>
      </c>
      <c r="H163" s="70" t="s">
        <v>176</v>
      </c>
    </row>
    <row r="164" spans="1:8">
      <c r="A164" s="65" t="s">
        <v>32</v>
      </c>
      <c r="B164" s="66" t="s">
        <v>219</v>
      </c>
      <c r="C164" s="66" t="s">
        <v>219</v>
      </c>
      <c r="D164" s="69" t="s">
        <v>219</v>
      </c>
      <c r="E164" s="68"/>
      <c r="F164" s="69" t="s">
        <v>46</v>
      </c>
      <c r="G164" s="67" t="s">
        <v>240</v>
      </c>
      <c r="H164" s="70" t="s">
        <v>210</v>
      </c>
    </row>
    <row r="165" spans="1:8" ht="24">
      <c r="A165" s="65" t="s">
        <v>32</v>
      </c>
      <c r="B165" s="66" t="s">
        <v>247</v>
      </c>
      <c r="C165" s="66" t="s">
        <v>323</v>
      </c>
      <c r="D165" s="77" t="s">
        <v>247</v>
      </c>
      <c r="E165" s="68"/>
      <c r="F165" s="69" t="s">
        <v>40</v>
      </c>
      <c r="G165" s="67" t="s">
        <v>367</v>
      </c>
      <c r="H165" s="70" t="s">
        <v>365</v>
      </c>
    </row>
    <row r="166" spans="1:8">
      <c r="A166" s="65" t="s">
        <v>839</v>
      </c>
      <c r="B166" s="66" t="s">
        <v>694</v>
      </c>
      <c r="C166" s="66" t="s">
        <v>694</v>
      </c>
      <c r="D166" s="69" t="s">
        <v>822</v>
      </c>
      <c r="E166" s="80"/>
      <c r="F166" s="69" t="s">
        <v>47</v>
      </c>
      <c r="G166" s="67" t="s">
        <v>854</v>
      </c>
      <c r="H166" s="70" t="s">
        <v>843</v>
      </c>
    </row>
    <row r="167" spans="1:8" ht="36">
      <c r="A167" s="65" t="s">
        <v>699</v>
      </c>
      <c r="B167" s="66" t="s">
        <v>703</v>
      </c>
      <c r="C167" s="66" t="s">
        <v>782</v>
      </c>
      <c r="D167" s="69" t="s">
        <v>703</v>
      </c>
      <c r="E167" s="80"/>
      <c r="F167" s="69" t="s">
        <v>48</v>
      </c>
      <c r="G167" s="67" t="s">
        <v>786</v>
      </c>
      <c r="H167" s="70" t="s">
        <v>176</v>
      </c>
    </row>
    <row r="168" spans="1:8">
      <c r="A168" s="65" t="s">
        <v>908</v>
      </c>
      <c r="B168" s="66" t="s">
        <v>914</v>
      </c>
      <c r="C168" s="66" t="s">
        <v>914</v>
      </c>
      <c r="D168" s="69" t="s">
        <v>219</v>
      </c>
      <c r="E168" s="80"/>
      <c r="F168" s="69" t="s">
        <v>865</v>
      </c>
      <c r="G168" s="67" t="s">
        <v>917</v>
      </c>
      <c r="H168" s="70" t="s">
        <v>910</v>
      </c>
    </row>
    <row r="169" spans="1:8" ht="36">
      <c r="A169" s="65" t="s">
        <v>1206</v>
      </c>
      <c r="B169" s="66" t="s">
        <v>1230</v>
      </c>
      <c r="C169" s="66" t="s">
        <v>1230</v>
      </c>
      <c r="D169" s="69" t="s">
        <v>739</v>
      </c>
      <c r="E169" s="80" t="s">
        <v>740</v>
      </c>
      <c r="F169" s="69" t="s">
        <v>1232</v>
      </c>
      <c r="G169" s="67" t="s">
        <v>1233</v>
      </c>
      <c r="H169" s="70" t="s">
        <v>176</v>
      </c>
    </row>
    <row r="170" spans="1:8" ht="24">
      <c r="A170" s="65" t="s">
        <v>931</v>
      </c>
      <c r="B170" s="66" t="s">
        <v>909</v>
      </c>
      <c r="C170" s="66" t="s">
        <v>1098</v>
      </c>
      <c r="D170" s="77" t="s">
        <v>177</v>
      </c>
      <c r="E170" s="68" t="s">
        <v>1100</v>
      </c>
      <c r="F170" s="69" t="s">
        <v>1101</v>
      </c>
      <c r="G170" s="67" t="s">
        <v>1102</v>
      </c>
      <c r="H170" s="70" t="s">
        <v>176</v>
      </c>
    </row>
    <row r="171" spans="1:8" ht="24">
      <c r="A171" s="65" t="s">
        <v>603</v>
      </c>
      <c r="B171" s="66" t="s">
        <v>647</v>
      </c>
      <c r="C171" s="66" t="s">
        <v>658</v>
      </c>
      <c r="D171" s="72" t="s">
        <v>603</v>
      </c>
      <c r="E171" s="83"/>
      <c r="F171" s="69" t="s">
        <v>48</v>
      </c>
      <c r="G171" s="69" t="s">
        <v>661</v>
      </c>
      <c r="H171" s="70" t="s">
        <v>210</v>
      </c>
    </row>
    <row r="172" spans="1:8" ht="36">
      <c r="A172" s="65" t="s">
        <v>1206</v>
      </c>
      <c r="B172" s="66" t="s">
        <v>1254</v>
      </c>
      <c r="C172" s="66" t="s">
        <v>1254</v>
      </c>
      <c r="D172" s="69" t="s">
        <v>177</v>
      </c>
      <c r="E172" s="80" t="s">
        <v>478</v>
      </c>
      <c r="F172" s="69" t="s">
        <v>44</v>
      </c>
      <c r="G172" s="67" t="s">
        <v>1274</v>
      </c>
      <c r="H172" s="70" t="s">
        <v>176</v>
      </c>
    </row>
    <row r="173" spans="1:8" ht="24">
      <c r="A173" s="65" t="s">
        <v>839</v>
      </c>
      <c r="B173" s="66" t="s">
        <v>871</v>
      </c>
      <c r="C173" s="66" t="s">
        <v>871</v>
      </c>
      <c r="D173" s="69" t="s">
        <v>603</v>
      </c>
      <c r="E173" s="80"/>
      <c r="F173" s="69" t="s">
        <v>695</v>
      </c>
      <c r="G173" s="67" t="s">
        <v>872</v>
      </c>
      <c r="H173" s="70" t="s">
        <v>843</v>
      </c>
    </row>
    <row r="174" spans="1:8" ht="24">
      <c r="A174" s="65" t="s">
        <v>839</v>
      </c>
      <c r="B174" s="66" t="s">
        <v>871</v>
      </c>
      <c r="C174" s="66" t="s">
        <v>871</v>
      </c>
      <c r="D174" s="69" t="s">
        <v>603</v>
      </c>
      <c r="E174" s="80"/>
      <c r="F174" s="69" t="s">
        <v>882</v>
      </c>
      <c r="G174" s="67" t="s">
        <v>883</v>
      </c>
      <c r="H174" s="70" t="s">
        <v>843</v>
      </c>
    </row>
    <row r="175" spans="1:8" ht="24">
      <c r="A175" s="65" t="s">
        <v>931</v>
      </c>
      <c r="B175" s="66" t="s">
        <v>36</v>
      </c>
      <c r="C175" s="66" t="s">
        <v>1150</v>
      </c>
      <c r="D175" s="69" t="s">
        <v>36</v>
      </c>
      <c r="E175" s="80"/>
      <c r="F175" s="69" t="s">
        <v>51</v>
      </c>
      <c r="G175" s="67" t="s">
        <v>1151</v>
      </c>
      <c r="H175" s="70" t="s">
        <v>176</v>
      </c>
    </row>
    <row r="176" spans="1:8" ht="24">
      <c r="A176" s="65" t="s">
        <v>931</v>
      </c>
      <c r="B176" s="66" t="s">
        <v>932</v>
      </c>
      <c r="C176" s="66" t="s">
        <v>1168</v>
      </c>
      <c r="D176" s="69" t="s">
        <v>932</v>
      </c>
      <c r="E176" s="82"/>
      <c r="F176" s="69" t="s">
        <v>538</v>
      </c>
      <c r="G176" s="67" t="s">
        <v>1171</v>
      </c>
      <c r="H176" s="70" t="s">
        <v>176</v>
      </c>
    </row>
    <row r="177" spans="1:8" ht="36">
      <c r="A177" s="65" t="s">
        <v>1363</v>
      </c>
      <c r="B177" s="66" t="s">
        <v>1364</v>
      </c>
      <c r="C177" s="66" t="s">
        <v>1364</v>
      </c>
      <c r="D177" s="69" t="s">
        <v>1366</v>
      </c>
      <c r="E177" s="80"/>
      <c r="F177" s="69" t="s">
        <v>51</v>
      </c>
      <c r="G177" s="67" t="s">
        <v>1395</v>
      </c>
      <c r="H177" s="70" t="s">
        <v>176</v>
      </c>
    </row>
    <row r="178" spans="1:8" ht="24">
      <c r="A178" s="65" t="s">
        <v>972</v>
      </c>
      <c r="B178" s="66" t="s">
        <v>973</v>
      </c>
      <c r="C178" s="66" t="s">
        <v>973</v>
      </c>
      <c r="D178" s="81" t="s">
        <v>974</v>
      </c>
      <c r="E178" s="80"/>
      <c r="F178" s="69" t="s">
        <v>51</v>
      </c>
      <c r="G178" s="67" t="s">
        <v>975</v>
      </c>
      <c r="H178" s="70" t="s">
        <v>210</v>
      </c>
    </row>
    <row r="179" spans="1:8" ht="24">
      <c r="A179" s="65" t="s">
        <v>699</v>
      </c>
      <c r="B179" s="66" t="s">
        <v>700</v>
      </c>
      <c r="C179" s="66" t="s">
        <v>716</v>
      </c>
      <c r="D179" s="69" t="s">
        <v>700</v>
      </c>
      <c r="E179" s="80"/>
      <c r="F179" s="69" t="s">
        <v>47</v>
      </c>
      <c r="G179" s="67" t="s">
        <v>719</v>
      </c>
      <c r="H179" s="70" t="s">
        <v>210</v>
      </c>
    </row>
    <row r="180" spans="1:8">
      <c r="A180" s="65" t="s">
        <v>32</v>
      </c>
      <c r="B180" s="66" t="s">
        <v>247</v>
      </c>
      <c r="C180" s="66" t="s">
        <v>251</v>
      </c>
      <c r="D180" s="77" t="s">
        <v>177</v>
      </c>
      <c r="E180" s="68" t="s">
        <v>250</v>
      </c>
      <c r="F180" s="69" t="s">
        <v>183</v>
      </c>
      <c r="G180" s="67" t="s">
        <v>266</v>
      </c>
      <c r="H180" s="70" t="s">
        <v>176</v>
      </c>
    </row>
    <row r="181" spans="1:8" ht="24">
      <c r="A181" s="65" t="s">
        <v>822</v>
      </c>
      <c r="B181" s="66" t="s">
        <v>822</v>
      </c>
      <c r="C181" s="66" t="s">
        <v>832</v>
      </c>
      <c r="D181" s="81" t="s">
        <v>468</v>
      </c>
      <c r="E181" s="80"/>
      <c r="F181" s="69" t="s">
        <v>48</v>
      </c>
      <c r="G181" s="67" t="s">
        <v>833</v>
      </c>
      <c r="H181" s="70" t="s">
        <v>210</v>
      </c>
    </row>
    <row r="182" spans="1:8" ht="36">
      <c r="A182" s="65" t="s">
        <v>1413</v>
      </c>
      <c r="B182" s="66" t="s">
        <v>1413</v>
      </c>
      <c r="C182" s="66" t="s">
        <v>1439</v>
      </c>
      <c r="D182" s="81" t="s">
        <v>909</v>
      </c>
      <c r="E182" s="82"/>
      <c r="F182" s="69" t="s">
        <v>181</v>
      </c>
      <c r="G182" s="67" t="s">
        <v>1441</v>
      </c>
      <c r="H182" s="70" t="s">
        <v>176</v>
      </c>
    </row>
    <row r="183" spans="1:8">
      <c r="A183" s="65" t="s">
        <v>32</v>
      </c>
      <c r="B183" s="66" t="s">
        <v>247</v>
      </c>
      <c r="C183" s="66" t="s">
        <v>310</v>
      </c>
      <c r="D183" s="77" t="s">
        <v>177</v>
      </c>
      <c r="E183" s="68" t="s">
        <v>248</v>
      </c>
      <c r="F183" s="69" t="s">
        <v>183</v>
      </c>
      <c r="G183" s="67" t="s">
        <v>317</v>
      </c>
      <c r="H183" s="70" t="s">
        <v>176</v>
      </c>
    </row>
    <row r="184" spans="1:8" ht="24">
      <c r="A184" s="65" t="s">
        <v>32</v>
      </c>
      <c r="B184" s="66" t="s">
        <v>470</v>
      </c>
      <c r="C184" s="66" t="s">
        <v>473</v>
      </c>
      <c r="D184" s="69" t="s">
        <v>177</v>
      </c>
      <c r="E184" s="80" t="s">
        <v>476</v>
      </c>
      <c r="F184" s="69" t="s">
        <v>480</v>
      </c>
      <c r="G184" s="67" t="s">
        <v>482</v>
      </c>
      <c r="H184" s="70" t="s">
        <v>176</v>
      </c>
    </row>
    <row r="185" spans="1:8" ht="24">
      <c r="A185" s="65" t="s">
        <v>32</v>
      </c>
      <c r="B185" s="66" t="s">
        <v>470</v>
      </c>
      <c r="C185" s="66" t="s">
        <v>534</v>
      </c>
      <c r="D185" s="69" t="s">
        <v>470</v>
      </c>
      <c r="E185" s="80"/>
      <c r="F185" s="69" t="s">
        <v>47</v>
      </c>
      <c r="G185" s="67" t="s">
        <v>556</v>
      </c>
      <c r="H185" s="70" t="s">
        <v>176</v>
      </c>
    </row>
    <row r="186" spans="1:8">
      <c r="A186" s="65" t="s">
        <v>603</v>
      </c>
      <c r="B186" s="66" t="s">
        <v>634</v>
      </c>
      <c r="C186" s="66" t="s">
        <v>635</v>
      </c>
      <c r="D186" s="69" t="s">
        <v>177</v>
      </c>
      <c r="E186" s="86" t="s">
        <v>466</v>
      </c>
      <c r="F186" s="69" t="s">
        <v>48</v>
      </c>
      <c r="G186" s="67" t="s">
        <v>636</v>
      </c>
      <c r="H186" s="70" t="s">
        <v>210</v>
      </c>
    </row>
    <row r="187" spans="1:8" ht="24">
      <c r="A187" s="65" t="s">
        <v>32</v>
      </c>
      <c r="B187" s="66" t="s">
        <v>470</v>
      </c>
      <c r="C187" s="66" t="s">
        <v>534</v>
      </c>
      <c r="D187" s="69" t="s">
        <v>470</v>
      </c>
      <c r="E187" s="86"/>
      <c r="F187" s="69" t="s">
        <v>283</v>
      </c>
      <c r="G187" s="67" t="s">
        <v>536</v>
      </c>
      <c r="H187" s="70" t="s">
        <v>176</v>
      </c>
    </row>
    <row r="188" spans="1:8" ht="36">
      <c r="A188" s="65" t="s">
        <v>839</v>
      </c>
      <c r="B188" s="66" t="s">
        <v>840</v>
      </c>
      <c r="C188" s="66" t="s">
        <v>840</v>
      </c>
      <c r="D188" s="69" t="s">
        <v>603</v>
      </c>
      <c r="E188" s="80"/>
      <c r="F188" s="69" t="s">
        <v>844</v>
      </c>
      <c r="G188" s="67" t="s">
        <v>845</v>
      </c>
      <c r="H188" s="70" t="s">
        <v>843</v>
      </c>
    </row>
    <row r="189" spans="1:8" ht="36">
      <c r="A189" s="65" t="s">
        <v>1206</v>
      </c>
      <c r="B189" s="66" t="s">
        <v>1328</v>
      </c>
      <c r="C189" s="66" t="s">
        <v>1328</v>
      </c>
      <c r="D189" s="69" t="s">
        <v>468</v>
      </c>
      <c r="E189" s="80"/>
      <c r="F189" s="69" t="s">
        <v>181</v>
      </c>
      <c r="G189" s="67" t="s">
        <v>1342</v>
      </c>
      <c r="H189" s="70" t="s">
        <v>176</v>
      </c>
    </row>
    <row r="190" spans="1:8" ht="36">
      <c r="A190" s="65" t="s">
        <v>1206</v>
      </c>
      <c r="B190" s="66" t="s">
        <v>1221</v>
      </c>
      <c r="C190" s="66" t="s">
        <v>1221</v>
      </c>
      <c r="D190" s="69" t="s">
        <v>739</v>
      </c>
      <c r="E190" s="80" t="s">
        <v>740</v>
      </c>
      <c r="F190" s="69" t="s">
        <v>45</v>
      </c>
      <c r="G190" s="67" t="s">
        <v>1224</v>
      </c>
      <c r="H190" s="70" t="s">
        <v>210</v>
      </c>
    </row>
    <row r="191" spans="1:8">
      <c r="A191" s="65" t="s">
        <v>32</v>
      </c>
      <c r="B191" s="66" t="s">
        <v>449</v>
      </c>
      <c r="C191" s="66" t="s">
        <v>458</v>
      </c>
      <c r="D191" s="77" t="s">
        <v>177</v>
      </c>
      <c r="E191" s="68" t="s">
        <v>466</v>
      </c>
      <c r="F191" s="69" t="s">
        <v>48</v>
      </c>
      <c r="G191" s="67" t="s">
        <v>467</v>
      </c>
      <c r="H191" s="70" t="s">
        <v>210</v>
      </c>
    </row>
    <row r="192" spans="1:8" ht="24">
      <c r="A192" s="65" t="s">
        <v>931</v>
      </c>
      <c r="B192" s="66" t="s">
        <v>909</v>
      </c>
      <c r="C192" s="66" t="s">
        <v>1098</v>
      </c>
      <c r="D192" s="69" t="s">
        <v>177</v>
      </c>
      <c r="E192" s="80" t="s">
        <v>1103</v>
      </c>
      <c r="F192" s="69" t="s">
        <v>1101</v>
      </c>
      <c r="G192" s="67" t="s">
        <v>1104</v>
      </c>
      <c r="H192" s="70" t="s">
        <v>176</v>
      </c>
    </row>
    <row r="193" spans="1:8" ht="24">
      <c r="A193" s="65" t="s">
        <v>32</v>
      </c>
      <c r="B193" s="66" t="s">
        <v>470</v>
      </c>
      <c r="C193" s="66" t="s">
        <v>557</v>
      </c>
      <c r="D193" s="69" t="s">
        <v>177</v>
      </c>
      <c r="E193" s="80" t="s">
        <v>566</v>
      </c>
      <c r="F193" s="69" t="s">
        <v>47</v>
      </c>
      <c r="G193" s="67" t="s">
        <v>567</v>
      </c>
      <c r="H193" s="70" t="s">
        <v>210</v>
      </c>
    </row>
    <row r="194" spans="1:8" ht="24">
      <c r="A194" s="65" t="s">
        <v>908</v>
      </c>
      <c r="B194" s="66" t="s">
        <v>951</v>
      </c>
      <c r="C194" s="66" t="s">
        <v>957</v>
      </c>
      <c r="D194" s="69" t="s">
        <v>603</v>
      </c>
      <c r="E194" s="80"/>
      <c r="F194" s="69" t="s">
        <v>47</v>
      </c>
      <c r="G194" s="67" t="s">
        <v>961</v>
      </c>
      <c r="H194" s="70" t="s">
        <v>910</v>
      </c>
    </row>
    <row r="195" spans="1:8" ht="36">
      <c r="A195" s="65" t="s">
        <v>931</v>
      </c>
      <c r="B195" s="66" t="s">
        <v>932</v>
      </c>
      <c r="C195" s="66" t="s">
        <v>1160</v>
      </c>
      <c r="D195" s="81" t="s">
        <v>935</v>
      </c>
      <c r="E195" s="82" t="s">
        <v>936</v>
      </c>
      <c r="F195" s="69" t="s">
        <v>632</v>
      </c>
      <c r="G195" s="67" t="s">
        <v>1161</v>
      </c>
      <c r="H195" s="70" t="s">
        <v>176</v>
      </c>
    </row>
    <row r="196" spans="1:8" ht="36">
      <c r="A196" s="65" t="s">
        <v>1206</v>
      </c>
      <c r="B196" s="66" t="s">
        <v>1286</v>
      </c>
      <c r="C196" s="66" t="s">
        <v>1286</v>
      </c>
      <c r="D196" s="69" t="s">
        <v>603</v>
      </c>
      <c r="E196" s="80" t="s">
        <v>466</v>
      </c>
      <c r="F196" s="69" t="s">
        <v>48</v>
      </c>
      <c r="G196" s="67" t="s">
        <v>1293</v>
      </c>
      <c r="H196" s="70" t="s">
        <v>210</v>
      </c>
    </row>
    <row r="197" spans="1:8">
      <c r="A197" s="65" t="s">
        <v>603</v>
      </c>
      <c r="B197" s="66" t="s">
        <v>672</v>
      </c>
      <c r="C197" s="66" t="s">
        <v>690</v>
      </c>
      <c r="D197" s="69" t="s">
        <v>177</v>
      </c>
      <c r="E197" s="80" t="s">
        <v>466</v>
      </c>
      <c r="F197" s="69" t="s">
        <v>48</v>
      </c>
      <c r="G197" s="67" t="s">
        <v>691</v>
      </c>
      <c r="H197" s="70" t="s">
        <v>210</v>
      </c>
    </row>
    <row r="198" spans="1:8">
      <c r="A198" s="65" t="s">
        <v>603</v>
      </c>
      <c r="B198" s="66" t="s">
        <v>606</v>
      </c>
      <c r="C198" s="66" t="s">
        <v>606</v>
      </c>
      <c r="D198" s="81" t="s">
        <v>468</v>
      </c>
      <c r="E198" s="68"/>
      <c r="F198" s="69" t="s">
        <v>47</v>
      </c>
      <c r="G198" s="67" t="s">
        <v>607</v>
      </c>
      <c r="H198" s="70" t="s">
        <v>176</v>
      </c>
    </row>
    <row r="199" spans="1:8" ht="36">
      <c r="A199" s="65" t="s">
        <v>1206</v>
      </c>
      <c r="B199" s="66" t="s">
        <v>1328</v>
      </c>
      <c r="C199" s="66" t="s">
        <v>1328</v>
      </c>
      <c r="D199" s="69" t="s">
        <v>177</v>
      </c>
      <c r="E199" s="80" t="s">
        <v>466</v>
      </c>
      <c r="F199" s="69" t="s">
        <v>46</v>
      </c>
      <c r="G199" s="67" t="s">
        <v>1344</v>
      </c>
      <c r="H199" s="70" t="s">
        <v>176</v>
      </c>
    </row>
    <row r="200" spans="1:8" ht="36">
      <c r="A200" s="65" t="s">
        <v>32</v>
      </c>
      <c r="B200" s="66" t="s">
        <v>408</v>
      </c>
      <c r="C200" s="66" t="s">
        <v>432</v>
      </c>
      <c r="D200" s="69" t="s">
        <v>410</v>
      </c>
      <c r="E200" s="80"/>
      <c r="F200" s="69" t="s">
        <v>422</v>
      </c>
      <c r="G200" s="67" t="s">
        <v>433</v>
      </c>
      <c r="H200" s="70" t="s">
        <v>176</v>
      </c>
    </row>
    <row r="201" spans="1:8" ht="24">
      <c r="A201" s="65" t="s">
        <v>931</v>
      </c>
      <c r="B201" s="66" t="s">
        <v>909</v>
      </c>
      <c r="C201" s="66" t="s">
        <v>1129</v>
      </c>
      <c r="D201" s="91" t="s">
        <v>177</v>
      </c>
      <c r="E201" s="92" t="s">
        <v>1114</v>
      </c>
      <c r="F201" s="69" t="s">
        <v>40</v>
      </c>
      <c r="G201" s="67" t="s">
        <v>1132</v>
      </c>
      <c r="H201" s="70" t="s">
        <v>176</v>
      </c>
    </row>
    <row r="202" spans="1:8" ht="36">
      <c r="A202" s="65" t="s">
        <v>1363</v>
      </c>
      <c r="B202" s="66" t="s">
        <v>1364</v>
      </c>
      <c r="C202" s="66" t="s">
        <v>1376</v>
      </c>
      <c r="D202" s="69" t="s">
        <v>1366</v>
      </c>
      <c r="E202" s="80"/>
      <c r="F202" s="69" t="s">
        <v>48</v>
      </c>
      <c r="G202" s="67" t="s">
        <v>1381</v>
      </c>
      <c r="H202" s="70" t="s">
        <v>176</v>
      </c>
    </row>
    <row r="203" spans="1:8" ht="36">
      <c r="A203" s="65" t="s">
        <v>1206</v>
      </c>
      <c r="B203" s="66" t="s">
        <v>1303</v>
      </c>
      <c r="C203" s="66" t="s">
        <v>1303</v>
      </c>
      <c r="D203" s="69" t="s">
        <v>177</v>
      </c>
      <c r="E203" s="80" t="s">
        <v>466</v>
      </c>
      <c r="F203" s="69" t="s">
        <v>48</v>
      </c>
      <c r="G203" s="67" t="s">
        <v>1305</v>
      </c>
      <c r="H203" s="70" t="s">
        <v>176</v>
      </c>
    </row>
    <row r="204" spans="1:8" ht="36">
      <c r="A204" s="65" t="s">
        <v>1206</v>
      </c>
      <c r="B204" s="66" t="s">
        <v>1254</v>
      </c>
      <c r="C204" s="66" t="s">
        <v>1254</v>
      </c>
      <c r="D204" s="69" t="s">
        <v>177</v>
      </c>
      <c r="E204" s="80" t="s">
        <v>248</v>
      </c>
      <c r="F204" s="69" t="s">
        <v>1237</v>
      </c>
      <c r="G204" s="67" t="s">
        <v>1277</v>
      </c>
      <c r="H204" s="70" t="s">
        <v>176</v>
      </c>
    </row>
    <row r="205" spans="1:8" ht="24">
      <c r="A205" s="65" t="s">
        <v>972</v>
      </c>
      <c r="B205" s="66" t="s">
        <v>996</v>
      </c>
      <c r="C205" s="66" t="s">
        <v>1011</v>
      </c>
      <c r="D205" s="69" t="s">
        <v>996</v>
      </c>
      <c r="E205" s="80"/>
      <c r="F205" s="69" t="s">
        <v>50</v>
      </c>
      <c r="G205" s="67" t="s">
        <v>1033</v>
      </c>
      <c r="H205" s="70" t="s">
        <v>210</v>
      </c>
    </row>
    <row r="206" spans="1:8" ht="24">
      <c r="A206" s="65" t="s">
        <v>839</v>
      </c>
      <c r="B206" s="66" t="s">
        <v>861</v>
      </c>
      <c r="C206" s="66" t="s">
        <v>861</v>
      </c>
      <c r="D206" s="69" t="s">
        <v>720</v>
      </c>
      <c r="E206" s="80"/>
      <c r="F206" s="69" t="s">
        <v>865</v>
      </c>
      <c r="G206" s="67" t="s">
        <v>866</v>
      </c>
      <c r="H206" s="70" t="s">
        <v>843</v>
      </c>
    </row>
    <row r="207" spans="1:8" ht="24">
      <c r="A207" s="65" t="s">
        <v>32</v>
      </c>
      <c r="B207" s="66" t="s">
        <v>247</v>
      </c>
      <c r="C207" s="66" t="s">
        <v>323</v>
      </c>
      <c r="D207" s="77" t="s">
        <v>247</v>
      </c>
      <c r="E207" s="68"/>
      <c r="F207" s="69" t="s">
        <v>40</v>
      </c>
      <c r="G207" s="67" t="s">
        <v>366</v>
      </c>
      <c r="H207" s="70" t="s">
        <v>365</v>
      </c>
    </row>
    <row r="208" spans="1:8" ht="24">
      <c r="A208" s="65" t="s">
        <v>972</v>
      </c>
      <c r="B208" s="66" t="s">
        <v>1041</v>
      </c>
      <c r="C208" s="66" t="s">
        <v>1042</v>
      </c>
      <c r="D208" s="69" t="s">
        <v>470</v>
      </c>
      <c r="E208" s="80"/>
      <c r="F208" s="69" t="s">
        <v>580</v>
      </c>
      <c r="G208" s="67" t="s">
        <v>1057</v>
      </c>
      <c r="H208" s="70" t="s">
        <v>210</v>
      </c>
    </row>
    <row r="209" spans="1:8" ht="24">
      <c r="A209" s="65" t="s">
        <v>795</v>
      </c>
      <c r="B209" s="66" t="s">
        <v>795</v>
      </c>
      <c r="C209" s="66" t="s">
        <v>796</v>
      </c>
      <c r="D209" s="81" t="s">
        <v>177</v>
      </c>
      <c r="E209" s="80" t="s">
        <v>466</v>
      </c>
      <c r="F209" s="69" t="s">
        <v>538</v>
      </c>
      <c r="G209" s="67" t="s">
        <v>804</v>
      </c>
      <c r="H209" s="70" t="s">
        <v>210</v>
      </c>
    </row>
    <row r="210" spans="1:8" ht="24">
      <c r="A210" s="65" t="s">
        <v>603</v>
      </c>
      <c r="B210" s="66" t="s">
        <v>634</v>
      </c>
      <c r="C210" s="66" t="s">
        <v>645</v>
      </c>
      <c r="D210" s="69" t="s">
        <v>603</v>
      </c>
      <c r="E210" s="80"/>
      <c r="F210" s="69" t="s">
        <v>632</v>
      </c>
      <c r="G210" s="67" t="s">
        <v>646</v>
      </c>
      <c r="H210" s="70" t="s">
        <v>210</v>
      </c>
    </row>
    <row r="211" spans="1:8" ht="24">
      <c r="A211" s="65" t="s">
        <v>32</v>
      </c>
      <c r="B211" s="66" t="s">
        <v>470</v>
      </c>
      <c r="C211" s="66" t="s">
        <v>588</v>
      </c>
      <c r="D211" s="69" t="s">
        <v>177</v>
      </c>
      <c r="E211" s="80" t="s">
        <v>566</v>
      </c>
      <c r="F211" s="69" t="s">
        <v>183</v>
      </c>
      <c r="G211" s="87" t="s">
        <v>596</v>
      </c>
      <c r="H211" s="70" t="s">
        <v>176</v>
      </c>
    </row>
    <row r="212" spans="1:8" ht="36">
      <c r="A212" s="65" t="s">
        <v>1206</v>
      </c>
      <c r="B212" s="66" t="s">
        <v>1303</v>
      </c>
      <c r="C212" s="66" t="s">
        <v>1303</v>
      </c>
      <c r="D212" s="69" t="s">
        <v>177</v>
      </c>
      <c r="E212" s="80" t="s">
        <v>751</v>
      </c>
      <c r="F212" s="69" t="s">
        <v>514</v>
      </c>
      <c r="G212" s="67" t="s">
        <v>1318</v>
      </c>
      <c r="H212" s="70" t="s">
        <v>176</v>
      </c>
    </row>
    <row r="213" spans="1:8">
      <c r="A213" s="65" t="s">
        <v>603</v>
      </c>
      <c r="B213" s="66" t="s">
        <v>647</v>
      </c>
      <c r="C213" s="66" t="s">
        <v>658</v>
      </c>
      <c r="D213" s="69" t="s">
        <v>603</v>
      </c>
      <c r="E213" s="80"/>
      <c r="F213" s="69" t="s">
        <v>47</v>
      </c>
      <c r="G213" s="67" t="s">
        <v>665</v>
      </c>
      <c r="H213" s="70" t="s">
        <v>210</v>
      </c>
    </row>
    <row r="214" spans="1:8">
      <c r="A214" s="65" t="s">
        <v>908</v>
      </c>
      <c r="B214" s="66" t="s">
        <v>951</v>
      </c>
      <c r="C214" s="66" t="s">
        <v>957</v>
      </c>
      <c r="D214" s="69" t="s">
        <v>603</v>
      </c>
      <c r="E214" s="80"/>
      <c r="F214" s="69" t="s">
        <v>48</v>
      </c>
      <c r="G214" s="67" t="s">
        <v>959</v>
      </c>
      <c r="H214" s="70" t="s">
        <v>910</v>
      </c>
    </row>
    <row r="215" spans="1:8" ht="24">
      <c r="A215" s="65" t="s">
        <v>931</v>
      </c>
      <c r="B215" s="66" t="s">
        <v>932</v>
      </c>
      <c r="C215" s="66" t="s">
        <v>1172</v>
      </c>
      <c r="D215" s="81" t="s">
        <v>935</v>
      </c>
      <c r="E215" s="82" t="s">
        <v>936</v>
      </c>
      <c r="F215" s="69" t="s">
        <v>51</v>
      </c>
      <c r="G215" s="67" t="s">
        <v>1173</v>
      </c>
      <c r="H215" s="70" t="s">
        <v>176</v>
      </c>
    </row>
    <row r="216" spans="1:8" ht="36">
      <c r="A216" s="65" t="s">
        <v>1413</v>
      </c>
      <c r="B216" s="66" t="s">
        <v>1413</v>
      </c>
      <c r="C216" s="66" t="s">
        <v>1443</v>
      </c>
      <c r="D216" s="81" t="s">
        <v>177</v>
      </c>
      <c r="E216" s="80" t="s">
        <v>1118</v>
      </c>
      <c r="F216" s="69" t="s">
        <v>283</v>
      </c>
      <c r="G216" s="67" t="s">
        <v>1444</v>
      </c>
      <c r="H216" s="70" t="s">
        <v>1123</v>
      </c>
    </row>
    <row r="217" spans="1:8" ht="24">
      <c r="A217" s="65" t="s">
        <v>32</v>
      </c>
      <c r="B217" s="66" t="s">
        <v>172</v>
      </c>
      <c r="C217" s="66" t="s">
        <v>173</v>
      </c>
      <c r="D217" s="69" t="s">
        <v>172</v>
      </c>
      <c r="E217" s="68"/>
      <c r="F217" s="69" t="s">
        <v>183</v>
      </c>
      <c r="G217" s="67" t="s">
        <v>185</v>
      </c>
      <c r="H217" s="70" t="s">
        <v>176</v>
      </c>
    </row>
    <row r="218" spans="1:8" ht="36">
      <c r="A218" s="65" t="s">
        <v>1206</v>
      </c>
      <c r="B218" s="66" t="s">
        <v>1209</v>
      </c>
      <c r="C218" s="66" t="s">
        <v>1209</v>
      </c>
      <c r="D218" s="69" t="s">
        <v>739</v>
      </c>
      <c r="E218" s="80" t="s">
        <v>740</v>
      </c>
      <c r="F218" s="69" t="s">
        <v>222</v>
      </c>
      <c r="G218" s="67" t="s">
        <v>1218</v>
      </c>
      <c r="H218" s="70" t="s">
        <v>176</v>
      </c>
    </row>
    <row r="219" spans="1:8">
      <c r="A219" s="65" t="s">
        <v>908</v>
      </c>
      <c r="B219" s="66" t="s">
        <v>964</v>
      </c>
      <c r="C219" s="66" t="s">
        <v>964</v>
      </c>
      <c r="D219" s="69" t="s">
        <v>603</v>
      </c>
      <c r="E219" s="80"/>
      <c r="F219" s="69" t="s">
        <v>48</v>
      </c>
      <c r="G219" s="67" t="s">
        <v>969</v>
      </c>
      <c r="H219" s="70" t="s">
        <v>910</v>
      </c>
    </row>
    <row r="220" spans="1:8" ht="36">
      <c r="A220" s="65" t="s">
        <v>1206</v>
      </c>
      <c r="B220" s="66" t="s">
        <v>1328</v>
      </c>
      <c r="C220" s="66" t="s">
        <v>1328</v>
      </c>
      <c r="D220" s="69" t="s">
        <v>177</v>
      </c>
      <c r="E220" s="80" t="s">
        <v>466</v>
      </c>
      <c r="F220" s="69" t="s">
        <v>514</v>
      </c>
      <c r="G220" s="67" t="s">
        <v>1357</v>
      </c>
      <c r="H220" s="70" t="s">
        <v>176</v>
      </c>
    </row>
    <row r="221" spans="1:8">
      <c r="A221" s="65" t="s">
        <v>1406</v>
      </c>
      <c r="B221" s="66" t="s">
        <v>1406</v>
      </c>
      <c r="C221" s="66" t="s">
        <v>1407</v>
      </c>
      <c r="D221" s="91" t="s">
        <v>177</v>
      </c>
      <c r="E221" s="80" t="s">
        <v>1408</v>
      </c>
      <c r="F221" s="69" t="s">
        <v>181</v>
      </c>
      <c r="G221" s="67" t="s">
        <v>1411</v>
      </c>
      <c r="H221" s="70" t="s">
        <v>176</v>
      </c>
    </row>
    <row r="222" spans="1:8" ht="24">
      <c r="A222" s="65" t="s">
        <v>795</v>
      </c>
      <c r="B222" s="66" t="s">
        <v>795</v>
      </c>
      <c r="C222" s="66" t="s">
        <v>796</v>
      </c>
      <c r="D222" s="81" t="s">
        <v>177</v>
      </c>
      <c r="E222" s="80" t="s">
        <v>466</v>
      </c>
      <c r="F222" s="69" t="s">
        <v>538</v>
      </c>
      <c r="G222" s="67" t="s">
        <v>799</v>
      </c>
      <c r="H222" s="70" t="s">
        <v>210</v>
      </c>
    </row>
    <row r="223" spans="1:8" ht="24">
      <c r="A223" s="65" t="s">
        <v>32</v>
      </c>
      <c r="B223" s="66" t="s">
        <v>247</v>
      </c>
      <c r="C223" s="66" t="s">
        <v>383</v>
      </c>
      <c r="D223" s="77" t="s">
        <v>247</v>
      </c>
      <c r="E223" s="68"/>
      <c r="F223" s="69" t="s">
        <v>44</v>
      </c>
      <c r="G223" s="67" t="s">
        <v>398</v>
      </c>
      <c r="H223" s="70" t="s">
        <v>176</v>
      </c>
    </row>
    <row r="224" spans="1:8" ht="24">
      <c r="A224" s="65" t="s">
        <v>32</v>
      </c>
      <c r="B224" s="66" t="s">
        <v>172</v>
      </c>
      <c r="C224" s="66" t="s">
        <v>202</v>
      </c>
      <c r="D224" s="69" t="s">
        <v>172</v>
      </c>
      <c r="E224" s="68"/>
      <c r="F224" s="69" t="s">
        <v>47</v>
      </c>
      <c r="G224" s="67" t="s">
        <v>215</v>
      </c>
      <c r="H224" s="70" t="s">
        <v>210</v>
      </c>
    </row>
    <row r="225" spans="1:8" ht="24">
      <c r="A225" s="65" t="s">
        <v>32</v>
      </c>
      <c r="B225" s="66" t="s">
        <v>470</v>
      </c>
      <c r="C225" s="66" t="s">
        <v>473</v>
      </c>
      <c r="D225" s="69" t="s">
        <v>470</v>
      </c>
      <c r="E225" s="80"/>
      <c r="F225" s="69" t="s">
        <v>183</v>
      </c>
      <c r="G225" s="67" t="s">
        <v>512</v>
      </c>
      <c r="H225" s="70" t="s">
        <v>176</v>
      </c>
    </row>
    <row r="226" spans="1:8" ht="24">
      <c r="A226" s="65" t="s">
        <v>699</v>
      </c>
      <c r="B226" s="66" t="s">
        <v>700</v>
      </c>
      <c r="C226" s="66" t="s">
        <v>701</v>
      </c>
      <c r="D226" s="69" t="s">
        <v>603</v>
      </c>
      <c r="E226" s="80"/>
      <c r="F226" s="69" t="s">
        <v>47</v>
      </c>
      <c r="G226" s="67" t="s">
        <v>709</v>
      </c>
      <c r="H226" s="70" t="s">
        <v>210</v>
      </c>
    </row>
    <row r="227" spans="1:8" ht="24">
      <c r="A227" s="65" t="s">
        <v>795</v>
      </c>
      <c r="B227" s="66" t="s">
        <v>795</v>
      </c>
      <c r="C227" s="66" t="s">
        <v>796</v>
      </c>
      <c r="D227" s="81" t="s">
        <v>177</v>
      </c>
      <c r="E227" s="80" t="s">
        <v>466</v>
      </c>
      <c r="F227" s="69" t="s">
        <v>538</v>
      </c>
      <c r="G227" s="67" t="s">
        <v>803</v>
      </c>
      <c r="H227" s="70" t="s">
        <v>210</v>
      </c>
    </row>
    <row r="228" spans="1:8" ht="36">
      <c r="A228" s="65" t="s">
        <v>972</v>
      </c>
      <c r="B228" s="66" t="s">
        <v>1041</v>
      </c>
      <c r="C228" s="66" t="s">
        <v>1079</v>
      </c>
      <c r="D228" s="81" t="s">
        <v>468</v>
      </c>
      <c r="E228" s="80"/>
      <c r="F228" s="69" t="s">
        <v>48</v>
      </c>
      <c r="G228" s="67" t="s">
        <v>1087</v>
      </c>
      <c r="H228" s="70" t="s">
        <v>210</v>
      </c>
    </row>
    <row r="229" spans="1:8" ht="24">
      <c r="A229" s="65" t="s">
        <v>972</v>
      </c>
      <c r="B229" s="66" t="s">
        <v>1041</v>
      </c>
      <c r="C229" s="66" t="s">
        <v>1041</v>
      </c>
      <c r="D229" s="81" t="s">
        <v>468</v>
      </c>
      <c r="E229" s="80"/>
      <c r="F229" s="69" t="s">
        <v>48</v>
      </c>
      <c r="G229" s="67" t="s">
        <v>1077</v>
      </c>
      <c r="H229" s="70" t="s">
        <v>210</v>
      </c>
    </row>
    <row r="230" spans="1:8" ht="36">
      <c r="A230" s="65" t="s">
        <v>1206</v>
      </c>
      <c r="B230" s="66" t="s">
        <v>1303</v>
      </c>
      <c r="C230" s="66" t="s">
        <v>1303</v>
      </c>
      <c r="D230" s="69" t="s">
        <v>177</v>
      </c>
      <c r="E230" s="80" t="s">
        <v>248</v>
      </c>
      <c r="F230" s="69" t="s">
        <v>514</v>
      </c>
      <c r="G230" s="67" t="s">
        <v>1321</v>
      </c>
      <c r="H230" s="70" t="s">
        <v>176</v>
      </c>
    </row>
    <row r="231" spans="1:8" ht="24">
      <c r="A231" s="65" t="s">
        <v>972</v>
      </c>
      <c r="B231" s="66" t="s">
        <v>996</v>
      </c>
      <c r="C231" s="66" t="s">
        <v>1011</v>
      </c>
      <c r="D231" s="69" t="s">
        <v>996</v>
      </c>
      <c r="E231" s="80"/>
      <c r="F231" s="69" t="s">
        <v>48</v>
      </c>
      <c r="G231" s="67" t="s">
        <v>1023</v>
      </c>
      <c r="H231" s="70" t="s">
        <v>176</v>
      </c>
    </row>
    <row r="232" spans="1:8" ht="24">
      <c r="A232" s="65" t="s">
        <v>32</v>
      </c>
      <c r="B232" s="66" t="s">
        <v>247</v>
      </c>
      <c r="C232" s="66" t="s">
        <v>300</v>
      </c>
      <c r="D232" s="77" t="s">
        <v>177</v>
      </c>
      <c r="E232" s="68" t="s">
        <v>250</v>
      </c>
      <c r="F232" s="69" t="s">
        <v>46</v>
      </c>
      <c r="G232" s="67" t="s">
        <v>307</v>
      </c>
      <c r="H232" s="70" t="s">
        <v>176</v>
      </c>
    </row>
    <row r="233" spans="1:8" ht="24">
      <c r="A233" s="65" t="s">
        <v>908</v>
      </c>
      <c r="B233" s="66" t="s">
        <v>918</v>
      </c>
      <c r="C233" s="66" t="s">
        <v>918</v>
      </c>
      <c r="D233" s="69" t="s">
        <v>603</v>
      </c>
      <c r="E233" s="80"/>
      <c r="F233" s="69" t="s">
        <v>921</v>
      </c>
      <c r="G233" s="67" t="s">
        <v>922</v>
      </c>
      <c r="H233" s="70" t="s">
        <v>910</v>
      </c>
    </row>
    <row r="234" spans="1:8">
      <c r="A234" s="65" t="s">
        <v>972</v>
      </c>
      <c r="B234" s="66" t="s">
        <v>1041</v>
      </c>
      <c r="C234" s="66" t="s">
        <v>1042</v>
      </c>
      <c r="D234" s="69" t="s">
        <v>172</v>
      </c>
      <c r="E234" s="80"/>
      <c r="F234" s="69" t="s">
        <v>50</v>
      </c>
      <c r="G234" s="67" t="s">
        <v>1060</v>
      </c>
      <c r="H234" s="70" t="s">
        <v>210</v>
      </c>
    </row>
    <row r="235" spans="1:8" ht="24">
      <c r="A235" s="65" t="s">
        <v>972</v>
      </c>
      <c r="B235" s="66" t="s">
        <v>996</v>
      </c>
      <c r="C235" s="66" t="s">
        <v>1011</v>
      </c>
      <c r="D235" s="81" t="s">
        <v>996</v>
      </c>
      <c r="E235" s="80"/>
      <c r="F235" s="69" t="s">
        <v>1013</v>
      </c>
      <c r="G235" s="67" t="s">
        <v>1014</v>
      </c>
      <c r="H235" s="70" t="s">
        <v>176</v>
      </c>
    </row>
    <row r="236" spans="1:8" ht="36">
      <c r="A236" s="65" t="s">
        <v>931</v>
      </c>
      <c r="B236" s="66" t="s">
        <v>932</v>
      </c>
      <c r="C236" s="66" t="s">
        <v>1160</v>
      </c>
      <c r="D236" s="69" t="s">
        <v>932</v>
      </c>
      <c r="E236" s="80"/>
      <c r="F236" s="69" t="s">
        <v>538</v>
      </c>
      <c r="G236" s="67" t="s">
        <v>1165</v>
      </c>
      <c r="H236" s="70" t="s">
        <v>176</v>
      </c>
    </row>
    <row r="237" spans="1:8">
      <c r="A237" s="65" t="s">
        <v>32</v>
      </c>
      <c r="B237" s="66" t="s">
        <v>219</v>
      </c>
      <c r="C237" s="66" t="s">
        <v>219</v>
      </c>
      <c r="D237" s="69" t="s">
        <v>219</v>
      </c>
      <c r="E237" s="80"/>
      <c r="F237" s="69" t="s">
        <v>46</v>
      </c>
      <c r="G237" s="67" t="s">
        <v>235</v>
      </c>
      <c r="H237" s="70" t="s">
        <v>176</v>
      </c>
    </row>
    <row r="238" spans="1:8" ht="24">
      <c r="A238" s="65" t="s">
        <v>32</v>
      </c>
      <c r="B238" s="66" t="s">
        <v>247</v>
      </c>
      <c r="C238" s="66" t="s">
        <v>323</v>
      </c>
      <c r="D238" s="77" t="s">
        <v>247</v>
      </c>
      <c r="E238" s="68"/>
      <c r="F238" s="69" t="s">
        <v>47</v>
      </c>
      <c r="G238" s="67" t="s">
        <v>325</v>
      </c>
      <c r="H238" s="70" t="s">
        <v>176</v>
      </c>
    </row>
    <row r="239" spans="1:8" ht="36">
      <c r="A239" s="65" t="s">
        <v>1206</v>
      </c>
      <c r="B239" s="66" t="s">
        <v>1328</v>
      </c>
      <c r="C239" s="66" t="s">
        <v>1328</v>
      </c>
      <c r="D239" s="69" t="s">
        <v>177</v>
      </c>
      <c r="E239" s="80" t="s">
        <v>466</v>
      </c>
      <c r="F239" s="69" t="s">
        <v>283</v>
      </c>
      <c r="G239" s="67" t="s">
        <v>1336</v>
      </c>
      <c r="H239" s="70" t="s">
        <v>176</v>
      </c>
    </row>
    <row r="240" spans="1:8" ht="36">
      <c r="A240" s="65" t="s">
        <v>32</v>
      </c>
      <c r="B240" s="66" t="s">
        <v>408</v>
      </c>
      <c r="C240" s="66" t="s">
        <v>413</v>
      </c>
      <c r="D240" s="69" t="s">
        <v>177</v>
      </c>
      <c r="E240" s="80" t="s">
        <v>415</v>
      </c>
      <c r="F240" s="69" t="s">
        <v>417</v>
      </c>
      <c r="G240" s="67" t="s">
        <v>418</v>
      </c>
      <c r="H240" s="70" t="s">
        <v>176</v>
      </c>
    </row>
    <row r="241" spans="1:8" ht="36">
      <c r="A241" s="65" t="s">
        <v>1206</v>
      </c>
      <c r="B241" s="66" t="s">
        <v>1230</v>
      </c>
      <c r="C241" s="66" t="s">
        <v>1230</v>
      </c>
      <c r="D241" s="69" t="s">
        <v>739</v>
      </c>
      <c r="E241" s="80" t="s">
        <v>740</v>
      </c>
      <c r="F241" s="69" t="s">
        <v>183</v>
      </c>
      <c r="G241" s="67" t="s">
        <v>1234</v>
      </c>
      <c r="H241" s="70" t="s">
        <v>176</v>
      </c>
    </row>
    <row r="242" spans="1:8" ht="24">
      <c r="A242" s="65" t="s">
        <v>32</v>
      </c>
      <c r="B242" s="66" t="s">
        <v>470</v>
      </c>
      <c r="C242" s="66" t="s">
        <v>473</v>
      </c>
      <c r="D242" s="69" t="s">
        <v>470</v>
      </c>
      <c r="E242" s="80"/>
      <c r="F242" s="69" t="s">
        <v>46</v>
      </c>
      <c r="G242" s="67" t="s">
        <v>500</v>
      </c>
      <c r="H242" s="70" t="s">
        <v>176</v>
      </c>
    </row>
    <row r="243" spans="1:8" ht="24">
      <c r="A243" s="65" t="s">
        <v>32</v>
      </c>
      <c r="B243" s="66" t="s">
        <v>247</v>
      </c>
      <c r="C243" s="66" t="s">
        <v>300</v>
      </c>
      <c r="D243" s="77" t="s">
        <v>177</v>
      </c>
      <c r="E243" s="68" t="s">
        <v>250</v>
      </c>
      <c r="F243" s="69" t="s">
        <v>44</v>
      </c>
      <c r="G243" s="67" t="s">
        <v>305</v>
      </c>
      <c r="H243" s="70" t="s">
        <v>176</v>
      </c>
    </row>
    <row r="244" spans="1:8">
      <c r="A244" s="65" t="s">
        <v>32</v>
      </c>
      <c r="B244" s="66" t="s">
        <v>247</v>
      </c>
      <c r="C244" s="66" t="s">
        <v>310</v>
      </c>
      <c r="D244" s="77" t="s">
        <v>177</v>
      </c>
      <c r="E244" s="68" t="s">
        <v>248</v>
      </c>
      <c r="F244" s="69" t="s">
        <v>183</v>
      </c>
      <c r="G244" s="67" t="s">
        <v>318</v>
      </c>
      <c r="H244" s="70" t="s">
        <v>176</v>
      </c>
    </row>
    <row r="245" spans="1:8" ht="24">
      <c r="A245" s="65" t="s">
        <v>839</v>
      </c>
      <c r="B245" s="66" t="s">
        <v>871</v>
      </c>
      <c r="C245" s="66" t="s">
        <v>871</v>
      </c>
      <c r="D245" s="69" t="s">
        <v>603</v>
      </c>
      <c r="E245" s="80"/>
      <c r="F245" s="69" t="s">
        <v>50</v>
      </c>
      <c r="G245" s="67" t="s">
        <v>876</v>
      </c>
      <c r="H245" s="70" t="s">
        <v>843</v>
      </c>
    </row>
    <row r="246" spans="1:8" ht="24">
      <c r="A246" s="65" t="s">
        <v>972</v>
      </c>
      <c r="B246" s="66" t="s">
        <v>996</v>
      </c>
      <c r="C246" s="66" t="s">
        <v>1003</v>
      </c>
      <c r="D246" s="69" t="s">
        <v>468</v>
      </c>
      <c r="E246" s="80"/>
      <c r="F246" s="69" t="s">
        <v>47</v>
      </c>
      <c r="G246" s="67" t="s">
        <v>1008</v>
      </c>
      <c r="H246" s="70" t="s">
        <v>210</v>
      </c>
    </row>
    <row r="247" spans="1:8">
      <c r="A247" s="65" t="s">
        <v>931</v>
      </c>
      <c r="B247" s="66" t="s">
        <v>932</v>
      </c>
      <c r="C247" s="66" t="s">
        <v>1168</v>
      </c>
      <c r="D247" s="81" t="s">
        <v>935</v>
      </c>
      <c r="E247" s="82" t="s">
        <v>936</v>
      </c>
      <c r="F247" s="69" t="s">
        <v>1169</v>
      </c>
      <c r="G247" s="67" t="s">
        <v>1170</v>
      </c>
      <c r="H247" s="70" t="s">
        <v>176</v>
      </c>
    </row>
    <row r="248" spans="1:8" ht="36">
      <c r="A248" s="65" t="s">
        <v>972</v>
      </c>
      <c r="B248" s="66" t="s">
        <v>1041</v>
      </c>
      <c r="C248" s="66" t="s">
        <v>1079</v>
      </c>
      <c r="D248" s="81" t="s">
        <v>468</v>
      </c>
      <c r="E248" s="80"/>
      <c r="F248" s="69" t="s">
        <v>48</v>
      </c>
      <c r="G248" s="67" t="s">
        <v>1086</v>
      </c>
      <c r="H248" s="70" t="s">
        <v>210</v>
      </c>
    </row>
    <row r="249" spans="1:8" ht="36">
      <c r="A249" s="65" t="s">
        <v>32</v>
      </c>
      <c r="B249" s="66" t="s">
        <v>470</v>
      </c>
      <c r="C249" s="66" t="s">
        <v>592</v>
      </c>
      <c r="D249" s="69" t="s">
        <v>470</v>
      </c>
      <c r="E249" s="80"/>
      <c r="F249" s="69" t="s">
        <v>454</v>
      </c>
      <c r="G249" s="67" t="s">
        <v>593</v>
      </c>
      <c r="H249" s="70" t="s">
        <v>176</v>
      </c>
    </row>
    <row r="250" spans="1:8">
      <c r="A250" s="65" t="s">
        <v>32</v>
      </c>
      <c r="B250" s="66" t="s">
        <v>219</v>
      </c>
      <c r="C250" s="66" t="s">
        <v>219</v>
      </c>
      <c r="D250" s="77" t="s">
        <v>219</v>
      </c>
      <c r="E250" s="68"/>
      <c r="F250" s="69" t="s">
        <v>47</v>
      </c>
      <c r="G250" s="67" t="s">
        <v>246</v>
      </c>
      <c r="H250" s="70" t="s">
        <v>176</v>
      </c>
    </row>
    <row r="251" spans="1:8" ht="24">
      <c r="A251" s="65" t="s">
        <v>32</v>
      </c>
      <c r="B251" s="66" t="s">
        <v>247</v>
      </c>
      <c r="C251" s="66" t="s">
        <v>323</v>
      </c>
      <c r="D251" s="77" t="s">
        <v>247</v>
      </c>
      <c r="E251" s="68"/>
      <c r="F251" s="69" t="s">
        <v>40</v>
      </c>
      <c r="G251" s="67" t="s">
        <v>357</v>
      </c>
      <c r="H251" s="70" t="s">
        <v>210</v>
      </c>
    </row>
    <row r="252" spans="1:8" ht="24">
      <c r="A252" s="65" t="s">
        <v>699</v>
      </c>
      <c r="B252" s="66" t="s">
        <v>720</v>
      </c>
      <c r="C252" s="66" t="s">
        <v>756</v>
      </c>
      <c r="D252" s="69" t="s">
        <v>177</v>
      </c>
      <c r="E252" s="80" t="s">
        <v>751</v>
      </c>
      <c r="F252" s="69" t="s">
        <v>283</v>
      </c>
      <c r="G252" s="67" t="s">
        <v>757</v>
      </c>
      <c r="H252" s="70" t="s">
        <v>176</v>
      </c>
    </row>
    <row r="253" spans="1:8">
      <c r="A253" s="65" t="s">
        <v>603</v>
      </c>
      <c r="B253" s="66" t="s">
        <v>647</v>
      </c>
      <c r="C253" s="66" t="s">
        <v>658</v>
      </c>
      <c r="D253" s="69" t="s">
        <v>603</v>
      </c>
      <c r="E253" s="80"/>
      <c r="F253" s="69" t="s">
        <v>47</v>
      </c>
      <c r="G253" s="67" t="s">
        <v>663</v>
      </c>
      <c r="H253" s="70" t="s">
        <v>210</v>
      </c>
    </row>
    <row r="254" spans="1:8" ht="24">
      <c r="A254" s="65" t="s">
        <v>972</v>
      </c>
      <c r="B254" s="66" t="s">
        <v>996</v>
      </c>
      <c r="C254" s="66" t="s">
        <v>1011</v>
      </c>
      <c r="D254" s="69" t="s">
        <v>996</v>
      </c>
      <c r="E254" s="80"/>
      <c r="F254" s="69" t="s">
        <v>47</v>
      </c>
      <c r="G254" s="67" t="s">
        <v>1034</v>
      </c>
      <c r="H254" s="70" t="s">
        <v>210</v>
      </c>
    </row>
    <row r="255" spans="1:8" ht="24">
      <c r="A255" s="65" t="s">
        <v>699</v>
      </c>
      <c r="B255" s="66" t="s">
        <v>700</v>
      </c>
      <c r="C255" s="66" t="s">
        <v>701</v>
      </c>
      <c r="D255" s="66" t="s">
        <v>700</v>
      </c>
      <c r="E255" s="86"/>
      <c r="F255" s="69" t="s">
        <v>48</v>
      </c>
      <c r="G255" s="67" t="s">
        <v>706</v>
      </c>
      <c r="H255" s="70" t="s">
        <v>176</v>
      </c>
    </row>
    <row r="256" spans="1:8">
      <c r="A256" s="65" t="s">
        <v>699</v>
      </c>
      <c r="B256" s="66" t="s">
        <v>720</v>
      </c>
      <c r="C256" s="66" t="s">
        <v>742</v>
      </c>
      <c r="D256" s="69" t="s">
        <v>720</v>
      </c>
      <c r="E256" s="80"/>
      <c r="F256" s="69" t="s">
        <v>48</v>
      </c>
      <c r="G256" s="67" t="s">
        <v>747</v>
      </c>
      <c r="H256" s="70" t="s">
        <v>176</v>
      </c>
    </row>
    <row r="257" spans="1:8">
      <c r="A257" s="65" t="s">
        <v>839</v>
      </c>
      <c r="B257" s="66" t="s">
        <v>694</v>
      </c>
      <c r="C257" s="66" t="s">
        <v>694</v>
      </c>
      <c r="D257" s="69" t="s">
        <v>822</v>
      </c>
      <c r="E257" s="80"/>
      <c r="F257" s="69" t="s">
        <v>47</v>
      </c>
      <c r="G257" s="67" t="s">
        <v>859</v>
      </c>
      <c r="H257" s="70" t="s">
        <v>860</v>
      </c>
    </row>
    <row r="258" spans="1:8" ht="24">
      <c r="A258" s="65" t="s">
        <v>822</v>
      </c>
      <c r="B258" s="66" t="s">
        <v>822</v>
      </c>
      <c r="C258" s="66" t="s">
        <v>832</v>
      </c>
      <c r="D258" s="69" t="s">
        <v>177</v>
      </c>
      <c r="E258" s="80" t="s">
        <v>466</v>
      </c>
      <c r="F258" s="69" t="s">
        <v>48</v>
      </c>
      <c r="G258" s="67" t="s">
        <v>835</v>
      </c>
      <c r="H258" s="70" t="s">
        <v>210</v>
      </c>
    </row>
    <row r="259" spans="1:8" ht="24">
      <c r="A259" s="65" t="s">
        <v>32</v>
      </c>
      <c r="B259" s="66" t="s">
        <v>470</v>
      </c>
      <c r="C259" s="66" t="s">
        <v>557</v>
      </c>
      <c r="D259" s="69" t="s">
        <v>470</v>
      </c>
      <c r="E259" s="80"/>
      <c r="F259" s="69" t="s">
        <v>47</v>
      </c>
      <c r="G259" s="67" t="s">
        <v>571</v>
      </c>
      <c r="H259" s="70" t="s">
        <v>210</v>
      </c>
    </row>
    <row r="260" spans="1:8" ht="24">
      <c r="A260" s="65" t="s">
        <v>795</v>
      </c>
      <c r="B260" s="66" t="s">
        <v>795</v>
      </c>
      <c r="C260" s="66" t="s">
        <v>796</v>
      </c>
      <c r="D260" s="69" t="s">
        <v>468</v>
      </c>
      <c r="E260" s="80"/>
      <c r="F260" s="69" t="s">
        <v>47</v>
      </c>
      <c r="G260" s="67" t="s">
        <v>807</v>
      </c>
      <c r="H260" s="70" t="s">
        <v>210</v>
      </c>
    </row>
    <row r="261" spans="1:8" ht="24">
      <c r="A261" s="65" t="s">
        <v>32</v>
      </c>
      <c r="B261" s="66" t="s">
        <v>470</v>
      </c>
      <c r="C261" s="66" t="s">
        <v>525</v>
      </c>
      <c r="D261" s="69" t="s">
        <v>470</v>
      </c>
      <c r="E261" s="80"/>
      <c r="F261" s="69" t="s">
        <v>183</v>
      </c>
      <c r="G261" s="67" t="s">
        <v>533</v>
      </c>
      <c r="H261" s="70" t="s">
        <v>176</v>
      </c>
    </row>
    <row r="262" spans="1:8" ht="36">
      <c r="A262" s="65" t="s">
        <v>1206</v>
      </c>
      <c r="B262" s="66" t="s">
        <v>1328</v>
      </c>
      <c r="C262" s="66" t="s">
        <v>1328</v>
      </c>
      <c r="D262" s="69" t="s">
        <v>177</v>
      </c>
      <c r="E262" s="80" t="s">
        <v>1196</v>
      </c>
      <c r="F262" s="69" t="s">
        <v>1237</v>
      </c>
      <c r="G262" s="67" t="s">
        <v>1348</v>
      </c>
      <c r="H262" s="70" t="s">
        <v>176</v>
      </c>
    </row>
    <row r="263" spans="1:8" ht="24">
      <c r="A263" s="65" t="s">
        <v>32</v>
      </c>
      <c r="B263" s="66" t="s">
        <v>172</v>
      </c>
      <c r="C263" s="66" t="s">
        <v>173</v>
      </c>
      <c r="D263" s="69" t="s">
        <v>177</v>
      </c>
      <c r="E263" s="68" t="s">
        <v>178</v>
      </c>
      <c r="F263" s="69" t="s">
        <v>43</v>
      </c>
      <c r="G263" s="67" t="s">
        <v>197</v>
      </c>
      <c r="H263" s="70" t="s">
        <v>176</v>
      </c>
    </row>
    <row r="264" spans="1:8" ht="36">
      <c r="A264" s="65" t="s">
        <v>972</v>
      </c>
      <c r="B264" s="66" t="s">
        <v>1041</v>
      </c>
      <c r="C264" s="66" t="s">
        <v>1079</v>
      </c>
      <c r="D264" s="81" t="s">
        <v>468</v>
      </c>
      <c r="E264" s="80"/>
      <c r="F264" s="69" t="s">
        <v>48</v>
      </c>
      <c r="G264" s="67" t="s">
        <v>1083</v>
      </c>
      <c r="H264" s="70" t="s">
        <v>210</v>
      </c>
    </row>
    <row r="265" spans="1:8" ht="24">
      <c r="A265" s="65" t="s">
        <v>32</v>
      </c>
      <c r="B265" s="66" t="s">
        <v>470</v>
      </c>
      <c r="C265" s="66" t="s">
        <v>473</v>
      </c>
      <c r="D265" s="69" t="s">
        <v>177</v>
      </c>
      <c r="E265" s="80" t="s">
        <v>485</v>
      </c>
      <c r="F265" s="69" t="s">
        <v>43</v>
      </c>
      <c r="G265" s="67" t="s">
        <v>509</v>
      </c>
      <c r="H265" s="70" t="s">
        <v>176</v>
      </c>
    </row>
    <row r="266" spans="1:8" ht="24">
      <c r="A266" s="65" t="s">
        <v>32</v>
      </c>
      <c r="B266" s="66" t="s">
        <v>247</v>
      </c>
      <c r="C266" s="66" t="s">
        <v>300</v>
      </c>
      <c r="D266" s="77" t="s">
        <v>177</v>
      </c>
      <c r="E266" s="68" t="s">
        <v>250</v>
      </c>
      <c r="F266" s="69" t="s">
        <v>44</v>
      </c>
      <c r="G266" s="67" t="s">
        <v>306</v>
      </c>
      <c r="H266" s="70" t="s">
        <v>176</v>
      </c>
    </row>
    <row r="267" spans="1:8" ht="36">
      <c r="A267" s="65" t="s">
        <v>1363</v>
      </c>
      <c r="B267" s="66" t="s">
        <v>1364</v>
      </c>
      <c r="C267" s="66" t="s">
        <v>1364</v>
      </c>
      <c r="D267" s="69" t="s">
        <v>1366</v>
      </c>
      <c r="E267" s="80"/>
      <c r="F267" s="69" t="s">
        <v>986</v>
      </c>
      <c r="G267" s="67" t="s">
        <v>1398</v>
      </c>
      <c r="H267" s="70" t="s">
        <v>176</v>
      </c>
    </row>
    <row r="268" spans="1:8">
      <c r="A268" s="65" t="s">
        <v>32</v>
      </c>
      <c r="B268" s="66" t="s">
        <v>247</v>
      </c>
      <c r="C268" s="66" t="s">
        <v>251</v>
      </c>
      <c r="D268" s="77" t="s">
        <v>177</v>
      </c>
      <c r="E268" s="68" t="s">
        <v>250</v>
      </c>
      <c r="F268" s="69" t="s">
        <v>44</v>
      </c>
      <c r="G268" s="67" t="s">
        <v>258</v>
      </c>
      <c r="H268" s="70" t="s">
        <v>176</v>
      </c>
    </row>
    <row r="269" spans="1:8" ht="36">
      <c r="A269" s="65" t="s">
        <v>1206</v>
      </c>
      <c r="B269" s="66" t="s">
        <v>1303</v>
      </c>
      <c r="C269" s="66" t="s">
        <v>1303</v>
      </c>
      <c r="D269" s="69" t="s">
        <v>177</v>
      </c>
      <c r="E269" s="80" t="s">
        <v>415</v>
      </c>
      <c r="F269" s="69" t="s">
        <v>514</v>
      </c>
      <c r="G269" s="67" t="s">
        <v>1326</v>
      </c>
      <c r="H269" s="70" t="s">
        <v>176</v>
      </c>
    </row>
    <row r="270" spans="1:8" ht="24">
      <c r="A270" s="65" t="s">
        <v>32</v>
      </c>
      <c r="B270" s="66" t="s">
        <v>449</v>
      </c>
      <c r="C270" s="66" t="s">
        <v>458</v>
      </c>
      <c r="D270" s="77" t="s">
        <v>177</v>
      </c>
      <c r="E270" s="68" t="s">
        <v>466</v>
      </c>
      <c r="F270" s="69" t="s">
        <v>47</v>
      </c>
      <c r="G270" s="67" t="s">
        <v>469</v>
      </c>
      <c r="H270" s="70" t="s">
        <v>210</v>
      </c>
    </row>
    <row r="271" spans="1:8" ht="24">
      <c r="A271" s="65" t="s">
        <v>795</v>
      </c>
      <c r="B271" s="66" t="s">
        <v>795</v>
      </c>
      <c r="C271" s="66" t="s">
        <v>796</v>
      </c>
      <c r="D271" s="69" t="s">
        <v>177</v>
      </c>
      <c r="E271" s="80" t="s">
        <v>466</v>
      </c>
      <c r="F271" s="69" t="s">
        <v>47</v>
      </c>
      <c r="G271" s="67" t="s">
        <v>816</v>
      </c>
      <c r="H271" s="70" t="s">
        <v>210</v>
      </c>
    </row>
    <row r="272" spans="1:8">
      <c r="A272" s="65" t="s">
        <v>32</v>
      </c>
      <c r="B272" s="66" t="s">
        <v>247</v>
      </c>
      <c r="C272" s="66" t="s">
        <v>268</v>
      </c>
      <c r="D272" s="77" t="s">
        <v>177</v>
      </c>
      <c r="E272" s="68" t="s">
        <v>250</v>
      </c>
      <c r="F272" s="69" t="s">
        <v>51</v>
      </c>
      <c r="G272" s="67" t="s">
        <v>269</v>
      </c>
      <c r="H272" s="70" t="s">
        <v>176</v>
      </c>
    </row>
    <row r="273" spans="1:8" ht="24">
      <c r="A273" s="65" t="s">
        <v>603</v>
      </c>
      <c r="B273" s="66" t="s">
        <v>647</v>
      </c>
      <c r="C273" s="66" t="s">
        <v>654</v>
      </c>
      <c r="D273" s="69" t="s">
        <v>603</v>
      </c>
      <c r="E273" s="80"/>
      <c r="F273" s="69" t="s">
        <v>51</v>
      </c>
      <c r="G273" s="67" t="s">
        <v>655</v>
      </c>
      <c r="H273" s="70" t="s">
        <v>210</v>
      </c>
    </row>
    <row r="274" spans="1:8" ht="24">
      <c r="A274" s="65" t="s">
        <v>32</v>
      </c>
      <c r="B274" s="66" t="s">
        <v>247</v>
      </c>
      <c r="C274" s="66" t="s">
        <v>323</v>
      </c>
      <c r="D274" s="77" t="s">
        <v>177</v>
      </c>
      <c r="E274" s="68" t="s">
        <v>250</v>
      </c>
      <c r="F274" s="69" t="s">
        <v>46</v>
      </c>
      <c r="G274" s="67" t="s">
        <v>329</v>
      </c>
      <c r="H274" s="70" t="s">
        <v>176</v>
      </c>
    </row>
    <row r="275" spans="1:8" ht="24">
      <c r="A275" s="65" t="s">
        <v>972</v>
      </c>
      <c r="B275" s="66" t="s">
        <v>840</v>
      </c>
      <c r="C275" s="66" t="str">
        <f>B275</f>
        <v>Администрация</v>
      </c>
      <c r="D275" s="81" t="s">
        <v>974</v>
      </c>
      <c r="E275" s="80"/>
      <c r="F275" s="69" t="s">
        <v>977</v>
      </c>
      <c r="G275" s="67" t="s">
        <v>978</v>
      </c>
      <c r="H275" s="70" t="s">
        <v>210</v>
      </c>
    </row>
    <row r="276" spans="1:8" ht="24">
      <c r="A276" s="65" t="s">
        <v>32</v>
      </c>
      <c r="B276" s="66" t="s">
        <v>247</v>
      </c>
      <c r="C276" s="66" t="s">
        <v>383</v>
      </c>
      <c r="D276" s="79" t="s">
        <v>177</v>
      </c>
      <c r="E276" s="68" t="s">
        <v>250</v>
      </c>
      <c r="F276" s="69" t="s">
        <v>51</v>
      </c>
      <c r="G276" s="67" t="s">
        <v>384</v>
      </c>
      <c r="H276" s="70" t="s">
        <v>176</v>
      </c>
    </row>
    <row r="277" spans="1:8" ht="36">
      <c r="A277" s="65" t="s">
        <v>1413</v>
      </c>
      <c r="B277" s="66" t="s">
        <v>1413</v>
      </c>
      <c r="C277" s="66" t="s">
        <v>1418</v>
      </c>
      <c r="D277" s="81" t="s">
        <v>177</v>
      </c>
      <c r="E277" s="80" t="s">
        <v>1415</v>
      </c>
      <c r="F277" s="69" t="s">
        <v>46</v>
      </c>
      <c r="G277" s="67" t="s">
        <v>1423</v>
      </c>
      <c r="H277" s="70" t="s">
        <v>176</v>
      </c>
    </row>
    <row r="278" spans="1:8" ht="24">
      <c r="A278" s="65" t="s">
        <v>32</v>
      </c>
      <c r="B278" s="66" t="s">
        <v>247</v>
      </c>
      <c r="C278" s="66" t="s">
        <v>268</v>
      </c>
      <c r="D278" s="77" t="s">
        <v>177</v>
      </c>
      <c r="E278" s="68" t="s">
        <v>248</v>
      </c>
      <c r="F278" s="69" t="s">
        <v>45</v>
      </c>
      <c r="G278" s="67" t="s">
        <v>271</v>
      </c>
      <c r="H278" s="70" t="s">
        <v>176</v>
      </c>
    </row>
    <row r="279" spans="1:8" ht="36">
      <c r="A279" s="65" t="s">
        <v>1206</v>
      </c>
      <c r="B279" s="66" t="s">
        <v>1254</v>
      </c>
      <c r="C279" s="66" t="s">
        <v>1254</v>
      </c>
      <c r="D279" s="69" t="s">
        <v>177</v>
      </c>
      <c r="E279" s="80" t="s">
        <v>248</v>
      </c>
      <c r="F279" s="69" t="s">
        <v>1237</v>
      </c>
      <c r="G279" s="67" t="s">
        <v>1275</v>
      </c>
      <c r="H279" s="70" t="s">
        <v>176</v>
      </c>
    </row>
    <row r="280" spans="1:8" ht="24">
      <c r="A280" s="65" t="s">
        <v>32</v>
      </c>
      <c r="B280" s="66" t="s">
        <v>470</v>
      </c>
      <c r="C280" s="66" t="s">
        <v>588</v>
      </c>
      <c r="D280" s="69" t="s">
        <v>177</v>
      </c>
      <c r="E280" s="80" t="s">
        <v>566</v>
      </c>
      <c r="F280" s="69" t="s">
        <v>50</v>
      </c>
      <c r="G280" s="67" t="s">
        <v>598</v>
      </c>
      <c r="H280" s="70" t="s">
        <v>176</v>
      </c>
    </row>
    <row r="281" spans="1:8" ht="36">
      <c r="A281" s="65" t="s">
        <v>972</v>
      </c>
      <c r="B281" s="66" t="s">
        <v>1041</v>
      </c>
      <c r="C281" s="66" t="s">
        <v>1079</v>
      </c>
      <c r="D281" s="81" t="s">
        <v>468</v>
      </c>
      <c r="E281" s="80"/>
      <c r="F281" s="69" t="s">
        <v>48</v>
      </c>
      <c r="G281" s="67" t="s">
        <v>1088</v>
      </c>
      <c r="H281" s="70" t="s">
        <v>210</v>
      </c>
    </row>
    <row r="282" spans="1:8" ht="24">
      <c r="A282" s="65" t="s">
        <v>908</v>
      </c>
      <c r="B282" s="66" t="s">
        <v>829</v>
      </c>
      <c r="C282" s="66" t="s">
        <v>829</v>
      </c>
      <c r="D282" s="69" t="s">
        <v>822</v>
      </c>
      <c r="E282" s="80"/>
      <c r="F282" s="69" t="s">
        <v>937</v>
      </c>
      <c r="G282" s="67" t="s">
        <v>938</v>
      </c>
      <c r="H282" s="70" t="s">
        <v>910</v>
      </c>
    </row>
    <row r="283" spans="1:8">
      <c r="A283" s="65" t="s">
        <v>699</v>
      </c>
      <c r="B283" s="66" t="s">
        <v>720</v>
      </c>
      <c r="C283" s="66" t="s">
        <v>723</v>
      </c>
      <c r="D283" s="69" t="s">
        <v>720</v>
      </c>
      <c r="E283" s="80"/>
      <c r="F283" s="69" t="s">
        <v>47</v>
      </c>
      <c r="G283" s="67" t="s">
        <v>729</v>
      </c>
      <c r="H283" s="70" t="s">
        <v>176</v>
      </c>
    </row>
    <row r="284" spans="1:8" ht="36">
      <c r="A284" s="65" t="s">
        <v>931</v>
      </c>
      <c r="B284" s="66" t="s">
        <v>932</v>
      </c>
      <c r="C284" s="66" t="s">
        <v>1176</v>
      </c>
      <c r="D284" s="81" t="s">
        <v>935</v>
      </c>
      <c r="E284" s="82" t="s">
        <v>936</v>
      </c>
      <c r="F284" s="69" t="s">
        <v>1178</v>
      </c>
      <c r="G284" s="67" t="s">
        <v>1189</v>
      </c>
      <c r="H284" s="70" t="s">
        <v>176</v>
      </c>
    </row>
    <row r="285" spans="1:8" ht="36">
      <c r="A285" s="65" t="s">
        <v>1363</v>
      </c>
      <c r="B285" s="66" t="s">
        <v>1364</v>
      </c>
      <c r="C285" s="66" t="s">
        <v>1364</v>
      </c>
      <c r="D285" s="69" t="s">
        <v>739</v>
      </c>
      <c r="E285" s="80" t="s">
        <v>740</v>
      </c>
      <c r="F285" s="69" t="s">
        <v>1396</v>
      </c>
      <c r="G285" s="67" t="s">
        <v>1397</v>
      </c>
      <c r="H285" s="70" t="s">
        <v>176</v>
      </c>
    </row>
    <row r="286" spans="1:8" ht="24">
      <c r="A286" s="65" t="s">
        <v>693</v>
      </c>
      <c r="B286" s="66" t="s">
        <v>694</v>
      </c>
      <c r="C286" s="66" t="s">
        <v>694</v>
      </c>
      <c r="D286" s="69" t="s">
        <v>603</v>
      </c>
      <c r="E286" s="80"/>
      <c r="F286" s="69" t="s">
        <v>695</v>
      </c>
      <c r="G286" s="67" t="s">
        <v>696</v>
      </c>
      <c r="H286" s="70" t="s">
        <v>243</v>
      </c>
    </row>
    <row r="287" spans="1:8" ht="36">
      <c r="A287" s="65" t="s">
        <v>32</v>
      </c>
      <c r="B287" s="66" t="s">
        <v>408</v>
      </c>
      <c r="C287" s="66" t="s">
        <v>413</v>
      </c>
      <c r="D287" s="77" t="s">
        <v>410</v>
      </c>
      <c r="E287" s="68"/>
      <c r="F287" s="69" t="s">
        <v>48</v>
      </c>
      <c r="G287" s="67" t="s">
        <v>420</v>
      </c>
      <c r="H287" s="70" t="s">
        <v>176</v>
      </c>
    </row>
    <row r="288" spans="1:8" ht="24">
      <c r="A288" s="65" t="s">
        <v>839</v>
      </c>
      <c r="B288" s="66" t="s">
        <v>871</v>
      </c>
      <c r="C288" s="66" t="s">
        <v>871</v>
      </c>
      <c r="D288" s="69" t="s">
        <v>603</v>
      </c>
      <c r="E288" s="80"/>
      <c r="F288" s="69" t="s">
        <v>50</v>
      </c>
      <c r="G288" s="67" t="s">
        <v>891</v>
      </c>
      <c r="H288" s="70" t="s">
        <v>860</v>
      </c>
    </row>
    <row r="289" spans="1:8">
      <c r="A289" s="65" t="s">
        <v>32</v>
      </c>
      <c r="B289" s="66" t="s">
        <v>219</v>
      </c>
      <c r="C289" s="66" t="s">
        <v>219</v>
      </c>
      <c r="D289" s="77" t="s">
        <v>177</v>
      </c>
      <c r="E289" s="80" t="s">
        <v>220</v>
      </c>
      <c r="F289" s="69" t="s">
        <v>222</v>
      </c>
      <c r="G289" s="67" t="s">
        <v>223</v>
      </c>
      <c r="H289" s="70" t="s">
        <v>176</v>
      </c>
    </row>
    <row r="290" spans="1:8" ht="36">
      <c r="A290" s="65" t="s">
        <v>32</v>
      </c>
      <c r="B290" s="66" t="s">
        <v>449</v>
      </c>
      <c r="C290" s="66" t="s">
        <v>453</v>
      </c>
      <c r="D290" s="77" t="s">
        <v>451</v>
      </c>
      <c r="E290" s="68"/>
      <c r="F290" s="69" t="s">
        <v>454</v>
      </c>
      <c r="G290" s="67" t="s">
        <v>455</v>
      </c>
      <c r="H290" s="70" t="s">
        <v>176</v>
      </c>
    </row>
    <row r="291" spans="1:8" ht="24">
      <c r="A291" s="65" t="s">
        <v>32</v>
      </c>
      <c r="B291" s="66" t="s">
        <v>247</v>
      </c>
      <c r="C291" s="66" t="s">
        <v>383</v>
      </c>
      <c r="D291" s="77" t="s">
        <v>247</v>
      </c>
      <c r="E291" s="68"/>
      <c r="F291" s="69" t="s">
        <v>183</v>
      </c>
      <c r="G291" s="67" t="s">
        <v>397</v>
      </c>
      <c r="H291" s="70" t="s">
        <v>176</v>
      </c>
    </row>
    <row r="292" spans="1:8">
      <c r="A292" s="65" t="s">
        <v>903</v>
      </c>
      <c r="B292" s="66" t="s">
        <v>694</v>
      </c>
      <c r="C292" s="66" t="s">
        <v>694</v>
      </c>
      <c r="D292" s="69" t="s">
        <v>822</v>
      </c>
      <c r="E292" s="80"/>
      <c r="F292" s="69" t="s">
        <v>47</v>
      </c>
      <c r="G292" s="69" t="s">
        <v>906</v>
      </c>
      <c r="H292" s="70" t="s">
        <v>905</v>
      </c>
    </row>
    <row r="293" spans="1:8" ht="24">
      <c r="A293" s="65" t="s">
        <v>603</v>
      </c>
      <c r="B293" s="66" t="s">
        <v>610</v>
      </c>
      <c r="C293" s="66" t="s">
        <v>613</v>
      </c>
      <c r="D293" s="81" t="s">
        <v>603</v>
      </c>
      <c r="E293" s="68"/>
      <c r="F293" s="69" t="s">
        <v>48</v>
      </c>
      <c r="G293" s="69" t="s">
        <v>615</v>
      </c>
      <c r="H293" s="70" t="s">
        <v>176</v>
      </c>
    </row>
    <row r="294" spans="1:8">
      <c r="A294" s="65" t="s">
        <v>32</v>
      </c>
      <c r="B294" s="66" t="s">
        <v>247</v>
      </c>
      <c r="C294" s="66" t="s">
        <v>251</v>
      </c>
      <c r="D294" s="77" t="s">
        <v>177</v>
      </c>
      <c r="E294" s="68" t="s">
        <v>250</v>
      </c>
      <c r="F294" s="69" t="s">
        <v>43</v>
      </c>
      <c r="G294" s="69" t="s">
        <v>260</v>
      </c>
      <c r="H294" s="70" t="s">
        <v>176</v>
      </c>
    </row>
    <row r="295" spans="1:8" ht="36">
      <c r="A295" s="65" t="s">
        <v>1206</v>
      </c>
      <c r="B295" s="66" t="s">
        <v>1254</v>
      </c>
      <c r="C295" s="66" t="s">
        <v>1254</v>
      </c>
      <c r="D295" s="69" t="s">
        <v>470</v>
      </c>
      <c r="E295" s="80"/>
      <c r="F295" s="69" t="s">
        <v>1237</v>
      </c>
      <c r="G295" s="67" t="s">
        <v>1266</v>
      </c>
      <c r="H295" s="70" t="s">
        <v>176</v>
      </c>
    </row>
    <row r="296" spans="1:8" ht="24">
      <c r="A296" s="65" t="s">
        <v>32</v>
      </c>
      <c r="B296" s="66" t="s">
        <v>470</v>
      </c>
      <c r="C296" s="66" t="s">
        <v>557</v>
      </c>
      <c r="D296" s="69" t="s">
        <v>470</v>
      </c>
      <c r="E296" s="80"/>
      <c r="F296" s="69" t="s">
        <v>518</v>
      </c>
      <c r="G296" s="67" t="s">
        <v>574</v>
      </c>
      <c r="H296" s="70" t="s">
        <v>210</v>
      </c>
    </row>
    <row r="297" spans="1:8" ht="24">
      <c r="A297" s="65" t="s">
        <v>972</v>
      </c>
      <c r="B297" s="66" t="s">
        <v>996</v>
      </c>
      <c r="C297" s="66" t="s">
        <v>1011</v>
      </c>
      <c r="D297" s="69" t="s">
        <v>468</v>
      </c>
      <c r="E297" s="80"/>
      <c r="F297" s="69" t="s">
        <v>50</v>
      </c>
      <c r="G297" s="67" t="s">
        <v>1030</v>
      </c>
      <c r="H297" s="70" t="s">
        <v>210</v>
      </c>
    </row>
    <row r="298" spans="1:8" ht="36">
      <c r="A298" s="65" t="s">
        <v>1413</v>
      </c>
      <c r="B298" s="66" t="s">
        <v>1413</v>
      </c>
      <c r="C298" s="66" t="s">
        <v>1443</v>
      </c>
      <c r="D298" s="91" t="s">
        <v>177</v>
      </c>
      <c r="E298" s="80" t="s">
        <v>1307</v>
      </c>
      <c r="F298" s="69" t="s">
        <v>44</v>
      </c>
      <c r="G298" s="67" t="s">
        <v>1445</v>
      </c>
      <c r="H298" s="70" t="s">
        <v>176</v>
      </c>
    </row>
    <row r="299" spans="1:8" ht="36">
      <c r="A299" s="65" t="s">
        <v>908</v>
      </c>
      <c r="B299" s="66" t="s">
        <v>918</v>
      </c>
      <c r="C299" s="66" t="s">
        <v>918</v>
      </c>
      <c r="D299" s="69" t="s">
        <v>603</v>
      </c>
      <c r="E299" s="80"/>
      <c r="F299" s="69" t="s">
        <v>919</v>
      </c>
      <c r="G299" s="67" t="s">
        <v>920</v>
      </c>
      <c r="H299" s="70" t="s">
        <v>910</v>
      </c>
    </row>
    <row r="300" spans="1:8">
      <c r="A300" s="65" t="s">
        <v>603</v>
      </c>
      <c r="B300" s="66" t="s">
        <v>634</v>
      </c>
      <c r="C300" s="66" t="s">
        <v>634</v>
      </c>
      <c r="D300" s="81" t="s">
        <v>468</v>
      </c>
      <c r="E300" s="80"/>
      <c r="F300" s="69" t="s">
        <v>48</v>
      </c>
      <c r="G300" s="67" t="s">
        <v>642</v>
      </c>
      <c r="H300" s="70" t="s">
        <v>210</v>
      </c>
    </row>
    <row r="301" spans="1:8">
      <c r="A301" s="65" t="s">
        <v>908</v>
      </c>
      <c r="B301" s="66" t="s">
        <v>672</v>
      </c>
      <c r="C301" s="66" t="s">
        <v>943</v>
      </c>
      <c r="D301" s="66" t="s">
        <v>603</v>
      </c>
      <c r="E301" s="86"/>
      <c r="F301" s="69" t="s">
        <v>48</v>
      </c>
      <c r="G301" s="67" t="s">
        <v>946</v>
      </c>
      <c r="H301" s="70" t="s">
        <v>910</v>
      </c>
    </row>
    <row r="302" spans="1:8" ht="36">
      <c r="A302" s="65" t="s">
        <v>1206</v>
      </c>
      <c r="B302" s="66" t="s">
        <v>1244</v>
      </c>
      <c r="C302" s="66" t="s">
        <v>1244</v>
      </c>
      <c r="D302" s="66" t="s">
        <v>739</v>
      </c>
      <c r="E302" s="86" t="s">
        <v>740</v>
      </c>
      <c r="F302" s="69" t="s">
        <v>460</v>
      </c>
      <c r="G302" s="67" t="s">
        <v>1247</v>
      </c>
      <c r="H302" s="70" t="s">
        <v>176</v>
      </c>
    </row>
    <row r="303" spans="1:8" ht="24">
      <c r="A303" s="65" t="s">
        <v>699</v>
      </c>
      <c r="B303" s="66" t="s">
        <v>720</v>
      </c>
      <c r="C303" s="66" t="s">
        <v>756</v>
      </c>
      <c r="D303" s="66" t="s">
        <v>177</v>
      </c>
      <c r="E303" s="86" t="s">
        <v>466</v>
      </c>
      <c r="F303" s="69" t="s">
        <v>283</v>
      </c>
      <c r="G303" s="67" t="s">
        <v>760</v>
      </c>
      <c r="H303" s="70" t="s">
        <v>176</v>
      </c>
    </row>
    <row r="304" spans="1:8" ht="36">
      <c r="A304" s="65" t="s">
        <v>1206</v>
      </c>
      <c r="B304" s="66" t="s">
        <v>1254</v>
      </c>
      <c r="C304" s="66" t="s">
        <v>1254</v>
      </c>
      <c r="D304" s="66" t="s">
        <v>177</v>
      </c>
      <c r="E304" s="86" t="s">
        <v>1267</v>
      </c>
      <c r="F304" s="69" t="s">
        <v>46</v>
      </c>
      <c r="G304" s="67" t="s">
        <v>1273</v>
      </c>
      <c r="H304" s="70" t="s">
        <v>176</v>
      </c>
    </row>
    <row r="305" spans="1:8" ht="36">
      <c r="A305" s="65" t="s">
        <v>1206</v>
      </c>
      <c r="B305" s="66" t="s">
        <v>1328</v>
      </c>
      <c r="C305" s="66" t="s">
        <v>1328</v>
      </c>
      <c r="D305" s="69" t="s">
        <v>909</v>
      </c>
      <c r="E305" s="80"/>
      <c r="F305" s="69" t="s">
        <v>44</v>
      </c>
      <c r="G305" s="67" t="s">
        <v>1338</v>
      </c>
      <c r="H305" s="70" t="s">
        <v>176</v>
      </c>
    </row>
    <row r="306" spans="1:8">
      <c r="A306" s="65" t="s">
        <v>603</v>
      </c>
      <c r="B306" s="66" t="s">
        <v>647</v>
      </c>
      <c r="C306" s="66" t="s">
        <v>666</v>
      </c>
      <c r="D306" s="69" t="s">
        <v>603</v>
      </c>
      <c r="E306" s="80"/>
      <c r="F306" s="69" t="s">
        <v>48</v>
      </c>
      <c r="G306" s="67" t="s">
        <v>667</v>
      </c>
      <c r="H306" s="70" t="s">
        <v>210</v>
      </c>
    </row>
    <row r="307" spans="1:8" ht="24">
      <c r="A307" s="65" t="s">
        <v>32</v>
      </c>
      <c r="B307" s="66" t="s">
        <v>449</v>
      </c>
      <c r="C307" s="66" t="s">
        <v>456</v>
      </c>
      <c r="D307" s="85" t="s">
        <v>451</v>
      </c>
      <c r="E307" s="75"/>
      <c r="F307" s="69" t="s">
        <v>51</v>
      </c>
      <c r="G307" s="67" t="s">
        <v>457</v>
      </c>
      <c r="H307" s="70" t="s">
        <v>176</v>
      </c>
    </row>
    <row r="308" spans="1:8" ht="36">
      <c r="A308" s="65" t="s">
        <v>1206</v>
      </c>
      <c r="B308" s="66" t="s">
        <v>1303</v>
      </c>
      <c r="C308" s="66" t="s">
        <v>1303</v>
      </c>
      <c r="D308" s="66" t="s">
        <v>177</v>
      </c>
      <c r="E308" s="86" t="s">
        <v>248</v>
      </c>
      <c r="F308" s="69" t="s">
        <v>514</v>
      </c>
      <c r="G308" s="67" t="s">
        <v>1319</v>
      </c>
      <c r="H308" s="70" t="s">
        <v>176</v>
      </c>
    </row>
    <row r="309" spans="1:8" ht="24">
      <c r="A309" s="65" t="s">
        <v>972</v>
      </c>
      <c r="B309" s="66" t="s">
        <v>996</v>
      </c>
      <c r="C309" s="66" t="s">
        <v>1011</v>
      </c>
      <c r="D309" s="66" t="s">
        <v>996</v>
      </c>
      <c r="E309" s="86"/>
      <c r="F309" s="69" t="s">
        <v>48</v>
      </c>
      <c r="G309" s="67" t="s">
        <v>1022</v>
      </c>
      <c r="H309" s="70" t="s">
        <v>176</v>
      </c>
    </row>
    <row r="310" spans="1:8" ht="36">
      <c r="A310" s="65" t="s">
        <v>1206</v>
      </c>
      <c r="B310" s="66" t="s">
        <v>1254</v>
      </c>
      <c r="C310" s="66" t="s">
        <v>1254</v>
      </c>
      <c r="D310" s="66" t="s">
        <v>470</v>
      </c>
      <c r="E310" s="86"/>
      <c r="F310" s="69" t="s">
        <v>1237</v>
      </c>
      <c r="G310" s="67" t="s">
        <v>1272</v>
      </c>
      <c r="H310" s="70" t="s">
        <v>176</v>
      </c>
    </row>
    <row r="311" spans="1:8" ht="24">
      <c r="A311" s="65" t="s">
        <v>32</v>
      </c>
      <c r="B311" s="66" t="s">
        <v>470</v>
      </c>
      <c r="C311" s="66" t="s">
        <v>473</v>
      </c>
      <c r="D311" s="66" t="s">
        <v>177</v>
      </c>
      <c r="E311" s="86" t="s">
        <v>476</v>
      </c>
      <c r="F311" s="69" t="s">
        <v>46</v>
      </c>
      <c r="G311" s="67" t="s">
        <v>502</v>
      </c>
      <c r="H311" s="70" t="s">
        <v>176</v>
      </c>
    </row>
    <row r="312" spans="1:8" ht="24">
      <c r="A312" s="65" t="s">
        <v>32</v>
      </c>
      <c r="B312" s="66" t="s">
        <v>470</v>
      </c>
      <c r="C312" s="66" t="s">
        <v>473</v>
      </c>
      <c r="D312" s="66" t="s">
        <v>177</v>
      </c>
      <c r="E312" s="86" t="s">
        <v>485</v>
      </c>
      <c r="F312" s="69" t="s">
        <v>183</v>
      </c>
      <c r="G312" s="67" t="s">
        <v>496</v>
      </c>
      <c r="H312" s="70" t="s">
        <v>176</v>
      </c>
    </row>
    <row r="313" spans="1:8" ht="36">
      <c r="A313" s="65" t="s">
        <v>1206</v>
      </c>
      <c r="B313" s="66" t="s">
        <v>1244</v>
      </c>
      <c r="C313" s="66" t="s">
        <v>1244</v>
      </c>
      <c r="D313" s="66" t="s">
        <v>739</v>
      </c>
      <c r="E313" s="86" t="s">
        <v>740</v>
      </c>
      <c r="F313" s="69" t="s">
        <v>181</v>
      </c>
      <c r="G313" s="67" t="s">
        <v>1248</v>
      </c>
      <c r="H313" s="70" t="s">
        <v>176</v>
      </c>
    </row>
    <row r="314" spans="1:8" ht="24">
      <c r="A314" s="65" t="s">
        <v>32</v>
      </c>
      <c r="B314" s="66" t="s">
        <v>470</v>
      </c>
      <c r="C314" s="66" t="s">
        <v>534</v>
      </c>
      <c r="D314" s="66" t="s">
        <v>470</v>
      </c>
      <c r="E314" s="86"/>
      <c r="F314" s="69" t="s">
        <v>48</v>
      </c>
      <c r="G314" s="67" t="s">
        <v>549</v>
      </c>
      <c r="H314" s="70" t="s">
        <v>176</v>
      </c>
    </row>
    <row r="315" spans="1:8" ht="24">
      <c r="A315" s="65" t="s">
        <v>32</v>
      </c>
      <c r="B315" s="66" t="s">
        <v>470</v>
      </c>
      <c r="C315" s="66" t="s">
        <v>534</v>
      </c>
      <c r="D315" s="66" t="s">
        <v>470</v>
      </c>
      <c r="E315" s="86"/>
      <c r="F315" s="69" t="s">
        <v>47</v>
      </c>
      <c r="G315" s="67" t="s">
        <v>555</v>
      </c>
      <c r="H315" s="70" t="s">
        <v>176</v>
      </c>
    </row>
    <row r="316" spans="1:8">
      <c r="A316" s="65" t="s">
        <v>603</v>
      </c>
      <c r="B316" s="66" t="s">
        <v>634</v>
      </c>
      <c r="C316" s="66" t="s">
        <v>634</v>
      </c>
      <c r="D316" s="69" t="s">
        <v>603</v>
      </c>
      <c r="E316" s="80"/>
      <c r="F316" s="69" t="s">
        <v>48</v>
      </c>
      <c r="G316" s="67" t="s">
        <v>638</v>
      </c>
      <c r="H316" s="70" t="s">
        <v>210</v>
      </c>
    </row>
    <row r="317" spans="1:8" ht="36">
      <c r="A317" s="65" t="s">
        <v>972</v>
      </c>
      <c r="B317" s="66" t="s">
        <v>1041</v>
      </c>
      <c r="C317" s="66" t="s">
        <v>1079</v>
      </c>
      <c r="D317" s="81" t="s">
        <v>468</v>
      </c>
      <c r="E317" s="80"/>
      <c r="F317" s="69" t="s">
        <v>48</v>
      </c>
      <c r="G317" s="67" t="s">
        <v>1085</v>
      </c>
      <c r="H317" s="70" t="s">
        <v>210</v>
      </c>
    </row>
    <row r="318" spans="1:8" ht="24">
      <c r="A318" s="65" t="s">
        <v>32</v>
      </c>
      <c r="B318" s="66" t="s">
        <v>470</v>
      </c>
      <c r="C318" s="66" t="s">
        <v>473</v>
      </c>
      <c r="D318" s="69" t="s">
        <v>470</v>
      </c>
      <c r="E318" s="80"/>
      <c r="F318" s="69" t="s">
        <v>183</v>
      </c>
      <c r="G318" s="67" t="s">
        <v>489</v>
      </c>
      <c r="H318" s="70" t="s">
        <v>176</v>
      </c>
    </row>
    <row r="319" spans="1:8" ht="24">
      <c r="A319" s="65" t="s">
        <v>32</v>
      </c>
      <c r="B319" s="66" t="s">
        <v>470</v>
      </c>
      <c r="C319" s="66" t="s">
        <v>473</v>
      </c>
      <c r="D319" s="69" t="s">
        <v>177</v>
      </c>
      <c r="E319" s="80" t="s">
        <v>510</v>
      </c>
      <c r="F319" s="69" t="s">
        <v>43</v>
      </c>
      <c r="G319" s="67" t="s">
        <v>511</v>
      </c>
      <c r="H319" s="70" t="s">
        <v>176</v>
      </c>
    </row>
    <row r="320" spans="1:8">
      <c r="A320" s="65" t="s">
        <v>699</v>
      </c>
      <c r="B320" s="66" t="s">
        <v>720</v>
      </c>
      <c r="C320" s="66" t="s">
        <v>742</v>
      </c>
      <c r="D320" s="69" t="s">
        <v>720</v>
      </c>
      <c r="E320" s="80"/>
      <c r="F320" s="69" t="s">
        <v>48</v>
      </c>
      <c r="G320" s="67" t="s">
        <v>748</v>
      </c>
      <c r="H320" s="70" t="s">
        <v>176</v>
      </c>
    </row>
    <row r="321" spans="1:8">
      <c r="A321" s="65" t="s">
        <v>908</v>
      </c>
      <c r="B321" s="66" t="s">
        <v>951</v>
      </c>
      <c r="C321" s="66" t="s">
        <v>952</v>
      </c>
      <c r="D321" s="69" t="s">
        <v>603</v>
      </c>
      <c r="E321" s="80"/>
      <c r="F321" s="69" t="s">
        <v>48</v>
      </c>
      <c r="G321" s="69" t="s">
        <v>954</v>
      </c>
      <c r="H321" s="70" t="s">
        <v>910</v>
      </c>
    </row>
    <row r="322" spans="1:8" ht="24">
      <c r="A322" s="65" t="s">
        <v>32</v>
      </c>
      <c r="B322" s="66" t="s">
        <v>247</v>
      </c>
      <c r="C322" s="66" t="s">
        <v>268</v>
      </c>
      <c r="D322" s="77" t="s">
        <v>247</v>
      </c>
      <c r="E322" s="68"/>
      <c r="F322" s="69" t="s">
        <v>183</v>
      </c>
      <c r="G322" s="69" t="s">
        <v>281</v>
      </c>
      <c r="H322" s="70" t="s">
        <v>176</v>
      </c>
    </row>
    <row r="323" spans="1:8">
      <c r="A323" s="65" t="s">
        <v>32</v>
      </c>
      <c r="B323" s="66" t="s">
        <v>247</v>
      </c>
      <c r="C323" s="66" t="s">
        <v>268</v>
      </c>
      <c r="D323" s="77" t="s">
        <v>177</v>
      </c>
      <c r="E323" s="68" t="s">
        <v>250</v>
      </c>
      <c r="F323" s="69" t="s">
        <v>285</v>
      </c>
      <c r="G323" s="67" t="s">
        <v>287</v>
      </c>
      <c r="H323" s="70" t="s">
        <v>176</v>
      </c>
    </row>
    <row r="324" spans="1:8" ht="24">
      <c r="A324" s="65" t="s">
        <v>32</v>
      </c>
      <c r="B324" s="66" t="s">
        <v>247</v>
      </c>
      <c r="C324" s="66" t="s">
        <v>251</v>
      </c>
      <c r="D324" s="77" t="s">
        <v>177</v>
      </c>
      <c r="E324" s="68" t="s">
        <v>250</v>
      </c>
      <c r="F324" s="69" t="s">
        <v>183</v>
      </c>
      <c r="G324" s="67" t="s">
        <v>257</v>
      </c>
      <c r="H324" s="70" t="s">
        <v>176</v>
      </c>
    </row>
    <row r="325" spans="1:8" ht="24">
      <c r="A325" s="65" t="s">
        <v>32</v>
      </c>
      <c r="B325" s="66" t="s">
        <v>172</v>
      </c>
      <c r="C325" s="66" t="s">
        <v>173</v>
      </c>
      <c r="D325" s="69" t="s">
        <v>172</v>
      </c>
      <c r="E325" s="68"/>
      <c r="F325" s="69" t="s">
        <v>183</v>
      </c>
      <c r="G325" s="67" t="s">
        <v>186</v>
      </c>
      <c r="H325" s="70" t="s">
        <v>176</v>
      </c>
    </row>
    <row r="326" spans="1:8" ht="36">
      <c r="A326" s="65" t="s">
        <v>1206</v>
      </c>
      <c r="B326" s="66" t="s">
        <v>1286</v>
      </c>
      <c r="C326" s="66" t="s">
        <v>1286</v>
      </c>
      <c r="D326" s="69" t="s">
        <v>603</v>
      </c>
      <c r="E326" s="80"/>
      <c r="F326" s="69" t="s">
        <v>1237</v>
      </c>
      <c r="G326" s="67" t="s">
        <v>1289</v>
      </c>
      <c r="H326" s="70" t="s">
        <v>176</v>
      </c>
    </row>
    <row r="327" spans="1:8" ht="24">
      <c r="A327" s="65" t="s">
        <v>699</v>
      </c>
      <c r="B327" s="66" t="s">
        <v>703</v>
      </c>
      <c r="C327" s="66" t="s">
        <v>782</v>
      </c>
      <c r="D327" s="69" t="s">
        <v>720</v>
      </c>
      <c r="E327" s="80"/>
      <c r="F327" s="69" t="s">
        <v>48</v>
      </c>
      <c r="G327" s="67" t="s">
        <v>787</v>
      </c>
      <c r="H327" s="70" t="s">
        <v>176</v>
      </c>
    </row>
    <row r="328" spans="1:8" ht="36">
      <c r="A328" s="65" t="s">
        <v>1206</v>
      </c>
      <c r="B328" s="66" t="s">
        <v>1254</v>
      </c>
      <c r="C328" s="66" t="s">
        <v>1254</v>
      </c>
      <c r="D328" s="69" t="s">
        <v>177</v>
      </c>
      <c r="E328" s="80" t="s">
        <v>248</v>
      </c>
      <c r="F328" s="69" t="s">
        <v>1237</v>
      </c>
      <c r="G328" s="67" t="s">
        <v>1265</v>
      </c>
      <c r="H328" s="70" t="s">
        <v>176</v>
      </c>
    </row>
    <row r="329" spans="1:8" ht="24">
      <c r="A329" s="65" t="s">
        <v>32</v>
      </c>
      <c r="B329" s="66" t="s">
        <v>247</v>
      </c>
      <c r="C329" s="66" t="s">
        <v>323</v>
      </c>
      <c r="D329" s="77" t="s">
        <v>247</v>
      </c>
      <c r="E329" s="68"/>
      <c r="F329" s="69" t="s">
        <v>48</v>
      </c>
      <c r="G329" s="67" t="s">
        <v>332</v>
      </c>
      <c r="H329" s="70" t="s">
        <v>210</v>
      </c>
    </row>
    <row r="330" spans="1:8">
      <c r="A330" s="65" t="s">
        <v>32</v>
      </c>
      <c r="B330" s="66" t="s">
        <v>247</v>
      </c>
      <c r="C330" s="66" t="s">
        <v>383</v>
      </c>
      <c r="D330" s="77" t="s">
        <v>177</v>
      </c>
      <c r="E330" s="68" t="s">
        <v>248</v>
      </c>
      <c r="F330" s="69" t="s">
        <v>44</v>
      </c>
      <c r="G330" s="67" t="s">
        <v>389</v>
      </c>
      <c r="H330" s="70" t="s">
        <v>176</v>
      </c>
    </row>
    <row r="331" spans="1:8" ht="36">
      <c r="A331" s="65" t="s">
        <v>1206</v>
      </c>
      <c r="B331" s="66" t="s">
        <v>1303</v>
      </c>
      <c r="C331" s="66" t="s">
        <v>1303</v>
      </c>
      <c r="D331" s="69" t="s">
        <v>177</v>
      </c>
      <c r="E331" s="80" t="s">
        <v>783</v>
      </c>
      <c r="F331" s="69" t="s">
        <v>48</v>
      </c>
      <c r="G331" s="67" t="s">
        <v>1306</v>
      </c>
      <c r="H331" s="70" t="s">
        <v>176</v>
      </c>
    </row>
    <row r="332" spans="1:8" ht="36">
      <c r="A332" s="65" t="s">
        <v>972</v>
      </c>
      <c r="B332" s="66" t="s">
        <v>996</v>
      </c>
      <c r="C332" s="66" t="s">
        <v>997</v>
      </c>
      <c r="D332" s="81" t="s">
        <v>468</v>
      </c>
      <c r="E332" s="80"/>
      <c r="F332" s="69" t="s">
        <v>48</v>
      </c>
      <c r="G332" s="67" t="s">
        <v>1000</v>
      </c>
      <c r="H332" s="70" t="s">
        <v>176</v>
      </c>
    </row>
    <row r="333" spans="1:8" ht="24">
      <c r="A333" s="65" t="s">
        <v>32</v>
      </c>
      <c r="B333" s="66" t="s">
        <v>247</v>
      </c>
      <c r="C333" s="66" t="s">
        <v>323</v>
      </c>
      <c r="D333" s="77" t="s">
        <v>177</v>
      </c>
      <c r="E333" s="68" t="s">
        <v>250</v>
      </c>
      <c r="F333" s="69" t="s">
        <v>337</v>
      </c>
      <c r="G333" s="67" t="s">
        <v>355</v>
      </c>
      <c r="H333" s="70" t="s">
        <v>176</v>
      </c>
    </row>
    <row r="334" spans="1:8" ht="24">
      <c r="A334" s="65" t="s">
        <v>32</v>
      </c>
      <c r="B334" s="66" t="s">
        <v>470</v>
      </c>
      <c r="C334" s="66" t="s">
        <v>557</v>
      </c>
      <c r="D334" s="69" t="s">
        <v>470</v>
      </c>
      <c r="E334" s="80"/>
      <c r="F334" s="69" t="s">
        <v>580</v>
      </c>
      <c r="G334" s="67" t="s">
        <v>582</v>
      </c>
      <c r="H334" s="70" t="s">
        <v>210</v>
      </c>
    </row>
    <row r="335" spans="1:8" ht="36">
      <c r="A335" s="65" t="s">
        <v>931</v>
      </c>
      <c r="B335" s="66" t="s">
        <v>932</v>
      </c>
      <c r="C335" s="66" t="s">
        <v>1176</v>
      </c>
      <c r="D335" s="81" t="s">
        <v>935</v>
      </c>
      <c r="E335" s="82" t="s">
        <v>936</v>
      </c>
      <c r="F335" s="69" t="s">
        <v>283</v>
      </c>
      <c r="G335" s="67" t="s">
        <v>1177</v>
      </c>
      <c r="H335" s="70" t="s">
        <v>176</v>
      </c>
    </row>
    <row r="336" spans="1:8" ht="24">
      <c r="A336" s="65" t="s">
        <v>32</v>
      </c>
      <c r="B336" s="66" t="s">
        <v>247</v>
      </c>
      <c r="C336" s="66" t="s">
        <v>268</v>
      </c>
      <c r="D336" s="77" t="s">
        <v>247</v>
      </c>
      <c r="E336" s="68"/>
      <c r="F336" s="69" t="s">
        <v>45</v>
      </c>
      <c r="G336" s="67" t="s">
        <v>273</v>
      </c>
      <c r="H336" s="70" t="s">
        <v>176</v>
      </c>
    </row>
    <row r="337" spans="1:8" ht="24">
      <c r="A337" s="65" t="s">
        <v>32</v>
      </c>
      <c r="B337" s="66" t="s">
        <v>247</v>
      </c>
      <c r="C337" s="66" t="s">
        <v>323</v>
      </c>
      <c r="D337" s="77" t="s">
        <v>247</v>
      </c>
      <c r="E337" s="68"/>
      <c r="F337" s="69" t="s">
        <v>181</v>
      </c>
      <c r="G337" s="67" t="s">
        <v>335</v>
      </c>
      <c r="H337" s="70" t="s">
        <v>176</v>
      </c>
    </row>
    <row r="338" spans="1:8">
      <c r="A338" s="65" t="s">
        <v>699</v>
      </c>
      <c r="B338" s="66" t="s">
        <v>720</v>
      </c>
      <c r="C338" s="66" t="s">
        <v>742</v>
      </c>
      <c r="D338" s="69" t="s">
        <v>177</v>
      </c>
      <c r="E338" s="80" t="s">
        <v>751</v>
      </c>
      <c r="F338" s="69" t="s">
        <v>47</v>
      </c>
      <c r="G338" s="67" t="s">
        <v>752</v>
      </c>
      <c r="H338" s="70" t="s">
        <v>176</v>
      </c>
    </row>
    <row r="339" spans="1:8" ht="24">
      <c r="A339" s="65" t="s">
        <v>603</v>
      </c>
      <c r="B339" s="66" t="s">
        <v>617</v>
      </c>
      <c r="C339" s="66" t="s">
        <v>626</v>
      </c>
      <c r="D339" s="69" t="s">
        <v>177</v>
      </c>
      <c r="E339" s="80" t="s">
        <v>466</v>
      </c>
      <c r="F339" s="69" t="s">
        <v>47</v>
      </c>
      <c r="G339" s="67" t="s">
        <v>628</v>
      </c>
      <c r="H339" s="70" t="s">
        <v>210</v>
      </c>
    </row>
    <row r="340" spans="1:8" ht="24">
      <c r="A340" s="65" t="s">
        <v>32</v>
      </c>
      <c r="B340" s="66" t="s">
        <v>470</v>
      </c>
      <c r="C340" s="66" t="s">
        <v>473</v>
      </c>
      <c r="D340" s="69" t="s">
        <v>177</v>
      </c>
      <c r="E340" s="80" t="s">
        <v>474</v>
      </c>
      <c r="F340" s="69" t="s">
        <v>460</v>
      </c>
      <c r="G340" s="67" t="s">
        <v>475</v>
      </c>
      <c r="H340" s="70" t="s">
        <v>176</v>
      </c>
    </row>
    <row r="341" spans="1:8" ht="36">
      <c r="A341" s="65" t="s">
        <v>1206</v>
      </c>
      <c r="B341" s="66" t="s">
        <v>1244</v>
      </c>
      <c r="C341" s="66" t="s">
        <v>1244</v>
      </c>
      <c r="D341" s="69" t="s">
        <v>739</v>
      </c>
      <c r="E341" s="80" t="s">
        <v>740</v>
      </c>
      <c r="F341" s="69" t="s">
        <v>460</v>
      </c>
      <c r="G341" s="67" t="s">
        <v>1245</v>
      </c>
      <c r="H341" s="70" t="s">
        <v>176</v>
      </c>
    </row>
    <row r="342" spans="1:8" ht="24">
      <c r="A342" s="65" t="s">
        <v>32</v>
      </c>
      <c r="B342" s="66" t="s">
        <v>247</v>
      </c>
      <c r="C342" s="66" t="s">
        <v>300</v>
      </c>
      <c r="D342" s="77" t="s">
        <v>177</v>
      </c>
      <c r="E342" s="68" t="s">
        <v>248</v>
      </c>
      <c r="F342" s="69" t="s">
        <v>51</v>
      </c>
      <c r="G342" s="69" t="s">
        <v>301</v>
      </c>
      <c r="H342" s="70" t="s">
        <v>176</v>
      </c>
    </row>
    <row r="343" spans="1:8" ht="24">
      <c r="A343" s="65" t="s">
        <v>931</v>
      </c>
      <c r="B343" s="66" t="s">
        <v>932</v>
      </c>
      <c r="C343" s="66" t="s">
        <v>1172</v>
      </c>
      <c r="D343" s="81" t="s">
        <v>935</v>
      </c>
      <c r="E343" s="82" t="s">
        <v>936</v>
      </c>
      <c r="F343" s="69" t="s">
        <v>1182</v>
      </c>
      <c r="G343" s="67" t="s">
        <v>1185</v>
      </c>
      <c r="H343" s="70" t="s">
        <v>176</v>
      </c>
    </row>
    <row r="344" spans="1:8">
      <c r="A344" s="65" t="s">
        <v>603</v>
      </c>
      <c r="B344" s="66" t="s">
        <v>647</v>
      </c>
      <c r="C344" s="66" t="s">
        <v>658</v>
      </c>
      <c r="D344" s="69" t="s">
        <v>177</v>
      </c>
      <c r="E344" s="80" t="s">
        <v>466</v>
      </c>
      <c r="F344" s="69" t="s">
        <v>48</v>
      </c>
      <c r="G344" s="67" t="s">
        <v>659</v>
      </c>
      <c r="H344" s="70" t="s">
        <v>210</v>
      </c>
    </row>
    <row r="345" spans="1:8" ht="36">
      <c r="A345" s="65" t="s">
        <v>1206</v>
      </c>
      <c r="B345" s="66" t="s">
        <v>1230</v>
      </c>
      <c r="C345" s="66" t="s">
        <v>1230</v>
      </c>
      <c r="D345" s="69" t="s">
        <v>739</v>
      </c>
      <c r="E345" s="80" t="s">
        <v>740</v>
      </c>
      <c r="F345" s="69" t="s">
        <v>183</v>
      </c>
      <c r="G345" s="67" t="s">
        <v>1235</v>
      </c>
      <c r="H345" s="70" t="s">
        <v>176</v>
      </c>
    </row>
    <row r="346" spans="1:8">
      <c r="A346" s="65" t="s">
        <v>903</v>
      </c>
      <c r="B346" s="66" t="s">
        <v>606</v>
      </c>
      <c r="C346" s="66" t="s">
        <v>606</v>
      </c>
      <c r="D346" s="69" t="s">
        <v>603</v>
      </c>
      <c r="E346" s="80"/>
      <c r="F346" s="69" t="s">
        <v>51</v>
      </c>
      <c r="G346" s="67" t="s">
        <v>904</v>
      </c>
      <c r="H346" s="70" t="s">
        <v>905</v>
      </c>
    </row>
    <row r="347" spans="1:8" ht="24">
      <c r="A347" s="65" t="s">
        <v>32</v>
      </c>
      <c r="B347" s="66" t="s">
        <v>247</v>
      </c>
      <c r="C347" s="66" t="s">
        <v>383</v>
      </c>
      <c r="D347" s="77" t="s">
        <v>247</v>
      </c>
      <c r="E347" s="68"/>
      <c r="F347" s="69" t="s">
        <v>44</v>
      </c>
      <c r="G347" s="67" t="s">
        <v>390</v>
      </c>
      <c r="H347" s="70" t="s">
        <v>176</v>
      </c>
    </row>
    <row r="348" spans="1:8" ht="24">
      <c r="A348" s="65" t="s">
        <v>972</v>
      </c>
      <c r="B348" s="66" t="s">
        <v>983</v>
      </c>
      <c r="C348" s="66" t="s">
        <v>983</v>
      </c>
      <c r="D348" s="81" t="s">
        <v>468</v>
      </c>
      <c r="E348" s="80"/>
      <c r="F348" s="69" t="s">
        <v>990</v>
      </c>
      <c r="G348" s="67" t="s">
        <v>991</v>
      </c>
      <c r="H348" s="70" t="s">
        <v>243</v>
      </c>
    </row>
    <row r="349" spans="1:8" ht="24">
      <c r="A349" s="65" t="s">
        <v>699</v>
      </c>
      <c r="B349" s="66" t="s">
        <v>720</v>
      </c>
      <c r="C349" s="66" t="s">
        <v>738</v>
      </c>
      <c r="D349" s="69" t="s">
        <v>739</v>
      </c>
      <c r="E349" s="80" t="s">
        <v>740</v>
      </c>
      <c r="F349" s="69" t="s">
        <v>51</v>
      </c>
      <c r="G349" s="67" t="s">
        <v>741</v>
      </c>
      <c r="H349" s="70" t="s">
        <v>176</v>
      </c>
    </row>
    <row r="350" spans="1:8" ht="24">
      <c r="A350" s="65" t="s">
        <v>972</v>
      </c>
      <c r="B350" s="66" t="s">
        <v>973</v>
      </c>
      <c r="C350" s="66" t="s">
        <v>973</v>
      </c>
      <c r="D350" s="69" t="s">
        <v>177</v>
      </c>
      <c r="E350" s="80" t="s">
        <v>466</v>
      </c>
      <c r="F350" s="69" t="s">
        <v>48</v>
      </c>
      <c r="G350" s="67" t="s">
        <v>976</v>
      </c>
      <c r="H350" s="70" t="s">
        <v>210</v>
      </c>
    </row>
    <row r="351" spans="1:8" ht="36">
      <c r="A351" s="65" t="s">
        <v>931</v>
      </c>
      <c r="B351" s="66" t="s">
        <v>932</v>
      </c>
      <c r="C351" s="66" t="s">
        <v>1160</v>
      </c>
      <c r="D351" s="69" t="s">
        <v>932</v>
      </c>
      <c r="E351" s="80"/>
      <c r="F351" s="69" t="s">
        <v>538</v>
      </c>
      <c r="G351" s="67" t="s">
        <v>1164</v>
      </c>
      <c r="H351" s="70" t="s">
        <v>176</v>
      </c>
    </row>
    <row r="352" spans="1:8" ht="24">
      <c r="A352" s="65" t="s">
        <v>32</v>
      </c>
      <c r="B352" s="66" t="s">
        <v>172</v>
      </c>
      <c r="C352" s="66" t="s">
        <v>173</v>
      </c>
      <c r="D352" s="69" t="s">
        <v>177</v>
      </c>
      <c r="E352" s="68" t="s">
        <v>178</v>
      </c>
      <c r="F352" s="69" t="s">
        <v>183</v>
      </c>
      <c r="G352" s="67" t="s">
        <v>194</v>
      </c>
      <c r="H352" s="70" t="s">
        <v>176</v>
      </c>
    </row>
    <row r="353" spans="1:8" ht="24">
      <c r="A353" s="65" t="s">
        <v>32</v>
      </c>
      <c r="B353" s="66" t="s">
        <v>470</v>
      </c>
      <c r="C353" s="66" t="s">
        <v>525</v>
      </c>
      <c r="D353" s="69" t="s">
        <v>470</v>
      </c>
      <c r="E353" s="80"/>
      <c r="F353" s="69" t="s">
        <v>183</v>
      </c>
      <c r="G353" s="67" t="s">
        <v>532</v>
      </c>
      <c r="H353" s="70" t="s">
        <v>176</v>
      </c>
    </row>
    <row r="354" spans="1:8">
      <c r="A354" s="65" t="s">
        <v>908</v>
      </c>
      <c r="B354" s="66" t="s">
        <v>829</v>
      </c>
      <c r="C354" s="66" t="s">
        <v>829</v>
      </c>
      <c r="D354" s="69" t="s">
        <v>822</v>
      </c>
      <c r="E354" s="80"/>
      <c r="F354" s="69" t="s">
        <v>48</v>
      </c>
      <c r="G354" s="67" t="s">
        <v>939</v>
      </c>
      <c r="H354" s="70" t="s">
        <v>910</v>
      </c>
    </row>
    <row r="355" spans="1:8" ht="24">
      <c r="A355" s="65" t="s">
        <v>32</v>
      </c>
      <c r="B355" s="66" t="s">
        <v>247</v>
      </c>
      <c r="C355" s="66" t="s">
        <v>323</v>
      </c>
      <c r="D355" s="77" t="s">
        <v>247</v>
      </c>
      <c r="E355" s="68"/>
      <c r="F355" s="69" t="s">
        <v>337</v>
      </c>
      <c r="G355" s="67" t="s">
        <v>342</v>
      </c>
      <c r="H355" s="70" t="s">
        <v>176</v>
      </c>
    </row>
    <row r="356" spans="1:8" ht="24">
      <c r="A356" s="65" t="s">
        <v>931</v>
      </c>
      <c r="B356" s="66" t="s">
        <v>909</v>
      </c>
      <c r="C356" s="66" t="s">
        <v>1129</v>
      </c>
      <c r="D356" s="69" t="s">
        <v>177</v>
      </c>
      <c r="E356" s="80" t="s">
        <v>1110</v>
      </c>
      <c r="F356" s="69" t="s">
        <v>40</v>
      </c>
      <c r="G356" s="67" t="s">
        <v>1135</v>
      </c>
      <c r="H356" s="70" t="s">
        <v>1136</v>
      </c>
    </row>
    <row r="357" spans="1:8" ht="24">
      <c r="A357" s="65" t="s">
        <v>32</v>
      </c>
      <c r="B357" s="66" t="s">
        <v>247</v>
      </c>
      <c r="C357" s="66" t="s">
        <v>323</v>
      </c>
      <c r="D357" s="77" t="s">
        <v>177</v>
      </c>
      <c r="E357" s="68" t="s">
        <v>250</v>
      </c>
      <c r="F357" s="69" t="s">
        <v>43</v>
      </c>
      <c r="G357" s="67" t="s">
        <v>333</v>
      </c>
      <c r="H357" s="70" t="s">
        <v>176</v>
      </c>
    </row>
    <row r="358" spans="1:8" ht="24">
      <c r="A358" s="65" t="s">
        <v>32</v>
      </c>
      <c r="B358" s="66" t="s">
        <v>470</v>
      </c>
      <c r="C358" s="66" t="s">
        <v>473</v>
      </c>
      <c r="D358" s="69" t="s">
        <v>177</v>
      </c>
      <c r="E358" s="80" t="s">
        <v>476</v>
      </c>
      <c r="F358" s="69" t="s">
        <v>183</v>
      </c>
      <c r="G358" s="67" t="s">
        <v>490</v>
      </c>
      <c r="H358" s="70" t="s">
        <v>176</v>
      </c>
    </row>
    <row r="359" spans="1:8" ht="24">
      <c r="A359" s="65" t="s">
        <v>972</v>
      </c>
      <c r="B359" s="66" t="s">
        <v>1041</v>
      </c>
      <c r="C359" s="66" t="s">
        <v>1062</v>
      </c>
      <c r="D359" s="81" t="s">
        <v>468</v>
      </c>
      <c r="E359" s="80"/>
      <c r="F359" s="69" t="s">
        <v>51</v>
      </c>
      <c r="G359" s="67" t="s">
        <v>1063</v>
      </c>
      <c r="H359" s="70" t="s">
        <v>210</v>
      </c>
    </row>
    <row r="360" spans="1:8">
      <c r="A360" s="65" t="s">
        <v>837</v>
      </c>
      <c r="B360" s="66" t="s">
        <v>694</v>
      </c>
      <c r="C360" s="66" t="s">
        <v>694</v>
      </c>
      <c r="D360" s="69" t="s">
        <v>603</v>
      </c>
      <c r="E360" s="80"/>
      <c r="F360" s="69" t="s">
        <v>695</v>
      </c>
      <c r="G360" s="67" t="s">
        <v>838</v>
      </c>
      <c r="H360" s="70" t="s">
        <v>365</v>
      </c>
    </row>
    <row r="361" spans="1:8" ht="24">
      <c r="A361" s="65" t="s">
        <v>32</v>
      </c>
      <c r="B361" s="66" t="s">
        <v>470</v>
      </c>
      <c r="C361" s="66" t="s">
        <v>473</v>
      </c>
      <c r="D361" s="69" t="s">
        <v>470</v>
      </c>
      <c r="E361" s="80"/>
      <c r="F361" s="69" t="s">
        <v>46</v>
      </c>
      <c r="G361" s="67" t="s">
        <v>503</v>
      </c>
      <c r="H361" s="70" t="s">
        <v>176</v>
      </c>
    </row>
    <row r="362" spans="1:8" ht="36">
      <c r="A362" s="65" t="s">
        <v>931</v>
      </c>
      <c r="B362" s="66" t="s">
        <v>932</v>
      </c>
      <c r="C362" s="66" t="s">
        <v>1176</v>
      </c>
      <c r="D362" s="81" t="s">
        <v>935</v>
      </c>
      <c r="E362" s="82" t="s">
        <v>936</v>
      </c>
      <c r="F362" s="69" t="s">
        <v>1178</v>
      </c>
      <c r="G362" s="67" t="s">
        <v>1190</v>
      </c>
      <c r="H362" s="70" t="s">
        <v>176</v>
      </c>
    </row>
    <row r="363" spans="1:8" ht="24">
      <c r="A363" s="65" t="s">
        <v>32</v>
      </c>
      <c r="B363" s="66" t="s">
        <v>470</v>
      </c>
      <c r="C363" s="66" t="s">
        <v>588</v>
      </c>
      <c r="D363" s="69" t="s">
        <v>177</v>
      </c>
      <c r="E363" s="80" t="s">
        <v>566</v>
      </c>
      <c r="F363" s="69" t="s">
        <v>183</v>
      </c>
      <c r="G363" s="67" t="s">
        <v>595</v>
      </c>
      <c r="H363" s="70" t="s">
        <v>176</v>
      </c>
    </row>
    <row r="364" spans="1:8" ht="24">
      <c r="A364" s="65" t="s">
        <v>603</v>
      </c>
      <c r="B364" s="66" t="s">
        <v>647</v>
      </c>
      <c r="C364" s="66" t="s">
        <v>656</v>
      </c>
      <c r="D364" s="69" t="s">
        <v>603</v>
      </c>
      <c r="E364" s="68"/>
      <c r="F364" s="69" t="s">
        <v>632</v>
      </c>
      <c r="G364" s="67" t="s">
        <v>657</v>
      </c>
      <c r="H364" s="70" t="s">
        <v>210</v>
      </c>
    </row>
    <row r="365" spans="1:8" ht="36">
      <c r="A365" s="65" t="s">
        <v>603</v>
      </c>
      <c r="B365" s="66" t="s">
        <v>610</v>
      </c>
      <c r="C365" s="66" t="s">
        <v>611</v>
      </c>
      <c r="D365" s="81" t="s">
        <v>603</v>
      </c>
      <c r="E365" s="68"/>
      <c r="F365" s="69" t="s">
        <v>51</v>
      </c>
      <c r="G365" s="67" t="s">
        <v>612</v>
      </c>
      <c r="H365" s="70" t="s">
        <v>176</v>
      </c>
    </row>
    <row r="366" spans="1:8" ht="24">
      <c r="A366" s="65" t="s">
        <v>699</v>
      </c>
      <c r="B366" s="66" t="s">
        <v>703</v>
      </c>
      <c r="C366" s="66" t="s">
        <v>769</v>
      </c>
      <c r="D366" s="69" t="s">
        <v>720</v>
      </c>
      <c r="E366" s="80"/>
      <c r="F366" s="69" t="s">
        <v>47</v>
      </c>
      <c r="G366" s="67" t="s">
        <v>775</v>
      </c>
      <c r="H366" s="70" t="s">
        <v>210</v>
      </c>
    </row>
    <row r="367" spans="1:8" ht="36">
      <c r="A367" s="65" t="s">
        <v>1206</v>
      </c>
      <c r="B367" s="66" t="s">
        <v>1328</v>
      </c>
      <c r="C367" s="66" t="s">
        <v>1328</v>
      </c>
      <c r="D367" s="69" t="s">
        <v>177</v>
      </c>
      <c r="E367" s="80" t="s">
        <v>1325</v>
      </c>
      <c r="F367" s="69" t="s">
        <v>283</v>
      </c>
      <c r="G367" s="67" t="s">
        <v>1343</v>
      </c>
      <c r="H367" s="70" t="s">
        <v>176</v>
      </c>
    </row>
    <row r="368" spans="1:8">
      <c r="A368" s="65" t="s">
        <v>32</v>
      </c>
      <c r="B368" s="66" t="s">
        <v>247</v>
      </c>
      <c r="C368" s="66" t="s">
        <v>268</v>
      </c>
      <c r="D368" s="77" t="s">
        <v>177</v>
      </c>
      <c r="E368" s="68" t="s">
        <v>178</v>
      </c>
      <c r="F368" s="69" t="s">
        <v>285</v>
      </c>
      <c r="G368" s="67" t="s">
        <v>293</v>
      </c>
      <c r="H368" s="70" t="s">
        <v>176</v>
      </c>
    </row>
    <row r="369" spans="1:8">
      <c r="A369" s="65" t="s">
        <v>603</v>
      </c>
      <c r="B369" s="66" t="s">
        <v>634</v>
      </c>
      <c r="C369" s="66" t="s">
        <v>634</v>
      </c>
      <c r="D369" s="69" t="s">
        <v>603</v>
      </c>
      <c r="E369" s="80"/>
      <c r="F369" s="69" t="s">
        <v>48</v>
      </c>
      <c r="G369" s="67" t="s">
        <v>641</v>
      </c>
      <c r="H369" s="70" t="s">
        <v>210</v>
      </c>
    </row>
    <row r="370" spans="1:8" ht="24">
      <c r="A370" s="65" t="s">
        <v>32</v>
      </c>
      <c r="B370" s="66" t="s">
        <v>247</v>
      </c>
      <c r="C370" s="66" t="s">
        <v>323</v>
      </c>
      <c r="D370" s="77" t="s">
        <v>177</v>
      </c>
      <c r="E370" s="68" t="s">
        <v>261</v>
      </c>
      <c r="F370" s="69" t="s">
        <v>337</v>
      </c>
      <c r="G370" s="67" t="s">
        <v>352</v>
      </c>
      <c r="H370" s="70" t="s">
        <v>176</v>
      </c>
    </row>
    <row r="371" spans="1:8" ht="36">
      <c r="A371" s="65" t="s">
        <v>1206</v>
      </c>
      <c r="B371" s="66" t="s">
        <v>1328</v>
      </c>
      <c r="C371" s="66" t="s">
        <v>1328</v>
      </c>
      <c r="D371" s="69" t="s">
        <v>177</v>
      </c>
      <c r="E371" s="80" t="s">
        <v>466</v>
      </c>
      <c r="F371" s="69" t="s">
        <v>181</v>
      </c>
      <c r="G371" s="67" t="s">
        <v>1360</v>
      </c>
      <c r="H371" s="70" t="s">
        <v>176</v>
      </c>
    </row>
    <row r="372" spans="1:8" ht="24">
      <c r="A372" s="65" t="s">
        <v>32</v>
      </c>
      <c r="B372" s="66" t="s">
        <v>470</v>
      </c>
      <c r="C372" s="66" t="s">
        <v>557</v>
      </c>
      <c r="D372" s="69" t="s">
        <v>470</v>
      </c>
      <c r="E372" s="80"/>
      <c r="F372" s="69" t="s">
        <v>47</v>
      </c>
      <c r="G372" s="67" t="s">
        <v>570</v>
      </c>
      <c r="H372" s="70" t="s">
        <v>210</v>
      </c>
    </row>
    <row r="373" spans="1:8" ht="24">
      <c r="A373" s="65" t="s">
        <v>32</v>
      </c>
      <c r="B373" s="66" t="s">
        <v>470</v>
      </c>
      <c r="C373" s="66" t="s">
        <v>557</v>
      </c>
      <c r="D373" s="69" t="s">
        <v>470</v>
      </c>
      <c r="E373" s="80"/>
      <c r="F373" s="69" t="s">
        <v>518</v>
      </c>
      <c r="G373" s="67" t="s">
        <v>577</v>
      </c>
      <c r="H373" s="70" t="s">
        <v>210</v>
      </c>
    </row>
    <row r="374" spans="1:8" ht="24">
      <c r="A374" s="65" t="s">
        <v>32</v>
      </c>
      <c r="B374" s="66" t="s">
        <v>172</v>
      </c>
      <c r="C374" s="66" t="s">
        <v>173</v>
      </c>
      <c r="D374" s="69" t="s">
        <v>172</v>
      </c>
      <c r="E374" s="68"/>
      <c r="F374" s="69" t="s">
        <v>174</v>
      </c>
      <c r="G374" s="67" t="s">
        <v>175</v>
      </c>
      <c r="H374" s="70" t="s">
        <v>176</v>
      </c>
    </row>
    <row r="375" spans="1:8" ht="24">
      <c r="A375" s="65" t="s">
        <v>32</v>
      </c>
      <c r="B375" s="66" t="s">
        <v>470</v>
      </c>
      <c r="C375" s="66" t="s">
        <v>557</v>
      </c>
      <c r="D375" s="69" t="s">
        <v>177</v>
      </c>
      <c r="E375" s="80" t="s">
        <v>566</v>
      </c>
      <c r="F375" s="69" t="s">
        <v>518</v>
      </c>
      <c r="G375" s="67" t="s">
        <v>579</v>
      </c>
      <c r="H375" s="70" t="s">
        <v>210</v>
      </c>
    </row>
    <row r="376" spans="1:8" ht="24">
      <c r="A376" s="65" t="s">
        <v>32</v>
      </c>
      <c r="B376" s="66" t="s">
        <v>247</v>
      </c>
      <c r="C376" s="66" t="s">
        <v>383</v>
      </c>
      <c r="D376" s="77" t="s">
        <v>177</v>
      </c>
      <c r="E376" s="68" t="s">
        <v>248</v>
      </c>
      <c r="F376" s="69" t="s">
        <v>382</v>
      </c>
      <c r="G376" s="67" t="s">
        <v>385</v>
      </c>
      <c r="H376" s="70" t="s">
        <v>176</v>
      </c>
    </row>
    <row r="377" spans="1:8" ht="36">
      <c r="A377" s="65" t="s">
        <v>839</v>
      </c>
      <c r="B377" s="66" t="s">
        <v>840</v>
      </c>
      <c r="C377" s="66" t="s">
        <v>840</v>
      </c>
      <c r="D377" s="69" t="s">
        <v>603</v>
      </c>
      <c r="E377" s="80"/>
      <c r="F377" s="69" t="s">
        <v>846</v>
      </c>
      <c r="G377" s="67" t="s">
        <v>847</v>
      </c>
      <c r="H377" s="70" t="s">
        <v>843</v>
      </c>
    </row>
    <row r="378" spans="1:8" ht="24">
      <c r="A378" s="65" t="s">
        <v>32</v>
      </c>
      <c r="B378" s="66" t="s">
        <v>470</v>
      </c>
      <c r="C378" s="66" t="s">
        <v>473</v>
      </c>
      <c r="D378" s="69" t="s">
        <v>177</v>
      </c>
      <c r="E378" s="78" t="s">
        <v>474</v>
      </c>
      <c r="F378" s="69" t="s">
        <v>44</v>
      </c>
      <c r="G378" s="67" t="s">
        <v>513</v>
      </c>
      <c r="H378" s="70" t="s">
        <v>176</v>
      </c>
    </row>
    <row r="379" spans="1:8" ht="36">
      <c r="A379" s="65" t="s">
        <v>1206</v>
      </c>
      <c r="B379" s="66" t="s">
        <v>1286</v>
      </c>
      <c r="C379" s="66" t="s">
        <v>1286</v>
      </c>
      <c r="D379" s="69" t="s">
        <v>603</v>
      </c>
      <c r="E379" s="80"/>
      <c r="F379" s="69" t="s">
        <v>1237</v>
      </c>
      <c r="G379" s="67" t="s">
        <v>1290</v>
      </c>
      <c r="H379" s="70" t="s">
        <v>210</v>
      </c>
    </row>
    <row r="380" spans="1:8" ht="24">
      <c r="A380" s="65" t="s">
        <v>32</v>
      </c>
      <c r="B380" s="66" t="s">
        <v>247</v>
      </c>
      <c r="C380" s="66" t="s">
        <v>251</v>
      </c>
      <c r="D380" s="77" t="s">
        <v>177</v>
      </c>
      <c r="E380" s="76" t="s">
        <v>250</v>
      </c>
      <c r="F380" s="69" t="s">
        <v>51</v>
      </c>
      <c r="G380" s="67" t="s">
        <v>252</v>
      </c>
      <c r="H380" s="70" t="s">
        <v>176</v>
      </c>
    </row>
    <row r="381" spans="1:8" ht="36">
      <c r="A381" s="65" t="s">
        <v>1206</v>
      </c>
      <c r="B381" s="66" t="s">
        <v>1227</v>
      </c>
      <c r="C381" s="66" t="s">
        <v>1227</v>
      </c>
      <c r="D381" s="69" t="s">
        <v>739</v>
      </c>
      <c r="E381" s="78" t="s">
        <v>740</v>
      </c>
      <c r="F381" s="69" t="s">
        <v>222</v>
      </c>
      <c r="G381" s="67" t="s">
        <v>1228</v>
      </c>
      <c r="H381" s="70" t="s">
        <v>176</v>
      </c>
    </row>
    <row r="382" spans="1:8">
      <c r="A382" s="65" t="s">
        <v>822</v>
      </c>
      <c r="B382" s="66" t="s">
        <v>822</v>
      </c>
      <c r="C382" s="66" t="s">
        <v>829</v>
      </c>
      <c r="D382" s="81" t="s">
        <v>822</v>
      </c>
      <c r="E382" s="78"/>
      <c r="F382" s="69" t="s">
        <v>50</v>
      </c>
      <c r="G382" s="67" t="s">
        <v>830</v>
      </c>
      <c r="H382" s="70" t="s">
        <v>210</v>
      </c>
    </row>
    <row r="383" spans="1:8" ht="24">
      <c r="A383" s="65" t="s">
        <v>32</v>
      </c>
      <c r="B383" s="66" t="s">
        <v>470</v>
      </c>
      <c r="C383" s="66" t="s">
        <v>473</v>
      </c>
      <c r="D383" s="69" t="s">
        <v>177</v>
      </c>
      <c r="E383" s="80" t="s">
        <v>474</v>
      </c>
      <c r="F383" s="69" t="s">
        <v>43</v>
      </c>
      <c r="G383" s="67" t="s">
        <v>515</v>
      </c>
      <c r="H383" s="70" t="s">
        <v>176</v>
      </c>
    </row>
    <row r="384" spans="1:8" ht="24">
      <c r="A384" s="65" t="s">
        <v>32</v>
      </c>
      <c r="B384" s="66" t="s">
        <v>247</v>
      </c>
      <c r="C384" s="66" t="s">
        <v>323</v>
      </c>
      <c r="D384" s="77" t="s">
        <v>247</v>
      </c>
      <c r="E384" s="75"/>
      <c r="F384" s="69" t="s">
        <v>48</v>
      </c>
      <c r="G384" s="67" t="s">
        <v>331</v>
      </c>
      <c r="H384" s="70" t="s">
        <v>210</v>
      </c>
    </row>
    <row r="385" spans="1:8">
      <c r="A385" s="65" t="s">
        <v>603</v>
      </c>
      <c r="B385" s="66" t="s">
        <v>672</v>
      </c>
      <c r="C385" s="66" t="s">
        <v>690</v>
      </c>
      <c r="D385" s="69" t="s">
        <v>603</v>
      </c>
      <c r="E385" s="80"/>
      <c r="F385" s="69" t="s">
        <v>47</v>
      </c>
      <c r="G385" s="67" t="s">
        <v>692</v>
      </c>
      <c r="H385" s="70" t="s">
        <v>210</v>
      </c>
    </row>
    <row r="386" spans="1:8" ht="24">
      <c r="A386" s="65" t="s">
        <v>972</v>
      </c>
      <c r="B386" s="66" t="s">
        <v>1041</v>
      </c>
      <c r="C386" s="66" t="s">
        <v>1041</v>
      </c>
      <c r="D386" s="81" t="s">
        <v>468</v>
      </c>
      <c r="E386" s="80"/>
      <c r="F386" s="69" t="s">
        <v>45</v>
      </c>
      <c r="G386" s="67" t="s">
        <v>1069</v>
      </c>
      <c r="H386" s="70" t="s">
        <v>176</v>
      </c>
    </row>
    <row r="387" spans="1:8" ht="24">
      <c r="A387" s="65" t="s">
        <v>32</v>
      </c>
      <c r="B387" s="66" t="s">
        <v>470</v>
      </c>
      <c r="C387" s="66" t="s">
        <v>473</v>
      </c>
      <c r="D387" s="69" t="s">
        <v>470</v>
      </c>
      <c r="E387" s="80"/>
      <c r="F387" s="69" t="s">
        <v>183</v>
      </c>
      <c r="G387" s="67" t="s">
        <v>494</v>
      </c>
      <c r="H387" s="70" t="s">
        <v>176</v>
      </c>
    </row>
    <row r="388" spans="1:8" ht="24">
      <c r="A388" s="65" t="s">
        <v>32</v>
      </c>
      <c r="B388" s="66" t="s">
        <v>470</v>
      </c>
      <c r="C388" s="66" t="s">
        <v>588</v>
      </c>
      <c r="D388" s="69" t="s">
        <v>177</v>
      </c>
      <c r="E388" s="80" t="s">
        <v>566</v>
      </c>
      <c r="F388" s="69" t="s">
        <v>46</v>
      </c>
      <c r="G388" s="67" t="s">
        <v>602</v>
      </c>
      <c r="H388" s="70" t="s">
        <v>176</v>
      </c>
    </row>
    <row r="389" spans="1:8" ht="36">
      <c r="A389" s="65" t="s">
        <v>1206</v>
      </c>
      <c r="B389" s="66" t="s">
        <v>1303</v>
      </c>
      <c r="C389" s="66" t="s">
        <v>1303</v>
      </c>
      <c r="D389" s="69" t="s">
        <v>177</v>
      </c>
      <c r="E389" s="78" t="s">
        <v>1105</v>
      </c>
      <c r="F389" s="69" t="s">
        <v>514</v>
      </c>
      <c r="G389" s="67" t="s">
        <v>1313</v>
      </c>
      <c r="H389" s="70" t="s">
        <v>176</v>
      </c>
    </row>
    <row r="390" spans="1:8" ht="24">
      <c r="A390" s="65" t="s">
        <v>32</v>
      </c>
      <c r="B390" s="66" t="s">
        <v>470</v>
      </c>
      <c r="C390" s="66" t="s">
        <v>473</v>
      </c>
      <c r="D390" s="69" t="s">
        <v>470</v>
      </c>
      <c r="E390" s="78"/>
      <c r="F390" s="69" t="s">
        <v>46</v>
      </c>
      <c r="G390" s="67" t="s">
        <v>506</v>
      </c>
      <c r="H390" s="70" t="s">
        <v>176</v>
      </c>
    </row>
    <row r="391" spans="1:8" ht="36">
      <c r="A391" s="65" t="s">
        <v>972</v>
      </c>
      <c r="B391" s="66" t="s">
        <v>996</v>
      </c>
      <c r="C391" s="66" t="s">
        <v>997</v>
      </c>
      <c r="D391" s="69" t="s">
        <v>468</v>
      </c>
      <c r="E391" s="78"/>
      <c r="F391" s="69" t="s">
        <v>48</v>
      </c>
      <c r="G391" s="67" t="s">
        <v>1002</v>
      </c>
      <c r="H391" s="70" t="s">
        <v>176</v>
      </c>
    </row>
    <row r="392" spans="1:8" ht="24">
      <c r="A392" s="65" t="s">
        <v>795</v>
      </c>
      <c r="B392" s="66" t="s">
        <v>795</v>
      </c>
      <c r="C392" s="66" t="s">
        <v>796</v>
      </c>
      <c r="D392" s="69" t="s">
        <v>177</v>
      </c>
      <c r="E392" s="78" t="s">
        <v>466</v>
      </c>
      <c r="F392" s="69" t="s">
        <v>47</v>
      </c>
      <c r="G392" s="67" t="s">
        <v>809</v>
      </c>
      <c r="H392" s="70" t="s">
        <v>210</v>
      </c>
    </row>
    <row r="393" spans="1:8" ht="24">
      <c r="A393" s="65" t="s">
        <v>32</v>
      </c>
      <c r="B393" s="66" t="s">
        <v>247</v>
      </c>
      <c r="C393" s="66" t="s">
        <v>323</v>
      </c>
      <c r="D393" s="77" t="s">
        <v>247</v>
      </c>
      <c r="E393" s="76"/>
      <c r="F393" s="69" t="s">
        <v>40</v>
      </c>
      <c r="G393" s="67" t="s">
        <v>377</v>
      </c>
      <c r="H393" s="70" t="s">
        <v>365</v>
      </c>
    </row>
    <row r="394" spans="1:8">
      <c r="A394" s="65" t="s">
        <v>908</v>
      </c>
      <c r="B394" s="66" t="s">
        <v>840</v>
      </c>
      <c r="C394" s="66" t="s">
        <v>840</v>
      </c>
      <c r="D394" s="69" t="s">
        <v>911</v>
      </c>
      <c r="E394" s="78"/>
      <c r="F394" s="69" t="s">
        <v>912</v>
      </c>
      <c r="G394" s="67" t="s">
        <v>913</v>
      </c>
      <c r="H394" s="70" t="s">
        <v>910</v>
      </c>
    </row>
    <row r="395" spans="1:8" ht="24">
      <c r="A395" s="65" t="s">
        <v>931</v>
      </c>
      <c r="B395" s="66" t="s">
        <v>909</v>
      </c>
      <c r="C395" s="66" t="s">
        <v>1098</v>
      </c>
      <c r="D395" s="69" t="s">
        <v>909</v>
      </c>
      <c r="E395" s="78"/>
      <c r="F395" s="69" t="s">
        <v>51</v>
      </c>
      <c r="G395" s="67" t="s">
        <v>1099</v>
      </c>
      <c r="H395" s="70" t="s">
        <v>176</v>
      </c>
    </row>
    <row r="396" spans="1:8" ht="24">
      <c r="A396" s="65" t="s">
        <v>972</v>
      </c>
      <c r="B396" s="66" t="s">
        <v>996</v>
      </c>
      <c r="C396" s="66" t="s">
        <v>1038</v>
      </c>
      <c r="D396" s="81" t="s">
        <v>468</v>
      </c>
      <c r="E396" s="78"/>
      <c r="F396" s="69" t="s">
        <v>1039</v>
      </c>
      <c r="G396" s="67" t="s">
        <v>1040</v>
      </c>
      <c r="H396" s="70" t="s">
        <v>176</v>
      </c>
    </row>
    <row r="397" spans="1:8">
      <c r="A397" s="65" t="s">
        <v>32</v>
      </c>
      <c r="B397" s="66" t="s">
        <v>247</v>
      </c>
      <c r="C397" s="66" t="s">
        <v>310</v>
      </c>
      <c r="D397" s="77" t="s">
        <v>177</v>
      </c>
      <c r="E397" s="76" t="s">
        <v>250</v>
      </c>
      <c r="F397" s="69" t="s">
        <v>44</v>
      </c>
      <c r="G397" s="67" t="s">
        <v>321</v>
      </c>
      <c r="H397" s="70" t="s">
        <v>176</v>
      </c>
    </row>
    <row r="398" spans="1:8" ht="24">
      <c r="A398" s="65" t="s">
        <v>699</v>
      </c>
      <c r="B398" s="66" t="s">
        <v>703</v>
      </c>
      <c r="C398" s="66" t="s">
        <v>769</v>
      </c>
      <c r="D398" s="69" t="s">
        <v>720</v>
      </c>
      <c r="E398" s="78"/>
      <c r="F398" s="69" t="s">
        <v>47</v>
      </c>
      <c r="G398" s="67" t="s">
        <v>772</v>
      </c>
      <c r="H398" s="70" t="s">
        <v>210</v>
      </c>
    </row>
    <row r="399" spans="1:8" ht="36">
      <c r="A399" s="65" t="s">
        <v>1206</v>
      </c>
      <c r="B399" s="66" t="s">
        <v>1294</v>
      </c>
      <c r="C399" s="66" t="s">
        <v>1294</v>
      </c>
      <c r="D399" s="69" t="s">
        <v>739</v>
      </c>
      <c r="E399" s="78" t="s">
        <v>740</v>
      </c>
      <c r="F399" s="69" t="s">
        <v>183</v>
      </c>
      <c r="G399" s="67" t="s">
        <v>1297</v>
      </c>
      <c r="H399" s="70" t="s">
        <v>176</v>
      </c>
    </row>
    <row r="400" spans="1:8" ht="24">
      <c r="A400" s="65" t="s">
        <v>603</v>
      </c>
      <c r="B400" s="66" t="s">
        <v>617</v>
      </c>
      <c r="C400" s="66" t="s">
        <v>617</v>
      </c>
      <c r="D400" s="69" t="s">
        <v>603</v>
      </c>
      <c r="E400" s="78"/>
      <c r="F400" s="69" t="s">
        <v>48</v>
      </c>
      <c r="G400" s="67" t="s">
        <v>623</v>
      </c>
      <c r="H400" s="70" t="s">
        <v>210</v>
      </c>
    </row>
    <row r="401" spans="1:8" ht="24">
      <c r="A401" s="65" t="s">
        <v>931</v>
      </c>
      <c r="B401" s="66" t="s">
        <v>932</v>
      </c>
      <c r="C401" s="66" t="s">
        <v>1172</v>
      </c>
      <c r="D401" s="81" t="s">
        <v>935</v>
      </c>
      <c r="E401" s="82" t="s">
        <v>936</v>
      </c>
      <c r="F401" s="69" t="s">
        <v>1178</v>
      </c>
      <c r="G401" s="67" t="s">
        <v>1180</v>
      </c>
      <c r="H401" s="70" t="s">
        <v>176</v>
      </c>
    </row>
    <row r="402" spans="1:8" ht="24">
      <c r="A402" s="65" t="s">
        <v>931</v>
      </c>
      <c r="B402" s="66" t="s">
        <v>36</v>
      </c>
      <c r="C402" s="66" t="s">
        <v>1146</v>
      </c>
      <c r="D402" s="69" t="s">
        <v>36</v>
      </c>
      <c r="E402" s="80"/>
      <c r="F402" s="69" t="s">
        <v>40</v>
      </c>
      <c r="G402" s="67" t="s">
        <v>1149</v>
      </c>
      <c r="H402" s="70" t="s">
        <v>176</v>
      </c>
    </row>
    <row r="403" spans="1:8" ht="24">
      <c r="A403" s="65" t="s">
        <v>908</v>
      </c>
      <c r="B403" s="66" t="s">
        <v>672</v>
      </c>
      <c r="C403" s="66" t="s">
        <v>943</v>
      </c>
      <c r="D403" s="69" t="s">
        <v>603</v>
      </c>
      <c r="E403" s="80"/>
      <c r="F403" s="69" t="s">
        <v>695</v>
      </c>
      <c r="G403" s="67" t="s">
        <v>944</v>
      </c>
      <c r="H403" s="70" t="s">
        <v>910</v>
      </c>
    </row>
    <row r="404" spans="1:8" ht="24">
      <c r="A404" s="65" t="s">
        <v>32</v>
      </c>
      <c r="B404" s="66" t="s">
        <v>247</v>
      </c>
      <c r="C404" s="66" t="s">
        <v>268</v>
      </c>
      <c r="D404" s="77" t="s">
        <v>177</v>
      </c>
      <c r="E404" s="76" t="s">
        <v>250</v>
      </c>
      <c r="F404" s="69" t="s">
        <v>181</v>
      </c>
      <c r="G404" s="67" t="s">
        <v>279</v>
      </c>
      <c r="H404" s="70" t="s">
        <v>176</v>
      </c>
    </row>
    <row r="405" spans="1:8" ht="24">
      <c r="A405" s="65" t="s">
        <v>32</v>
      </c>
      <c r="B405" s="66" t="s">
        <v>470</v>
      </c>
      <c r="C405" s="66" t="s">
        <v>583</v>
      </c>
      <c r="D405" s="69" t="s">
        <v>177</v>
      </c>
      <c r="E405" s="78" t="s">
        <v>485</v>
      </c>
      <c r="F405" s="69" t="s">
        <v>283</v>
      </c>
      <c r="G405" s="67" t="s">
        <v>585</v>
      </c>
      <c r="H405" s="70" t="s">
        <v>176</v>
      </c>
    </row>
    <row r="406" spans="1:8" ht="24">
      <c r="A406" s="65" t="s">
        <v>32</v>
      </c>
      <c r="B406" s="66" t="s">
        <v>247</v>
      </c>
      <c r="C406" s="66" t="s">
        <v>383</v>
      </c>
      <c r="D406" s="85" t="s">
        <v>247</v>
      </c>
      <c r="E406" s="75"/>
      <c r="F406" s="69" t="s">
        <v>183</v>
      </c>
      <c r="G406" s="67" t="s">
        <v>393</v>
      </c>
      <c r="H406" s="70" t="s">
        <v>176</v>
      </c>
    </row>
    <row r="407" spans="1:8">
      <c r="A407" s="65" t="s">
        <v>699</v>
      </c>
      <c r="B407" s="66" t="s">
        <v>720</v>
      </c>
      <c r="C407" s="66" t="s">
        <v>756</v>
      </c>
      <c r="D407" s="67" t="s">
        <v>177</v>
      </c>
      <c r="E407" s="78" t="s">
        <v>751</v>
      </c>
      <c r="F407" s="69" t="s">
        <v>47</v>
      </c>
      <c r="G407" s="67" t="s">
        <v>768</v>
      </c>
      <c r="H407" s="70" t="s">
        <v>176</v>
      </c>
    </row>
    <row r="408" spans="1:8" ht="24">
      <c r="A408" s="65" t="s">
        <v>32</v>
      </c>
      <c r="B408" s="66" t="s">
        <v>470</v>
      </c>
      <c r="C408" s="66" t="s">
        <v>557</v>
      </c>
      <c r="D408" s="66" t="s">
        <v>470</v>
      </c>
      <c r="E408" s="86"/>
      <c r="F408" s="69" t="s">
        <v>47</v>
      </c>
      <c r="G408" s="67" t="s">
        <v>561</v>
      </c>
      <c r="H408" s="70" t="s">
        <v>210</v>
      </c>
    </row>
    <row r="409" spans="1:8" ht="24">
      <c r="A409" s="65" t="s">
        <v>699</v>
      </c>
      <c r="B409" s="66" t="s">
        <v>703</v>
      </c>
      <c r="C409" s="66" t="s">
        <v>769</v>
      </c>
      <c r="D409" s="66" t="s">
        <v>720</v>
      </c>
      <c r="E409" s="86"/>
      <c r="F409" s="69" t="s">
        <v>47</v>
      </c>
      <c r="G409" s="67" t="s">
        <v>774</v>
      </c>
      <c r="H409" s="70" t="s">
        <v>210</v>
      </c>
    </row>
    <row r="410" spans="1:8" ht="24">
      <c r="A410" s="65" t="s">
        <v>931</v>
      </c>
      <c r="B410" s="66" t="s">
        <v>932</v>
      </c>
      <c r="C410" s="66" t="s">
        <v>1203</v>
      </c>
      <c r="D410" s="95" t="s">
        <v>1201</v>
      </c>
      <c r="E410" s="106"/>
      <c r="F410" s="69" t="s">
        <v>538</v>
      </c>
      <c r="G410" s="67" t="s">
        <v>1204</v>
      </c>
      <c r="H410" s="70" t="s">
        <v>176</v>
      </c>
    </row>
    <row r="411" spans="1:8" ht="24">
      <c r="A411" s="65" t="s">
        <v>32</v>
      </c>
      <c r="B411" s="66" t="s">
        <v>247</v>
      </c>
      <c r="C411" s="66" t="s">
        <v>323</v>
      </c>
      <c r="D411" s="85" t="s">
        <v>247</v>
      </c>
      <c r="E411" s="75"/>
      <c r="F411" s="69" t="s">
        <v>40</v>
      </c>
      <c r="G411" s="67" t="s">
        <v>361</v>
      </c>
      <c r="H411" s="70" t="s">
        <v>210</v>
      </c>
    </row>
    <row r="412" spans="1:8" ht="24">
      <c r="A412" s="65" t="s">
        <v>972</v>
      </c>
      <c r="B412" s="66" t="s">
        <v>996</v>
      </c>
      <c r="C412" s="66" t="s">
        <v>1011</v>
      </c>
      <c r="D412" s="95" t="s">
        <v>468</v>
      </c>
      <c r="E412" s="86"/>
      <c r="F412" s="69" t="s">
        <v>48</v>
      </c>
      <c r="G412" s="67" t="s">
        <v>1017</v>
      </c>
      <c r="H412" s="70" t="s">
        <v>176</v>
      </c>
    </row>
    <row r="413" spans="1:8" ht="36">
      <c r="A413" s="65" t="s">
        <v>32</v>
      </c>
      <c r="B413" s="66" t="s">
        <v>408</v>
      </c>
      <c r="C413" s="66" t="s">
        <v>432</v>
      </c>
      <c r="D413" s="66" t="s">
        <v>410</v>
      </c>
      <c r="E413" s="86"/>
      <c r="F413" s="69" t="s">
        <v>422</v>
      </c>
      <c r="G413" s="67" t="s">
        <v>438</v>
      </c>
      <c r="H413" s="70" t="s">
        <v>176</v>
      </c>
    </row>
    <row r="414" spans="1:8">
      <c r="A414" s="65" t="s">
        <v>32</v>
      </c>
      <c r="B414" s="66" t="s">
        <v>247</v>
      </c>
      <c r="C414" s="66" t="s">
        <v>268</v>
      </c>
      <c r="D414" s="66" t="s">
        <v>177</v>
      </c>
      <c r="E414" s="86" t="s">
        <v>250</v>
      </c>
      <c r="F414" s="69" t="s">
        <v>181</v>
      </c>
      <c r="G414" s="67" t="s">
        <v>276</v>
      </c>
      <c r="H414" s="70" t="s">
        <v>176</v>
      </c>
    </row>
    <row r="415" spans="1:8" ht="36">
      <c r="A415" s="65" t="s">
        <v>1413</v>
      </c>
      <c r="B415" s="66" t="s">
        <v>1413</v>
      </c>
      <c r="C415" s="66" t="s">
        <v>1427</v>
      </c>
      <c r="D415" s="95" t="s">
        <v>177</v>
      </c>
      <c r="E415" s="106" t="s">
        <v>1108</v>
      </c>
      <c r="F415" s="69" t="s">
        <v>233</v>
      </c>
      <c r="G415" s="67" t="s">
        <v>1431</v>
      </c>
      <c r="H415" s="70" t="s">
        <v>243</v>
      </c>
    </row>
    <row r="416" spans="1:8" ht="24">
      <c r="A416" s="65" t="s">
        <v>32</v>
      </c>
      <c r="B416" s="66" t="s">
        <v>172</v>
      </c>
      <c r="C416" s="66" t="s">
        <v>202</v>
      </c>
      <c r="D416" s="66" t="s">
        <v>172</v>
      </c>
      <c r="E416" s="75"/>
      <c r="F416" s="69" t="s">
        <v>48</v>
      </c>
      <c r="G416" s="67" t="s">
        <v>214</v>
      </c>
      <c r="H416" s="70" t="s">
        <v>210</v>
      </c>
    </row>
    <row r="417" spans="1:8">
      <c r="A417" s="65" t="s">
        <v>32</v>
      </c>
      <c r="B417" s="66" t="s">
        <v>247</v>
      </c>
      <c r="C417" s="66" t="s">
        <v>310</v>
      </c>
      <c r="D417" s="85" t="s">
        <v>177</v>
      </c>
      <c r="E417" s="75" t="s">
        <v>250</v>
      </c>
      <c r="F417" s="69" t="s">
        <v>183</v>
      </c>
      <c r="G417" s="67" t="s">
        <v>315</v>
      </c>
      <c r="H417" s="70" t="s">
        <v>176</v>
      </c>
    </row>
    <row r="418" spans="1:8" ht="24">
      <c r="A418" s="65" t="s">
        <v>972</v>
      </c>
      <c r="B418" s="66" t="s">
        <v>1041</v>
      </c>
      <c r="C418" s="66" t="s">
        <v>1041</v>
      </c>
      <c r="D418" s="95" t="s">
        <v>468</v>
      </c>
      <c r="E418" s="86"/>
      <c r="F418" s="69" t="s">
        <v>48</v>
      </c>
      <c r="G418" s="67" t="s">
        <v>1072</v>
      </c>
      <c r="H418" s="70" t="s">
        <v>210</v>
      </c>
    </row>
    <row r="419" spans="1:8" ht="36">
      <c r="A419" s="65" t="s">
        <v>1363</v>
      </c>
      <c r="B419" s="66" t="s">
        <v>1364</v>
      </c>
      <c r="C419" s="66" t="s">
        <v>1376</v>
      </c>
      <c r="D419" s="66" t="s">
        <v>1366</v>
      </c>
      <c r="E419" s="86"/>
      <c r="F419" s="69" t="s">
        <v>48</v>
      </c>
      <c r="G419" s="67" t="s">
        <v>1382</v>
      </c>
      <c r="H419" s="70" t="s">
        <v>176</v>
      </c>
    </row>
    <row r="420" spans="1:8">
      <c r="A420" s="65" t="s">
        <v>972</v>
      </c>
      <c r="B420" s="66" t="s">
        <v>1041</v>
      </c>
      <c r="C420" s="66" t="s">
        <v>1041</v>
      </c>
      <c r="D420" s="95" t="s">
        <v>468</v>
      </c>
      <c r="E420" s="86"/>
      <c r="F420" s="69" t="s">
        <v>45</v>
      </c>
      <c r="G420" s="67" t="s">
        <v>1067</v>
      </c>
      <c r="H420" s="70" t="s">
        <v>176</v>
      </c>
    </row>
    <row r="421" spans="1:8" ht="24">
      <c r="A421" s="65" t="s">
        <v>699</v>
      </c>
      <c r="B421" s="66" t="s">
        <v>720</v>
      </c>
      <c r="C421" s="66" t="s">
        <v>756</v>
      </c>
      <c r="D421" s="66" t="s">
        <v>177</v>
      </c>
      <c r="E421" s="86" t="s">
        <v>758</v>
      </c>
      <c r="F421" s="69" t="s">
        <v>283</v>
      </c>
      <c r="G421" s="67" t="s">
        <v>759</v>
      </c>
      <c r="H421" s="70" t="s">
        <v>176</v>
      </c>
    </row>
    <row r="422" spans="1:8" ht="36">
      <c r="A422" s="65" t="s">
        <v>32</v>
      </c>
      <c r="B422" s="66" t="s">
        <v>408</v>
      </c>
      <c r="C422" s="66" t="s">
        <v>442</v>
      </c>
      <c r="D422" s="66" t="s">
        <v>410</v>
      </c>
      <c r="E422" s="86"/>
      <c r="F422" s="69" t="s">
        <v>48</v>
      </c>
      <c r="G422" s="67" t="s">
        <v>448</v>
      </c>
      <c r="H422" s="70" t="s">
        <v>210</v>
      </c>
    </row>
    <row r="423" spans="1:8" ht="24">
      <c r="A423" s="65" t="s">
        <v>931</v>
      </c>
      <c r="B423" s="66" t="s">
        <v>909</v>
      </c>
      <c r="C423" s="66" t="s">
        <v>1129</v>
      </c>
      <c r="D423" s="66" t="s">
        <v>909</v>
      </c>
      <c r="E423" s="86"/>
      <c r="F423" s="69" t="s">
        <v>51</v>
      </c>
      <c r="G423" s="67" t="s">
        <v>1130</v>
      </c>
      <c r="H423" s="70" t="s">
        <v>176</v>
      </c>
    </row>
    <row r="424" spans="1:8" ht="24">
      <c r="A424" s="65" t="s">
        <v>32</v>
      </c>
      <c r="B424" s="66" t="s">
        <v>449</v>
      </c>
      <c r="C424" s="66" t="s">
        <v>458</v>
      </c>
      <c r="D424" s="85" t="s">
        <v>451</v>
      </c>
      <c r="E424" s="75"/>
      <c r="F424" s="69" t="s">
        <v>48</v>
      </c>
      <c r="G424" s="67" t="s">
        <v>463</v>
      </c>
      <c r="H424" s="70" t="s">
        <v>176</v>
      </c>
    </row>
    <row r="425" spans="1:8">
      <c r="A425" s="65" t="s">
        <v>972</v>
      </c>
      <c r="B425" s="66" t="s">
        <v>1041</v>
      </c>
      <c r="C425" s="66" t="s">
        <v>1042</v>
      </c>
      <c r="D425" s="66" t="s">
        <v>219</v>
      </c>
      <c r="E425" s="86"/>
      <c r="F425" s="69" t="s">
        <v>50</v>
      </c>
      <c r="G425" s="67" t="s">
        <v>1059</v>
      </c>
      <c r="H425" s="70" t="s">
        <v>210</v>
      </c>
    </row>
    <row r="426" spans="1:8" ht="36">
      <c r="A426" s="65" t="s">
        <v>32</v>
      </c>
      <c r="B426" s="66" t="s">
        <v>408</v>
      </c>
      <c r="C426" s="66" t="s">
        <v>442</v>
      </c>
      <c r="D426" s="85" t="s">
        <v>177</v>
      </c>
      <c r="E426" s="75" t="s">
        <v>430</v>
      </c>
      <c r="F426" s="69" t="s">
        <v>422</v>
      </c>
      <c r="G426" s="67" t="s">
        <v>445</v>
      </c>
      <c r="H426" s="70" t="s">
        <v>176</v>
      </c>
    </row>
    <row r="427" spans="1:8" ht="24">
      <c r="A427" s="65" t="s">
        <v>32</v>
      </c>
      <c r="B427" s="66" t="s">
        <v>470</v>
      </c>
      <c r="C427" s="66" t="s">
        <v>473</v>
      </c>
      <c r="D427" s="66" t="s">
        <v>470</v>
      </c>
      <c r="E427" s="86"/>
      <c r="F427" s="69" t="s">
        <v>46</v>
      </c>
      <c r="G427" s="67" t="s">
        <v>499</v>
      </c>
      <c r="H427" s="70" t="s">
        <v>176</v>
      </c>
    </row>
    <row r="428" spans="1:8" ht="24">
      <c r="A428" s="65" t="s">
        <v>32</v>
      </c>
      <c r="B428" s="66" t="s">
        <v>247</v>
      </c>
      <c r="C428" s="66" t="s">
        <v>323</v>
      </c>
      <c r="D428" s="85" t="s">
        <v>247</v>
      </c>
      <c r="E428" s="75"/>
      <c r="F428" s="69" t="s">
        <v>283</v>
      </c>
      <c r="G428" s="67" t="s">
        <v>356</v>
      </c>
      <c r="H428" s="70" t="s">
        <v>210</v>
      </c>
    </row>
    <row r="429" spans="1:8" ht="24">
      <c r="A429" s="65" t="s">
        <v>32</v>
      </c>
      <c r="B429" s="66" t="s">
        <v>247</v>
      </c>
      <c r="C429" s="66" t="s">
        <v>323</v>
      </c>
      <c r="D429" s="85" t="s">
        <v>247</v>
      </c>
      <c r="E429" s="75"/>
      <c r="F429" s="69" t="s">
        <v>44</v>
      </c>
      <c r="G429" s="67" t="s">
        <v>327</v>
      </c>
      <c r="H429" s="70" t="s">
        <v>176</v>
      </c>
    </row>
    <row r="430" spans="1:8" ht="24">
      <c r="A430" s="65" t="s">
        <v>839</v>
      </c>
      <c r="B430" s="66" t="s">
        <v>871</v>
      </c>
      <c r="C430" s="66" t="s">
        <v>871</v>
      </c>
      <c r="D430" s="66" t="s">
        <v>603</v>
      </c>
      <c r="E430" s="86"/>
      <c r="F430" s="69" t="s">
        <v>47</v>
      </c>
      <c r="G430" s="67" t="s">
        <v>873</v>
      </c>
      <c r="H430" s="70" t="s">
        <v>843</v>
      </c>
    </row>
    <row r="431" spans="1:8" ht="36">
      <c r="A431" s="65" t="s">
        <v>1206</v>
      </c>
      <c r="B431" s="66" t="s">
        <v>1254</v>
      </c>
      <c r="C431" s="66" t="s">
        <v>1254</v>
      </c>
      <c r="D431" s="66" t="s">
        <v>177</v>
      </c>
      <c r="E431" s="86" t="s">
        <v>248</v>
      </c>
      <c r="F431" s="69" t="s">
        <v>1237</v>
      </c>
      <c r="G431" s="67" t="s">
        <v>1261</v>
      </c>
      <c r="H431" s="70" t="s">
        <v>176</v>
      </c>
    </row>
    <row r="432" spans="1:8" ht="24">
      <c r="A432" s="65" t="s">
        <v>32</v>
      </c>
      <c r="B432" s="66" t="s">
        <v>247</v>
      </c>
      <c r="C432" s="66" t="s">
        <v>323</v>
      </c>
      <c r="D432" s="85" t="s">
        <v>247</v>
      </c>
      <c r="E432" s="75"/>
      <c r="F432" s="69" t="s">
        <v>40</v>
      </c>
      <c r="G432" s="67" t="s">
        <v>360</v>
      </c>
      <c r="H432" s="70" t="s">
        <v>210</v>
      </c>
    </row>
    <row r="433" spans="1:8" ht="24">
      <c r="A433" s="65" t="s">
        <v>972</v>
      </c>
      <c r="B433" s="66" t="s">
        <v>1041</v>
      </c>
      <c r="C433" s="66" t="s">
        <v>1042</v>
      </c>
      <c r="D433" s="95" t="s">
        <v>219</v>
      </c>
      <c r="E433" s="86"/>
      <c r="F433" s="69" t="s">
        <v>50</v>
      </c>
      <c r="G433" s="67" t="s">
        <v>1055</v>
      </c>
      <c r="H433" s="70" t="s">
        <v>210</v>
      </c>
    </row>
    <row r="434" spans="1:8" ht="24">
      <c r="A434" s="65" t="s">
        <v>699</v>
      </c>
      <c r="B434" s="66" t="s">
        <v>700</v>
      </c>
      <c r="C434" s="66" t="s">
        <v>710</v>
      </c>
      <c r="D434" s="66" t="s">
        <v>700</v>
      </c>
      <c r="E434" s="86"/>
      <c r="F434" s="69" t="s">
        <v>174</v>
      </c>
      <c r="G434" s="67" t="s">
        <v>711</v>
      </c>
      <c r="H434" s="70" t="s">
        <v>176</v>
      </c>
    </row>
    <row r="435" spans="1:8" ht="24">
      <c r="A435" s="65" t="s">
        <v>931</v>
      </c>
      <c r="B435" s="66" t="s">
        <v>909</v>
      </c>
      <c r="C435" s="66" t="s">
        <v>1137</v>
      </c>
      <c r="D435" s="66" t="s">
        <v>909</v>
      </c>
      <c r="E435" s="86"/>
      <c r="F435" s="69" t="s">
        <v>181</v>
      </c>
      <c r="G435" s="67" t="s">
        <v>1139</v>
      </c>
      <c r="H435" s="70" t="s">
        <v>243</v>
      </c>
    </row>
    <row r="436" spans="1:8" ht="36">
      <c r="A436" s="65" t="s">
        <v>1206</v>
      </c>
      <c r="B436" s="66" t="s">
        <v>1294</v>
      </c>
      <c r="C436" s="66" t="s">
        <v>1294</v>
      </c>
      <c r="D436" s="66" t="s">
        <v>739</v>
      </c>
      <c r="E436" s="86" t="s">
        <v>740</v>
      </c>
      <c r="F436" s="69" t="s">
        <v>183</v>
      </c>
      <c r="G436" s="67" t="s">
        <v>1298</v>
      </c>
      <c r="H436" s="70" t="s">
        <v>176</v>
      </c>
    </row>
    <row r="437" spans="1:8">
      <c r="A437" s="65" t="s">
        <v>32</v>
      </c>
      <c r="B437" s="66" t="s">
        <v>247</v>
      </c>
      <c r="C437" s="66" t="s">
        <v>383</v>
      </c>
      <c r="D437" s="85" t="s">
        <v>177</v>
      </c>
      <c r="E437" s="75" t="s">
        <v>250</v>
      </c>
      <c r="F437" s="69" t="s">
        <v>44</v>
      </c>
      <c r="G437" s="67" t="s">
        <v>406</v>
      </c>
      <c r="H437" s="70" t="s">
        <v>176</v>
      </c>
    </row>
    <row r="438" spans="1:8" ht="24">
      <c r="A438" s="65" t="s">
        <v>32</v>
      </c>
      <c r="B438" s="66" t="s">
        <v>247</v>
      </c>
      <c r="C438" s="66" t="s">
        <v>323</v>
      </c>
      <c r="D438" s="85" t="s">
        <v>177</v>
      </c>
      <c r="E438" s="75" t="s">
        <v>250</v>
      </c>
      <c r="F438" s="69" t="s">
        <v>337</v>
      </c>
      <c r="G438" s="67" t="s">
        <v>347</v>
      </c>
      <c r="H438" s="70" t="s">
        <v>176</v>
      </c>
    </row>
    <row r="439" spans="1:8" ht="24">
      <c r="A439" s="65" t="s">
        <v>32</v>
      </c>
      <c r="B439" s="66" t="s">
        <v>247</v>
      </c>
      <c r="C439" s="66" t="s">
        <v>323</v>
      </c>
      <c r="D439" s="85" t="s">
        <v>177</v>
      </c>
      <c r="E439" s="75" t="s">
        <v>250</v>
      </c>
      <c r="F439" s="69" t="s">
        <v>337</v>
      </c>
      <c r="G439" s="67" t="s">
        <v>348</v>
      </c>
      <c r="H439" s="70" t="s">
        <v>176</v>
      </c>
    </row>
    <row r="440" spans="1:8" ht="36">
      <c r="A440" s="65" t="s">
        <v>1206</v>
      </c>
      <c r="B440" s="66" t="s">
        <v>1254</v>
      </c>
      <c r="C440" s="66" t="s">
        <v>1254</v>
      </c>
      <c r="D440" s="66" t="s">
        <v>470</v>
      </c>
      <c r="E440" s="86"/>
      <c r="F440" s="69" t="s">
        <v>1237</v>
      </c>
      <c r="G440" s="67" t="s">
        <v>1255</v>
      </c>
      <c r="H440" s="70" t="s">
        <v>176</v>
      </c>
    </row>
    <row r="441" spans="1:8" ht="24">
      <c r="A441" s="65" t="s">
        <v>32</v>
      </c>
      <c r="B441" s="66" t="s">
        <v>470</v>
      </c>
      <c r="C441" s="66" t="s">
        <v>534</v>
      </c>
      <c r="D441" s="66" t="s">
        <v>470</v>
      </c>
      <c r="E441" s="86"/>
      <c r="F441" s="69" t="s">
        <v>48</v>
      </c>
      <c r="G441" s="67" t="s">
        <v>551</v>
      </c>
      <c r="H441" s="70" t="s">
        <v>176</v>
      </c>
    </row>
    <row r="442" spans="1:8" ht="24">
      <c r="A442" s="65" t="s">
        <v>603</v>
      </c>
      <c r="B442" s="66" t="s">
        <v>672</v>
      </c>
      <c r="C442" s="66" t="s">
        <v>682</v>
      </c>
      <c r="D442" s="66" t="s">
        <v>603</v>
      </c>
      <c r="E442" s="86"/>
      <c r="F442" s="69" t="s">
        <v>47</v>
      </c>
      <c r="G442" s="67" t="s">
        <v>685</v>
      </c>
      <c r="H442" s="70" t="s">
        <v>210</v>
      </c>
    </row>
    <row r="443" spans="1:8" ht="24">
      <c r="A443" s="65" t="s">
        <v>32</v>
      </c>
      <c r="B443" s="66" t="s">
        <v>470</v>
      </c>
      <c r="C443" s="66" t="s">
        <v>473</v>
      </c>
      <c r="D443" s="66" t="s">
        <v>470</v>
      </c>
      <c r="E443" s="86"/>
      <c r="F443" s="69" t="s">
        <v>183</v>
      </c>
      <c r="G443" s="67" t="s">
        <v>495</v>
      </c>
      <c r="H443" s="70" t="s">
        <v>176</v>
      </c>
    </row>
    <row r="444" spans="1:8" ht="24">
      <c r="A444" s="65" t="s">
        <v>32</v>
      </c>
      <c r="B444" s="66" t="s">
        <v>247</v>
      </c>
      <c r="C444" s="66" t="s">
        <v>268</v>
      </c>
      <c r="D444" s="85" t="s">
        <v>177</v>
      </c>
      <c r="E444" s="75" t="s">
        <v>248</v>
      </c>
      <c r="F444" s="69" t="s">
        <v>283</v>
      </c>
      <c r="G444" s="67" t="s">
        <v>284</v>
      </c>
      <c r="H444" s="70" t="s">
        <v>176</v>
      </c>
    </row>
    <row r="445" spans="1:8" ht="36">
      <c r="A445" s="65" t="s">
        <v>1206</v>
      </c>
      <c r="B445" s="66" t="s">
        <v>1303</v>
      </c>
      <c r="C445" s="66" t="s">
        <v>1303</v>
      </c>
      <c r="D445" s="66" t="s">
        <v>177</v>
      </c>
      <c r="E445" s="86" t="s">
        <v>1108</v>
      </c>
      <c r="F445" s="69" t="s">
        <v>233</v>
      </c>
      <c r="G445" s="67" t="s">
        <v>1304</v>
      </c>
      <c r="H445" s="70" t="s">
        <v>176</v>
      </c>
    </row>
    <row r="446" spans="1:8" ht="36">
      <c r="A446" s="65" t="s">
        <v>1413</v>
      </c>
      <c r="B446" s="66" t="s">
        <v>1413</v>
      </c>
      <c r="C446" s="66" t="s">
        <v>1439</v>
      </c>
      <c r="D446" s="95" t="s">
        <v>177</v>
      </c>
      <c r="E446" s="106" t="s">
        <v>1112</v>
      </c>
      <c r="F446" s="69" t="s">
        <v>181</v>
      </c>
      <c r="G446" s="90" t="s">
        <v>1442</v>
      </c>
      <c r="H446" s="70" t="s">
        <v>176</v>
      </c>
    </row>
    <row r="447" spans="1:8" ht="36">
      <c r="A447" s="65" t="s">
        <v>1206</v>
      </c>
      <c r="B447" s="66" t="s">
        <v>1236</v>
      </c>
      <c r="C447" s="66" t="s">
        <v>1239</v>
      </c>
      <c r="D447" s="69" t="s">
        <v>739</v>
      </c>
      <c r="E447" s="80" t="s">
        <v>740</v>
      </c>
      <c r="F447" s="69" t="s">
        <v>174</v>
      </c>
      <c r="G447" s="67" t="s">
        <v>1240</v>
      </c>
      <c r="H447" s="70" t="s">
        <v>176</v>
      </c>
    </row>
    <row r="448" spans="1:8" ht="24">
      <c r="A448" s="65" t="s">
        <v>603</v>
      </c>
      <c r="B448" s="66" t="s">
        <v>617</v>
      </c>
      <c r="C448" s="66" t="s">
        <v>617</v>
      </c>
      <c r="D448" s="66" t="s">
        <v>177</v>
      </c>
      <c r="E448" s="86" t="s">
        <v>466</v>
      </c>
      <c r="F448" s="69" t="s">
        <v>48</v>
      </c>
      <c r="G448" s="67" t="s">
        <v>621</v>
      </c>
      <c r="H448" s="70" t="s">
        <v>210</v>
      </c>
    </row>
    <row r="449" spans="1:8">
      <c r="A449" s="65" t="s">
        <v>32</v>
      </c>
      <c r="B449" s="66" t="s">
        <v>247</v>
      </c>
      <c r="C449" s="66" t="s">
        <v>310</v>
      </c>
      <c r="D449" s="85" t="s">
        <v>177</v>
      </c>
      <c r="E449" s="75" t="s">
        <v>250</v>
      </c>
      <c r="F449" s="69" t="s">
        <v>44</v>
      </c>
      <c r="G449" s="67" t="s">
        <v>322</v>
      </c>
      <c r="H449" s="70" t="s">
        <v>176</v>
      </c>
    </row>
    <row r="450" spans="1:8">
      <c r="A450" s="65" t="s">
        <v>32</v>
      </c>
      <c r="B450" s="66" t="s">
        <v>219</v>
      </c>
      <c r="C450" s="66" t="s">
        <v>219</v>
      </c>
      <c r="D450" s="85" t="s">
        <v>177</v>
      </c>
      <c r="E450" s="86" t="s">
        <v>220</v>
      </c>
      <c r="F450" s="69" t="s">
        <v>183</v>
      </c>
      <c r="G450" s="67" t="s">
        <v>224</v>
      </c>
      <c r="H450" s="70" t="s">
        <v>176</v>
      </c>
    </row>
    <row r="451" spans="1:8" ht="36">
      <c r="A451" s="65" t="s">
        <v>931</v>
      </c>
      <c r="B451" s="66" t="s">
        <v>932</v>
      </c>
      <c r="C451" s="66" t="s">
        <v>1176</v>
      </c>
      <c r="D451" s="95" t="s">
        <v>935</v>
      </c>
      <c r="E451" s="106" t="s">
        <v>936</v>
      </c>
      <c r="F451" s="69" t="s">
        <v>1178</v>
      </c>
      <c r="G451" s="67" t="s">
        <v>1191</v>
      </c>
      <c r="H451" s="70" t="s">
        <v>176</v>
      </c>
    </row>
    <row r="452" spans="1:8">
      <c r="A452" s="65" t="s">
        <v>32</v>
      </c>
      <c r="B452" s="66" t="s">
        <v>247</v>
      </c>
      <c r="C452" s="66" t="s">
        <v>268</v>
      </c>
      <c r="D452" s="85" t="s">
        <v>177</v>
      </c>
      <c r="E452" s="75" t="s">
        <v>250</v>
      </c>
      <c r="F452" s="69" t="s">
        <v>43</v>
      </c>
      <c r="G452" s="67" t="s">
        <v>298</v>
      </c>
      <c r="H452" s="70" t="s">
        <v>176</v>
      </c>
    </row>
    <row r="453" spans="1:8" ht="24">
      <c r="A453" s="65" t="s">
        <v>32</v>
      </c>
      <c r="B453" s="66" t="s">
        <v>247</v>
      </c>
      <c r="C453" s="66" t="s">
        <v>323</v>
      </c>
      <c r="D453" s="85" t="s">
        <v>247</v>
      </c>
      <c r="E453" s="75"/>
      <c r="F453" s="69" t="s">
        <v>44</v>
      </c>
      <c r="G453" s="67" t="s">
        <v>326</v>
      </c>
      <c r="H453" s="70" t="s">
        <v>176</v>
      </c>
    </row>
    <row r="454" spans="1:8" ht="36">
      <c r="A454" s="65" t="s">
        <v>1206</v>
      </c>
      <c r="B454" s="66" t="s">
        <v>1221</v>
      </c>
      <c r="C454" s="66" t="s">
        <v>1221</v>
      </c>
      <c r="D454" s="66" t="s">
        <v>739</v>
      </c>
      <c r="E454" s="86" t="s">
        <v>740</v>
      </c>
      <c r="F454" s="69" t="s">
        <v>222</v>
      </c>
      <c r="G454" s="67" t="s">
        <v>1222</v>
      </c>
      <c r="H454" s="70" t="s">
        <v>176</v>
      </c>
    </row>
    <row r="455" spans="1:8" ht="24">
      <c r="A455" s="65" t="s">
        <v>931</v>
      </c>
      <c r="B455" s="66" t="s">
        <v>932</v>
      </c>
      <c r="C455" s="66" t="s">
        <v>1172</v>
      </c>
      <c r="D455" s="81" t="s">
        <v>935</v>
      </c>
      <c r="E455" s="82" t="s">
        <v>936</v>
      </c>
      <c r="F455" s="69" t="s">
        <v>1178</v>
      </c>
      <c r="G455" s="67" t="s">
        <v>1193</v>
      </c>
      <c r="H455" s="70" t="s">
        <v>176</v>
      </c>
    </row>
    <row r="456" spans="1:8" ht="24">
      <c r="A456" s="65" t="s">
        <v>32</v>
      </c>
      <c r="B456" s="66" t="s">
        <v>172</v>
      </c>
      <c r="C456" s="66" t="s">
        <v>173</v>
      </c>
      <c r="D456" s="69" t="s">
        <v>172</v>
      </c>
      <c r="E456" s="68"/>
      <c r="F456" s="69" t="s">
        <v>46</v>
      </c>
      <c r="G456" s="67" t="s">
        <v>196</v>
      </c>
      <c r="H456" s="70" t="s">
        <v>176</v>
      </c>
    </row>
    <row r="457" spans="1:8" ht="24">
      <c r="A457" s="65" t="s">
        <v>32</v>
      </c>
      <c r="B457" s="66" t="s">
        <v>470</v>
      </c>
      <c r="C457" s="66" t="s">
        <v>557</v>
      </c>
      <c r="D457" s="69" t="s">
        <v>470</v>
      </c>
      <c r="E457" s="80"/>
      <c r="F457" s="69" t="s">
        <v>51</v>
      </c>
      <c r="G457" s="67" t="s">
        <v>558</v>
      </c>
      <c r="H457" s="70" t="s">
        <v>210</v>
      </c>
    </row>
    <row r="458" spans="1:8" ht="24">
      <c r="A458" s="65" t="s">
        <v>32</v>
      </c>
      <c r="B458" s="66" t="s">
        <v>470</v>
      </c>
      <c r="C458" s="66" t="s">
        <v>473</v>
      </c>
      <c r="D458" s="69" t="s">
        <v>177</v>
      </c>
      <c r="E458" s="80" t="s">
        <v>474</v>
      </c>
      <c r="F458" s="69" t="s">
        <v>283</v>
      </c>
      <c r="G458" s="67" t="s">
        <v>479</v>
      </c>
      <c r="H458" s="70" t="s">
        <v>176</v>
      </c>
    </row>
    <row r="459" spans="1:8">
      <c r="A459" s="65" t="s">
        <v>603</v>
      </c>
      <c r="B459" s="66" t="s">
        <v>617</v>
      </c>
      <c r="C459" s="66" t="s">
        <v>617</v>
      </c>
      <c r="D459" s="69" t="s">
        <v>177</v>
      </c>
      <c r="E459" s="80" t="s">
        <v>466</v>
      </c>
      <c r="F459" s="69" t="s">
        <v>48</v>
      </c>
      <c r="G459" s="67" t="s">
        <v>622</v>
      </c>
      <c r="H459" s="70" t="s">
        <v>210</v>
      </c>
    </row>
    <row r="460" spans="1:8" ht="24">
      <c r="A460" s="65" t="s">
        <v>32</v>
      </c>
      <c r="B460" s="66" t="s">
        <v>172</v>
      </c>
      <c r="C460" s="66" t="s">
        <v>202</v>
      </c>
      <c r="D460" s="69" t="s">
        <v>172</v>
      </c>
      <c r="E460" s="68"/>
      <c r="F460" s="69" t="s">
        <v>183</v>
      </c>
      <c r="G460" s="67" t="s">
        <v>205</v>
      </c>
      <c r="H460" s="70" t="s">
        <v>176</v>
      </c>
    </row>
    <row r="461" spans="1:8" ht="36">
      <c r="A461" s="65" t="s">
        <v>1206</v>
      </c>
      <c r="B461" s="66" t="s">
        <v>1294</v>
      </c>
      <c r="C461" s="66" t="s">
        <v>1294</v>
      </c>
      <c r="D461" s="69" t="s">
        <v>739</v>
      </c>
      <c r="E461" s="80" t="s">
        <v>740</v>
      </c>
      <c r="F461" s="69" t="s">
        <v>51</v>
      </c>
      <c r="G461" s="67" t="s">
        <v>1295</v>
      </c>
      <c r="H461" s="70" t="s">
        <v>176</v>
      </c>
    </row>
    <row r="462" spans="1:8" ht="24">
      <c r="A462" s="65" t="s">
        <v>931</v>
      </c>
      <c r="B462" s="66" t="s">
        <v>909</v>
      </c>
      <c r="C462" s="66" t="s">
        <v>1098</v>
      </c>
      <c r="D462" s="91" t="s">
        <v>177</v>
      </c>
      <c r="E462" s="92" t="s">
        <v>1116</v>
      </c>
      <c r="F462" s="69" t="s">
        <v>1101</v>
      </c>
      <c r="G462" s="67" t="s">
        <v>1117</v>
      </c>
      <c r="H462" s="70" t="s">
        <v>176</v>
      </c>
    </row>
    <row r="463" spans="1:8" ht="24">
      <c r="A463" s="65" t="s">
        <v>32</v>
      </c>
      <c r="B463" s="66" t="s">
        <v>172</v>
      </c>
      <c r="C463" s="66" t="s">
        <v>173</v>
      </c>
      <c r="D463" s="69" t="s">
        <v>172</v>
      </c>
      <c r="E463" s="68"/>
      <c r="F463" s="69" t="s">
        <v>43</v>
      </c>
      <c r="G463" s="67" t="s">
        <v>200</v>
      </c>
      <c r="H463" s="70" t="s">
        <v>176</v>
      </c>
    </row>
    <row r="464" spans="1:8" ht="24">
      <c r="A464" s="65" t="s">
        <v>32</v>
      </c>
      <c r="B464" s="66" t="s">
        <v>247</v>
      </c>
      <c r="C464" s="66" t="s">
        <v>323</v>
      </c>
      <c r="D464" s="85" t="s">
        <v>247</v>
      </c>
      <c r="E464" s="75"/>
      <c r="F464" s="69" t="s">
        <v>40</v>
      </c>
      <c r="G464" s="67" t="s">
        <v>376</v>
      </c>
      <c r="H464" s="70" t="s">
        <v>365</v>
      </c>
    </row>
    <row r="465" spans="1:8" ht="24">
      <c r="A465" s="65" t="s">
        <v>795</v>
      </c>
      <c r="B465" s="66" t="s">
        <v>795</v>
      </c>
      <c r="C465" s="66" t="s">
        <v>796</v>
      </c>
      <c r="D465" s="66" t="s">
        <v>177</v>
      </c>
      <c r="E465" s="86" t="s">
        <v>466</v>
      </c>
      <c r="F465" s="69" t="s">
        <v>47</v>
      </c>
      <c r="G465" s="67" t="s">
        <v>808</v>
      </c>
      <c r="H465" s="70" t="s">
        <v>210</v>
      </c>
    </row>
    <row r="466" spans="1:8" ht="24">
      <c r="A466" s="65" t="s">
        <v>32</v>
      </c>
      <c r="B466" s="66" t="s">
        <v>172</v>
      </c>
      <c r="C466" s="66" t="s">
        <v>173</v>
      </c>
      <c r="D466" s="66" t="s">
        <v>172</v>
      </c>
      <c r="E466" s="75"/>
      <c r="F466" s="69" t="s">
        <v>183</v>
      </c>
      <c r="G466" s="67" t="s">
        <v>193</v>
      </c>
      <c r="H466" s="70" t="s">
        <v>176</v>
      </c>
    </row>
    <row r="467" spans="1:8" ht="24">
      <c r="A467" s="65" t="s">
        <v>32</v>
      </c>
      <c r="B467" s="66" t="s">
        <v>470</v>
      </c>
      <c r="C467" s="66" t="s">
        <v>519</v>
      </c>
      <c r="D467" s="66" t="s">
        <v>470</v>
      </c>
      <c r="E467" s="86"/>
      <c r="F467" s="69" t="s">
        <v>47</v>
      </c>
      <c r="G467" s="67" t="s">
        <v>520</v>
      </c>
      <c r="H467" s="70" t="s">
        <v>176</v>
      </c>
    </row>
    <row r="468" spans="1:8" ht="24">
      <c r="A468" s="65" t="s">
        <v>32</v>
      </c>
      <c r="B468" s="66" t="s">
        <v>470</v>
      </c>
      <c r="C468" s="66" t="s">
        <v>534</v>
      </c>
      <c r="D468" s="66" t="s">
        <v>470</v>
      </c>
      <c r="E468" s="86"/>
      <c r="F468" s="69" t="s">
        <v>47</v>
      </c>
      <c r="G468" s="67" t="s">
        <v>554</v>
      </c>
      <c r="H468" s="70" t="s">
        <v>176</v>
      </c>
    </row>
    <row r="469" spans="1:8" ht="24">
      <c r="A469" s="65" t="s">
        <v>32</v>
      </c>
      <c r="B469" s="66" t="s">
        <v>247</v>
      </c>
      <c r="C469" s="66" t="s">
        <v>300</v>
      </c>
      <c r="D469" s="85" t="s">
        <v>177</v>
      </c>
      <c r="E469" s="75" t="s">
        <v>250</v>
      </c>
      <c r="F469" s="69" t="s">
        <v>44</v>
      </c>
      <c r="G469" s="67" t="s">
        <v>302</v>
      </c>
      <c r="H469" s="70" t="s">
        <v>176</v>
      </c>
    </row>
    <row r="470" spans="1:8">
      <c r="A470" s="65" t="s">
        <v>699</v>
      </c>
      <c r="B470" s="66" t="s">
        <v>720</v>
      </c>
      <c r="C470" s="66" t="s">
        <v>742</v>
      </c>
      <c r="D470" s="69" t="s">
        <v>720</v>
      </c>
      <c r="E470" s="80"/>
      <c r="F470" s="69" t="s">
        <v>48</v>
      </c>
      <c r="G470" s="67" t="s">
        <v>744</v>
      </c>
      <c r="H470" s="70" t="s">
        <v>176</v>
      </c>
    </row>
    <row r="471" spans="1:8" ht="36">
      <c r="A471" s="65" t="s">
        <v>1363</v>
      </c>
      <c r="B471" s="66" t="s">
        <v>1364</v>
      </c>
      <c r="C471" s="66" t="s">
        <v>1365</v>
      </c>
      <c r="D471" s="69" t="s">
        <v>1366</v>
      </c>
      <c r="E471" s="80"/>
      <c r="F471" s="69" t="s">
        <v>986</v>
      </c>
      <c r="G471" s="67" t="s">
        <v>1367</v>
      </c>
      <c r="H471" s="70" t="s">
        <v>176</v>
      </c>
    </row>
    <row r="472" spans="1:8" ht="24">
      <c r="A472" s="65" t="s">
        <v>972</v>
      </c>
      <c r="B472" s="66" t="s">
        <v>996</v>
      </c>
      <c r="C472" s="66" t="s">
        <v>1011</v>
      </c>
      <c r="D472" s="69" t="s">
        <v>996</v>
      </c>
      <c r="E472" s="80"/>
      <c r="F472" s="69" t="s">
        <v>50</v>
      </c>
      <c r="G472" s="67" t="s">
        <v>1029</v>
      </c>
      <c r="H472" s="70" t="s">
        <v>210</v>
      </c>
    </row>
    <row r="473" spans="1:8" ht="24">
      <c r="A473" s="65" t="s">
        <v>972</v>
      </c>
      <c r="B473" s="66" t="s">
        <v>996</v>
      </c>
      <c r="C473" s="66" t="s">
        <v>1011</v>
      </c>
      <c r="D473" s="69" t="s">
        <v>996</v>
      </c>
      <c r="E473" s="80"/>
      <c r="F473" s="69" t="s">
        <v>51</v>
      </c>
      <c r="G473" s="67" t="s">
        <v>1012</v>
      </c>
      <c r="H473" s="70" t="s">
        <v>176</v>
      </c>
    </row>
    <row r="474" spans="1:8">
      <c r="A474" s="65" t="s">
        <v>908</v>
      </c>
      <c r="B474" s="66" t="s">
        <v>951</v>
      </c>
      <c r="C474" s="66" t="s">
        <v>952</v>
      </c>
      <c r="D474" s="69" t="s">
        <v>603</v>
      </c>
      <c r="E474" s="80"/>
      <c r="F474" s="69" t="s">
        <v>47</v>
      </c>
      <c r="G474" s="67" t="s">
        <v>953</v>
      </c>
      <c r="H474" s="70" t="s">
        <v>910</v>
      </c>
    </row>
    <row r="475" spans="1:8" ht="36">
      <c r="A475" s="65" t="s">
        <v>1206</v>
      </c>
      <c r="B475" s="66" t="s">
        <v>1254</v>
      </c>
      <c r="C475" s="66" t="s">
        <v>1254</v>
      </c>
      <c r="D475" s="69" t="s">
        <v>177</v>
      </c>
      <c r="E475" s="80" t="s">
        <v>250</v>
      </c>
      <c r="F475" s="69" t="s">
        <v>1281</v>
      </c>
      <c r="G475" s="67" t="s">
        <v>1284</v>
      </c>
      <c r="H475" s="70" t="s">
        <v>176</v>
      </c>
    </row>
    <row r="476" spans="1:8" ht="24">
      <c r="A476" s="65" t="s">
        <v>32</v>
      </c>
      <c r="B476" s="66" t="s">
        <v>470</v>
      </c>
      <c r="C476" s="66" t="s">
        <v>473</v>
      </c>
      <c r="D476" s="66" t="s">
        <v>177</v>
      </c>
      <c r="E476" s="86" t="s">
        <v>476</v>
      </c>
      <c r="F476" s="69" t="s">
        <v>46</v>
      </c>
      <c r="G476" s="67" t="s">
        <v>501</v>
      </c>
      <c r="H476" s="70" t="s">
        <v>176</v>
      </c>
    </row>
    <row r="477" spans="1:8" ht="36">
      <c r="A477" s="65" t="s">
        <v>1413</v>
      </c>
      <c r="B477" s="66" t="s">
        <v>1413</v>
      </c>
      <c r="C477" s="66" t="s">
        <v>1427</v>
      </c>
      <c r="D477" s="81" t="s">
        <v>177</v>
      </c>
      <c r="E477" s="82" t="s">
        <v>1108</v>
      </c>
      <c r="F477" s="69" t="s">
        <v>183</v>
      </c>
      <c r="G477" s="67" t="s">
        <v>1433</v>
      </c>
      <c r="H477" s="70" t="s">
        <v>243</v>
      </c>
    </row>
    <row r="478" spans="1:8" ht="24">
      <c r="A478" s="65" t="s">
        <v>32</v>
      </c>
      <c r="B478" s="66" t="s">
        <v>470</v>
      </c>
      <c r="C478" s="66" t="s">
        <v>534</v>
      </c>
      <c r="D478" s="77" t="s">
        <v>451</v>
      </c>
      <c r="E478" s="68"/>
      <c r="F478" s="69" t="s">
        <v>48</v>
      </c>
      <c r="G478" s="67" t="s">
        <v>540</v>
      </c>
      <c r="H478" s="70" t="s">
        <v>176</v>
      </c>
    </row>
    <row r="479" spans="1:8" ht="24">
      <c r="A479" s="65" t="s">
        <v>931</v>
      </c>
      <c r="B479" s="66" t="s">
        <v>909</v>
      </c>
      <c r="C479" s="66" t="s">
        <v>1137</v>
      </c>
      <c r="D479" s="69" t="s">
        <v>909</v>
      </c>
      <c r="E479" s="80"/>
      <c r="F479" s="69" t="s">
        <v>51</v>
      </c>
      <c r="G479" s="67" t="s">
        <v>1138</v>
      </c>
      <c r="H479" s="70" t="s">
        <v>176</v>
      </c>
    </row>
    <row r="480" spans="1:8" ht="24">
      <c r="A480" s="65" t="s">
        <v>931</v>
      </c>
      <c r="B480" s="66" t="s">
        <v>932</v>
      </c>
      <c r="C480" s="66" t="s">
        <v>1156</v>
      </c>
      <c r="D480" s="66" t="s">
        <v>935</v>
      </c>
      <c r="E480" s="106" t="s">
        <v>936</v>
      </c>
      <c r="F480" s="69" t="s">
        <v>198</v>
      </c>
      <c r="G480" s="67" t="s">
        <v>1158</v>
      </c>
      <c r="H480" s="70" t="s">
        <v>176</v>
      </c>
    </row>
    <row r="481" spans="1:8" ht="24">
      <c r="A481" s="65" t="s">
        <v>822</v>
      </c>
      <c r="B481" s="66" t="s">
        <v>822</v>
      </c>
      <c r="C481" s="66" t="s">
        <v>832</v>
      </c>
      <c r="D481" s="69" t="s">
        <v>822</v>
      </c>
      <c r="E481" s="80"/>
      <c r="F481" s="69" t="s">
        <v>48</v>
      </c>
      <c r="G481" s="67" t="s">
        <v>836</v>
      </c>
      <c r="H481" s="70" t="s">
        <v>210</v>
      </c>
    </row>
    <row r="482" spans="1:8">
      <c r="A482" s="65" t="s">
        <v>32</v>
      </c>
      <c r="B482" s="66" t="s">
        <v>247</v>
      </c>
      <c r="C482" s="66" t="s">
        <v>268</v>
      </c>
      <c r="D482" s="77" t="s">
        <v>177</v>
      </c>
      <c r="E482" s="68" t="s">
        <v>250</v>
      </c>
      <c r="F482" s="69" t="s">
        <v>183</v>
      </c>
      <c r="G482" s="67" t="s">
        <v>289</v>
      </c>
      <c r="H482" s="70" t="s">
        <v>176</v>
      </c>
    </row>
    <row r="483" spans="1:8" ht="48">
      <c r="A483" s="65" t="s">
        <v>1363</v>
      </c>
      <c r="B483" s="66" t="s">
        <v>1364</v>
      </c>
      <c r="C483" s="66" t="s">
        <v>1364</v>
      </c>
      <c r="D483" s="69" t="s">
        <v>739</v>
      </c>
      <c r="E483" s="80" t="s">
        <v>740</v>
      </c>
      <c r="F483" s="69" t="s">
        <v>1399</v>
      </c>
      <c r="G483" s="67" t="s">
        <v>1400</v>
      </c>
      <c r="H483" s="70" t="s">
        <v>176</v>
      </c>
    </row>
    <row r="484" spans="1:8">
      <c r="A484" s="65" t="s">
        <v>699</v>
      </c>
      <c r="B484" s="66" t="s">
        <v>720</v>
      </c>
      <c r="C484" s="66" t="s">
        <v>723</v>
      </c>
      <c r="D484" s="69" t="s">
        <v>720</v>
      </c>
      <c r="E484" s="80"/>
      <c r="F484" s="69" t="s">
        <v>48</v>
      </c>
      <c r="G484" s="67" t="s">
        <v>727</v>
      </c>
      <c r="H484" s="70" t="s">
        <v>176</v>
      </c>
    </row>
    <row r="485" spans="1:8" ht="24">
      <c r="A485" s="65" t="s">
        <v>32</v>
      </c>
      <c r="B485" s="66" t="s">
        <v>470</v>
      </c>
      <c r="C485" s="66" t="s">
        <v>473</v>
      </c>
      <c r="D485" s="69" t="s">
        <v>177</v>
      </c>
      <c r="E485" s="80" t="s">
        <v>476</v>
      </c>
      <c r="F485" s="69" t="s">
        <v>183</v>
      </c>
      <c r="G485" s="67" t="s">
        <v>491</v>
      </c>
      <c r="H485" s="70" t="s">
        <v>176</v>
      </c>
    </row>
    <row r="486" spans="1:8" ht="24">
      <c r="A486" s="65" t="s">
        <v>699</v>
      </c>
      <c r="B486" s="66" t="s">
        <v>703</v>
      </c>
      <c r="C486" s="66" t="s">
        <v>769</v>
      </c>
      <c r="D486" s="66" t="s">
        <v>720</v>
      </c>
      <c r="E486" s="86"/>
      <c r="F486" s="69" t="s">
        <v>47</v>
      </c>
      <c r="G486" s="69" t="s">
        <v>773</v>
      </c>
      <c r="H486" s="70" t="s">
        <v>210</v>
      </c>
    </row>
    <row r="487" spans="1:8" ht="36">
      <c r="A487" s="65" t="s">
        <v>1206</v>
      </c>
      <c r="B487" s="66" t="s">
        <v>1303</v>
      </c>
      <c r="C487" s="66" t="s">
        <v>1303</v>
      </c>
      <c r="D487" s="69" t="s">
        <v>177</v>
      </c>
      <c r="E487" s="80" t="s">
        <v>751</v>
      </c>
      <c r="F487" s="69" t="s">
        <v>514</v>
      </c>
      <c r="G487" s="67" t="s">
        <v>1316</v>
      </c>
      <c r="H487" s="70" t="s">
        <v>176</v>
      </c>
    </row>
    <row r="488" spans="1:8">
      <c r="A488" s="65" t="s">
        <v>908</v>
      </c>
      <c r="B488" s="66" t="s">
        <v>914</v>
      </c>
      <c r="C488" s="66" t="s">
        <v>914</v>
      </c>
      <c r="D488" s="66" t="s">
        <v>219</v>
      </c>
      <c r="E488" s="86"/>
      <c r="F488" s="69" t="s">
        <v>865</v>
      </c>
      <c r="G488" s="67" t="s">
        <v>916</v>
      </c>
      <c r="H488" s="70" t="s">
        <v>910</v>
      </c>
    </row>
    <row r="489" spans="1:8">
      <c r="A489" s="65" t="s">
        <v>32</v>
      </c>
      <c r="B489" s="66" t="s">
        <v>219</v>
      </c>
      <c r="C489" s="66" t="s">
        <v>219</v>
      </c>
      <c r="D489" s="85" t="s">
        <v>177</v>
      </c>
      <c r="E489" s="75" t="s">
        <v>244</v>
      </c>
      <c r="F489" s="69" t="s">
        <v>46</v>
      </c>
      <c r="G489" s="67" t="s">
        <v>245</v>
      </c>
      <c r="H489" s="70" t="s">
        <v>176</v>
      </c>
    </row>
    <row r="490" spans="1:8" ht="24">
      <c r="A490" s="65" t="s">
        <v>931</v>
      </c>
      <c r="B490" s="66" t="s">
        <v>932</v>
      </c>
      <c r="C490" s="66" t="s">
        <v>933</v>
      </c>
      <c r="D490" s="69" t="s">
        <v>932</v>
      </c>
      <c r="E490" s="80"/>
      <c r="F490" s="69" t="s">
        <v>174</v>
      </c>
      <c r="G490" s="67" t="s">
        <v>934</v>
      </c>
      <c r="H490" s="70" t="s">
        <v>176</v>
      </c>
    </row>
    <row r="491" spans="1:8" ht="24">
      <c r="A491" s="65" t="s">
        <v>603</v>
      </c>
      <c r="B491" s="66" t="s">
        <v>617</v>
      </c>
      <c r="C491" s="66" t="s">
        <v>626</v>
      </c>
      <c r="D491" s="66" t="s">
        <v>603</v>
      </c>
      <c r="E491" s="86"/>
      <c r="F491" s="69" t="s">
        <v>48</v>
      </c>
      <c r="G491" s="67" t="s">
        <v>627</v>
      </c>
      <c r="H491" s="70" t="s">
        <v>210</v>
      </c>
    </row>
    <row r="492" spans="1:8">
      <c r="A492" s="65" t="s">
        <v>32</v>
      </c>
      <c r="B492" s="66" t="s">
        <v>247</v>
      </c>
      <c r="C492" s="66" t="s">
        <v>251</v>
      </c>
      <c r="D492" s="85" t="s">
        <v>177</v>
      </c>
      <c r="E492" s="75" t="s">
        <v>250</v>
      </c>
      <c r="F492" s="69" t="s">
        <v>44</v>
      </c>
      <c r="G492" s="67" t="s">
        <v>254</v>
      </c>
      <c r="H492" s="70" t="s">
        <v>176</v>
      </c>
    </row>
    <row r="493" spans="1:8" ht="36">
      <c r="A493" s="65" t="s">
        <v>931</v>
      </c>
      <c r="B493" s="66" t="s">
        <v>932</v>
      </c>
      <c r="C493" s="66" t="s">
        <v>1176</v>
      </c>
      <c r="D493" s="95" t="s">
        <v>935</v>
      </c>
      <c r="E493" s="106" t="s">
        <v>936</v>
      </c>
      <c r="F493" s="69" t="s">
        <v>1178</v>
      </c>
      <c r="G493" s="67" t="s">
        <v>1186</v>
      </c>
      <c r="H493" s="70" t="s">
        <v>176</v>
      </c>
    </row>
    <row r="494" spans="1:8" ht="24">
      <c r="A494" s="65" t="s">
        <v>699</v>
      </c>
      <c r="B494" s="66" t="s">
        <v>703</v>
      </c>
      <c r="C494" s="66" t="s">
        <v>782</v>
      </c>
      <c r="D494" s="69" t="s">
        <v>700</v>
      </c>
      <c r="E494" s="80"/>
      <c r="F494" s="69" t="s">
        <v>47</v>
      </c>
      <c r="G494" s="67" t="s">
        <v>791</v>
      </c>
      <c r="H494" s="70" t="s">
        <v>176</v>
      </c>
    </row>
    <row r="495" spans="1:8" ht="36">
      <c r="A495" s="65" t="s">
        <v>32</v>
      </c>
      <c r="B495" s="66" t="s">
        <v>470</v>
      </c>
      <c r="C495" s="66" t="s">
        <v>590</v>
      </c>
      <c r="D495" s="69" t="s">
        <v>470</v>
      </c>
      <c r="E495" s="80"/>
      <c r="F495" s="69" t="s">
        <v>283</v>
      </c>
      <c r="G495" s="67" t="s">
        <v>591</v>
      </c>
      <c r="H495" s="70" t="s">
        <v>176</v>
      </c>
    </row>
    <row r="496" spans="1:8" ht="24">
      <c r="A496" s="65" t="s">
        <v>32</v>
      </c>
      <c r="B496" s="66" t="s">
        <v>247</v>
      </c>
      <c r="C496" s="66" t="s">
        <v>383</v>
      </c>
      <c r="D496" s="77" t="s">
        <v>177</v>
      </c>
      <c r="E496" s="68" t="s">
        <v>250</v>
      </c>
      <c r="F496" s="69" t="s">
        <v>44</v>
      </c>
      <c r="G496" s="67" t="s">
        <v>401</v>
      </c>
      <c r="H496" s="70" t="s">
        <v>176</v>
      </c>
    </row>
    <row r="497" spans="1:8" ht="36">
      <c r="A497" s="65" t="s">
        <v>32</v>
      </c>
      <c r="B497" s="66" t="s">
        <v>408</v>
      </c>
      <c r="C497" s="66" t="s">
        <v>413</v>
      </c>
      <c r="D497" s="69" t="s">
        <v>177</v>
      </c>
      <c r="E497" s="80" t="s">
        <v>250</v>
      </c>
      <c r="F497" s="69" t="s">
        <v>283</v>
      </c>
      <c r="G497" s="67" t="s">
        <v>414</v>
      </c>
      <c r="H497" s="70" t="s">
        <v>176</v>
      </c>
    </row>
    <row r="498" spans="1:8" ht="36">
      <c r="A498" s="65" t="s">
        <v>972</v>
      </c>
      <c r="B498" s="66" t="s">
        <v>1041</v>
      </c>
      <c r="C498" s="66" t="s">
        <v>1079</v>
      </c>
      <c r="D498" s="81" t="s">
        <v>468</v>
      </c>
      <c r="E498" s="80"/>
      <c r="F498" s="69" t="s">
        <v>45</v>
      </c>
      <c r="G498" s="67" t="s">
        <v>1080</v>
      </c>
      <c r="H498" s="70" t="s">
        <v>210</v>
      </c>
    </row>
    <row r="499" spans="1:8" ht="24">
      <c r="A499" s="65" t="s">
        <v>32</v>
      </c>
      <c r="B499" s="66" t="s">
        <v>470</v>
      </c>
      <c r="C499" s="66" t="s">
        <v>534</v>
      </c>
      <c r="D499" s="77" t="s">
        <v>451</v>
      </c>
      <c r="E499" s="68"/>
      <c r="F499" s="69" t="s">
        <v>48</v>
      </c>
      <c r="G499" s="67" t="s">
        <v>541</v>
      </c>
      <c r="H499" s="70" t="s">
        <v>176</v>
      </c>
    </row>
    <row r="500" spans="1:8" ht="36">
      <c r="A500" s="65" t="s">
        <v>1363</v>
      </c>
      <c r="B500" s="66" t="s">
        <v>1364</v>
      </c>
      <c r="C500" s="66" t="s">
        <v>1376</v>
      </c>
      <c r="D500" s="69" t="s">
        <v>1366</v>
      </c>
      <c r="E500" s="80"/>
      <c r="F500" s="69" t="s">
        <v>1378</v>
      </c>
      <c r="G500" s="67" t="s">
        <v>1379</v>
      </c>
      <c r="H500" s="70" t="s">
        <v>176</v>
      </c>
    </row>
    <row r="501" spans="1:8" ht="24">
      <c r="A501" s="65" t="s">
        <v>839</v>
      </c>
      <c r="B501" s="66" t="s">
        <v>871</v>
      </c>
      <c r="C501" s="66" t="s">
        <v>871</v>
      </c>
      <c r="D501" s="69" t="s">
        <v>603</v>
      </c>
      <c r="E501" s="80"/>
      <c r="F501" s="69" t="s">
        <v>886</v>
      </c>
      <c r="G501" s="67" t="s">
        <v>887</v>
      </c>
      <c r="H501" s="70" t="s">
        <v>843</v>
      </c>
    </row>
    <row r="502" spans="1:8" ht="36">
      <c r="A502" s="65" t="s">
        <v>972</v>
      </c>
      <c r="B502" s="66" t="s">
        <v>1041</v>
      </c>
      <c r="C502" s="66" t="s">
        <v>1079</v>
      </c>
      <c r="D502" s="81" t="s">
        <v>468</v>
      </c>
      <c r="E502" s="80"/>
      <c r="F502" s="69" t="s">
        <v>47</v>
      </c>
      <c r="G502" s="67" t="s">
        <v>1091</v>
      </c>
      <c r="H502" s="70" t="s">
        <v>210</v>
      </c>
    </row>
    <row r="503" spans="1:8" ht="24">
      <c r="A503" s="65" t="s">
        <v>32</v>
      </c>
      <c r="B503" s="66" t="s">
        <v>247</v>
      </c>
      <c r="C503" s="66" t="s">
        <v>383</v>
      </c>
      <c r="D503" s="77" t="s">
        <v>177</v>
      </c>
      <c r="E503" s="68" t="s">
        <v>250</v>
      </c>
      <c r="F503" s="69" t="s">
        <v>44</v>
      </c>
      <c r="G503" s="67" t="s">
        <v>403</v>
      </c>
      <c r="H503" s="70" t="s">
        <v>176</v>
      </c>
    </row>
    <row r="504" spans="1:8" ht="36">
      <c r="A504" s="65" t="s">
        <v>1363</v>
      </c>
      <c r="B504" s="66" t="s">
        <v>1364</v>
      </c>
      <c r="C504" s="66" t="s">
        <v>1384</v>
      </c>
      <c r="D504" s="69" t="s">
        <v>1366</v>
      </c>
      <c r="E504" s="80"/>
      <c r="F504" s="69" t="s">
        <v>48</v>
      </c>
      <c r="G504" s="67" t="s">
        <v>1394</v>
      </c>
      <c r="H504" s="70" t="s">
        <v>176</v>
      </c>
    </row>
    <row r="505" spans="1:8">
      <c r="A505" s="65" t="s">
        <v>972</v>
      </c>
      <c r="B505" s="66" t="s">
        <v>1041</v>
      </c>
      <c r="C505" s="66" t="s">
        <v>1041</v>
      </c>
      <c r="D505" s="81" t="s">
        <v>468</v>
      </c>
      <c r="E505" s="80"/>
      <c r="F505" s="69" t="s">
        <v>45</v>
      </c>
      <c r="G505" s="67" t="s">
        <v>1068</v>
      </c>
      <c r="H505" s="70" t="s">
        <v>176</v>
      </c>
    </row>
    <row r="506" spans="1:8" ht="24">
      <c r="A506" s="65" t="s">
        <v>32</v>
      </c>
      <c r="B506" s="66" t="s">
        <v>247</v>
      </c>
      <c r="C506" s="66" t="s">
        <v>268</v>
      </c>
      <c r="D506" s="77" t="s">
        <v>247</v>
      </c>
      <c r="E506" s="68"/>
      <c r="F506" s="69" t="s">
        <v>285</v>
      </c>
      <c r="G506" s="67" t="s">
        <v>297</v>
      </c>
      <c r="H506" s="70" t="s">
        <v>176</v>
      </c>
    </row>
    <row r="507" spans="1:8">
      <c r="A507" s="65" t="s">
        <v>1406</v>
      </c>
      <c r="B507" s="66" t="s">
        <v>1406</v>
      </c>
      <c r="C507" s="66" t="s">
        <v>1407</v>
      </c>
      <c r="D507" s="91" t="s">
        <v>177</v>
      </c>
      <c r="E507" s="80" t="s">
        <v>1408</v>
      </c>
      <c r="F507" s="69" t="s">
        <v>181</v>
      </c>
      <c r="G507" s="67" t="s">
        <v>1410</v>
      </c>
      <c r="H507" s="70" t="s">
        <v>176</v>
      </c>
    </row>
    <row r="508" spans="1:8" ht="24">
      <c r="A508" s="65" t="s">
        <v>32</v>
      </c>
      <c r="B508" s="66" t="s">
        <v>247</v>
      </c>
      <c r="C508" s="66" t="s">
        <v>323</v>
      </c>
      <c r="D508" s="77" t="s">
        <v>247</v>
      </c>
      <c r="E508" s="68"/>
      <c r="F508" s="69" t="s">
        <v>40</v>
      </c>
      <c r="G508" s="67" t="s">
        <v>363</v>
      </c>
      <c r="H508" s="70" t="s">
        <v>210</v>
      </c>
    </row>
    <row r="509" spans="1:8" ht="24">
      <c r="A509" s="65" t="s">
        <v>32</v>
      </c>
      <c r="B509" s="66" t="s">
        <v>470</v>
      </c>
      <c r="C509" s="66" t="s">
        <v>473</v>
      </c>
      <c r="D509" s="66" t="s">
        <v>177</v>
      </c>
      <c r="E509" s="86" t="s">
        <v>474</v>
      </c>
      <c r="F509" s="69" t="s">
        <v>480</v>
      </c>
      <c r="G509" s="67" t="s">
        <v>483</v>
      </c>
      <c r="H509" s="70" t="s">
        <v>176</v>
      </c>
    </row>
    <row r="510" spans="1:8" ht="24">
      <c r="A510" s="65" t="s">
        <v>839</v>
      </c>
      <c r="B510" s="66" t="s">
        <v>694</v>
      </c>
      <c r="C510" s="66" t="s">
        <v>694</v>
      </c>
      <c r="D510" s="66" t="s">
        <v>603</v>
      </c>
      <c r="E510" s="86"/>
      <c r="F510" s="69" t="s">
        <v>47</v>
      </c>
      <c r="G510" s="67" t="s">
        <v>858</v>
      </c>
      <c r="H510" s="70" t="s">
        <v>843</v>
      </c>
    </row>
    <row r="511" spans="1:8" ht="36">
      <c r="A511" s="65" t="s">
        <v>1206</v>
      </c>
      <c r="B511" s="66" t="s">
        <v>1294</v>
      </c>
      <c r="C511" s="66" t="s">
        <v>1294</v>
      </c>
      <c r="D511" s="66" t="s">
        <v>739</v>
      </c>
      <c r="E511" s="86" t="s">
        <v>740</v>
      </c>
      <c r="F511" s="69" t="s">
        <v>1299</v>
      </c>
      <c r="G511" s="67" t="s">
        <v>1302</v>
      </c>
      <c r="H511" s="70" t="s">
        <v>176</v>
      </c>
    </row>
    <row r="512" spans="1:8" ht="24">
      <c r="A512" s="65" t="s">
        <v>931</v>
      </c>
      <c r="B512" s="66" t="s">
        <v>932</v>
      </c>
      <c r="C512" s="66" t="s">
        <v>1156</v>
      </c>
      <c r="D512" s="69" t="s">
        <v>935</v>
      </c>
      <c r="E512" s="82" t="s">
        <v>936</v>
      </c>
      <c r="F512" s="69" t="s">
        <v>198</v>
      </c>
      <c r="G512" s="67" t="s">
        <v>1159</v>
      </c>
      <c r="H512" s="70" t="s">
        <v>176</v>
      </c>
    </row>
    <row r="513" spans="1:8">
      <c r="A513" s="65" t="s">
        <v>603</v>
      </c>
      <c r="B513" s="66" t="s">
        <v>617</v>
      </c>
      <c r="C513" s="66" t="s">
        <v>617</v>
      </c>
      <c r="D513" s="69" t="s">
        <v>603</v>
      </c>
      <c r="E513" s="80"/>
      <c r="F513" s="69" t="s">
        <v>47</v>
      </c>
      <c r="G513" s="67" t="s">
        <v>625</v>
      </c>
      <c r="H513" s="70" t="s">
        <v>210</v>
      </c>
    </row>
    <row r="514" spans="1:8" ht="24">
      <c r="A514" s="65" t="s">
        <v>32</v>
      </c>
      <c r="B514" s="66" t="s">
        <v>219</v>
      </c>
      <c r="C514" s="66" t="s">
        <v>219</v>
      </c>
      <c r="D514" s="77" t="s">
        <v>219</v>
      </c>
      <c r="E514" s="80"/>
      <c r="F514" s="69" t="s">
        <v>183</v>
      </c>
      <c r="G514" s="67" t="s">
        <v>229</v>
      </c>
      <c r="H514" s="70" t="s">
        <v>176</v>
      </c>
    </row>
    <row r="515" spans="1:8" ht="24">
      <c r="A515" s="65" t="s">
        <v>931</v>
      </c>
      <c r="B515" s="66" t="s">
        <v>36</v>
      </c>
      <c r="C515" s="66" t="s">
        <v>1144</v>
      </c>
      <c r="D515" s="69" t="s">
        <v>36</v>
      </c>
      <c r="E515" s="80"/>
      <c r="F515" s="69" t="s">
        <v>174</v>
      </c>
      <c r="G515" s="67" t="s">
        <v>1145</v>
      </c>
      <c r="H515" s="70" t="s">
        <v>176</v>
      </c>
    </row>
    <row r="516" spans="1:8">
      <c r="A516" s="65" t="s">
        <v>931</v>
      </c>
      <c r="B516" s="66" t="s">
        <v>36</v>
      </c>
      <c r="C516" s="66" t="s">
        <v>1146</v>
      </c>
      <c r="D516" s="69" t="s">
        <v>36</v>
      </c>
      <c r="E516" s="68"/>
      <c r="F516" s="69" t="s">
        <v>538</v>
      </c>
      <c r="G516" s="67" t="s">
        <v>1148</v>
      </c>
      <c r="H516" s="70" t="s">
        <v>176</v>
      </c>
    </row>
    <row r="517" spans="1:8" ht="36">
      <c r="A517" s="65" t="s">
        <v>1206</v>
      </c>
      <c r="B517" s="66" t="s">
        <v>1254</v>
      </c>
      <c r="C517" s="66" t="s">
        <v>1254</v>
      </c>
      <c r="D517" s="69" t="s">
        <v>177</v>
      </c>
      <c r="E517" s="80" t="s">
        <v>250</v>
      </c>
      <c r="F517" s="69" t="s">
        <v>50</v>
      </c>
      <c r="G517" s="67" t="s">
        <v>1279</v>
      </c>
      <c r="H517" s="70" t="s">
        <v>176</v>
      </c>
    </row>
    <row r="518" spans="1:8" ht="24">
      <c r="A518" s="65" t="s">
        <v>32</v>
      </c>
      <c r="B518" s="66" t="s">
        <v>470</v>
      </c>
      <c r="C518" s="66" t="s">
        <v>557</v>
      </c>
      <c r="D518" s="69" t="s">
        <v>470</v>
      </c>
      <c r="E518" s="80"/>
      <c r="F518" s="69" t="s">
        <v>47</v>
      </c>
      <c r="G518" s="67" t="s">
        <v>569</v>
      </c>
      <c r="H518" s="70" t="s">
        <v>210</v>
      </c>
    </row>
    <row r="519" spans="1:8" ht="36">
      <c r="A519" s="65" t="s">
        <v>931</v>
      </c>
      <c r="B519" s="66" t="s">
        <v>909</v>
      </c>
      <c r="C519" s="66" t="s">
        <v>1122</v>
      </c>
      <c r="D519" s="69" t="s">
        <v>909</v>
      </c>
      <c r="E519" s="80"/>
      <c r="F519" s="69" t="s">
        <v>1124</v>
      </c>
      <c r="G519" s="67" t="s">
        <v>1127</v>
      </c>
      <c r="H519" s="70" t="s">
        <v>1123</v>
      </c>
    </row>
    <row r="520" spans="1:8" ht="36">
      <c r="A520" s="65" t="s">
        <v>1413</v>
      </c>
      <c r="B520" s="66" t="s">
        <v>1413</v>
      </c>
      <c r="C520" s="66" t="s">
        <v>1443</v>
      </c>
      <c r="D520" s="91" t="s">
        <v>177</v>
      </c>
      <c r="E520" s="80" t="s">
        <v>1120</v>
      </c>
      <c r="F520" s="69" t="s">
        <v>44</v>
      </c>
      <c r="G520" s="67" t="s">
        <v>1447</v>
      </c>
      <c r="H520" s="70" t="s">
        <v>176</v>
      </c>
    </row>
    <row r="521" spans="1:8" ht="24">
      <c r="A521" s="65" t="s">
        <v>972</v>
      </c>
      <c r="B521" s="66" t="s">
        <v>983</v>
      </c>
      <c r="C521" s="66" t="s">
        <v>983</v>
      </c>
      <c r="D521" s="81" t="s">
        <v>468</v>
      </c>
      <c r="E521" s="80"/>
      <c r="F521" s="69" t="s">
        <v>993</v>
      </c>
      <c r="G521" s="67" t="s">
        <v>994</v>
      </c>
      <c r="H521" s="70" t="s">
        <v>243</v>
      </c>
    </row>
    <row r="522" spans="1:8">
      <c r="A522" s="65" t="s">
        <v>699</v>
      </c>
      <c r="B522" s="66" t="s">
        <v>720</v>
      </c>
      <c r="C522" s="66" t="s">
        <v>720</v>
      </c>
      <c r="D522" s="69" t="s">
        <v>720</v>
      </c>
      <c r="E522" s="80"/>
      <c r="F522" s="69" t="s">
        <v>48</v>
      </c>
      <c r="G522" s="67" t="s">
        <v>732</v>
      </c>
      <c r="H522" s="70" t="s">
        <v>176</v>
      </c>
    </row>
    <row r="523" spans="1:8" ht="24">
      <c r="A523" s="65" t="s">
        <v>32</v>
      </c>
      <c r="B523" s="66" t="s">
        <v>247</v>
      </c>
      <c r="C523" s="66" t="s">
        <v>300</v>
      </c>
      <c r="D523" s="77" t="s">
        <v>177</v>
      </c>
      <c r="E523" s="68" t="s">
        <v>250</v>
      </c>
      <c r="F523" s="69" t="s">
        <v>46</v>
      </c>
      <c r="G523" s="67" t="s">
        <v>308</v>
      </c>
      <c r="H523" s="70" t="s">
        <v>176</v>
      </c>
    </row>
    <row r="524" spans="1:8" ht="24">
      <c r="A524" s="65" t="s">
        <v>32</v>
      </c>
      <c r="B524" s="66" t="s">
        <v>172</v>
      </c>
      <c r="C524" s="66" t="s">
        <v>202</v>
      </c>
      <c r="D524" s="69" t="s">
        <v>172</v>
      </c>
      <c r="E524" s="68"/>
      <c r="F524" s="69" t="s">
        <v>44</v>
      </c>
      <c r="G524" s="67" t="s">
        <v>207</v>
      </c>
      <c r="H524" s="70" t="s">
        <v>176</v>
      </c>
    </row>
    <row r="525" spans="1:8" ht="36">
      <c r="A525" s="65" t="s">
        <v>1206</v>
      </c>
      <c r="B525" s="66" t="s">
        <v>840</v>
      </c>
      <c r="C525" s="66" t="s">
        <v>1207</v>
      </c>
      <c r="D525" s="69" t="s">
        <v>739</v>
      </c>
      <c r="E525" s="80" t="s">
        <v>740</v>
      </c>
      <c r="F525" s="69" t="s">
        <v>1207</v>
      </c>
      <c r="G525" s="67" t="s">
        <v>1208</v>
      </c>
      <c r="H525" s="70" t="s">
        <v>176</v>
      </c>
    </row>
    <row r="526" spans="1:8" ht="36">
      <c r="A526" s="65" t="s">
        <v>1206</v>
      </c>
      <c r="B526" s="66" t="s">
        <v>1244</v>
      </c>
      <c r="C526" s="66" t="s">
        <v>1244</v>
      </c>
      <c r="D526" s="69" t="s">
        <v>739</v>
      </c>
      <c r="E526" s="80" t="s">
        <v>740</v>
      </c>
      <c r="F526" s="69" t="s">
        <v>1250</v>
      </c>
      <c r="G526" s="67" t="s">
        <v>1251</v>
      </c>
      <c r="H526" s="70" t="s">
        <v>176</v>
      </c>
    </row>
    <row r="527" spans="1:8" ht="24">
      <c r="A527" s="65" t="s">
        <v>32</v>
      </c>
      <c r="B527" s="66" t="s">
        <v>247</v>
      </c>
      <c r="C527" s="66" t="s">
        <v>323</v>
      </c>
      <c r="D527" s="77" t="s">
        <v>247</v>
      </c>
      <c r="E527" s="68"/>
      <c r="F527" s="69" t="s">
        <v>40</v>
      </c>
      <c r="G527" s="67" t="s">
        <v>375</v>
      </c>
      <c r="H527" s="70" t="s">
        <v>365</v>
      </c>
    </row>
    <row r="528" spans="1:8" ht="24">
      <c r="A528" s="65" t="s">
        <v>32</v>
      </c>
      <c r="B528" s="66" t="s">
        <v>247</v>
      </c>
      <c r="C528" s="66" t="s">
        <v>383</v>
      </c>
      <c r="D528" s="77" t="s">
        <v>247</v>
      </c>
      <c r="E528" s="68"/>
      <c r="F528" s="69" t="s">
        <v>181</v>
      </c>
      <c r="G528" s="67" t="s">
        <v>391</v>
      </c>
      <c r="H528" s="70" t="s">
        <v>176</v>
      </c>
    </row>
    <row r="529" spans="1:8" ht="24">
      <c r="A529" s="65" t="s">
        <v>32</v>
      </c>
      <c r="B529" s="66" t="s">
        <v>172</v>
      </c>
      <c r="C529" s="66" t="s">
        <v>173</v>
      </c>
      <c r="D529" s="69" t="s">
        <v>177</v>
      </c>
      <c r="E529" s="68" t="s">
        <v>178</v>
      </c>
      <c r="F529" s="69" t="s">
        <v>51</v>
      </c>
      <c r="G529" s="67" t="s">
        <v>179</v>
      </c>
      <c r="H529" s="70" t="s">
        <v>176</v>
      </c>
    </row>
    <row r="530" spans="1:8" ht="36">
      <c r="A530" s="65" t="s">
        <v>1413</v>
      </c>
      <c r="B530" s="66" t="s">
        <v>1413</v>
      </c>
      <c r="C530" s="66" t="s">
        <v>1427</v>
      </c>
      <c r="D530" s="81" t="s">
        <v>177</v>
      </c>
      <c r="E530" s="82" t="s">
        <v>1108</v>
      </c>
      <c r="F530" s="69" t="s">
        <v>233</v>
      </c>
      <c r="G530" s="67" t="s">
        <v>1432</v>
      </c>
      <c r="H530" s="70" t="s">
        <v>243</v>
      </c>
    </row>
    <row r="531" spans="1:8" ht="36">
      <c r="A531" s="65" t="s">
        <v>1206</v>
      </c>
      <c r="B531" s="66" t="s">
        <v>1303</v>
      </c>
      <c r="C531" s="66" t="s">
        <v>1303</v>
      </c>
      <c r="D531" s="69" t="s">
        <v>177</v>
      </c>
      <c r="E531" s="80" t="s">
        <v>220</v>
      </c>
      <c r="F531" s="69" t="s">
        <v>514</v>
      </c>
      <c r="G531" s="67" t="s">
        <v>1320</v>
      </c>
      <c r="H531" s="70" t="s">
        <v>176</v>
      </c>
    </row>
    <row r="532" spans="1:8" ht="24">
      <c r="A532" s="65" t="s">
        <v>699</v>
      </c>
      <c r="B532" s="66" t="s">
        <v>720</v>
      </c>
      <c r="C532" s="66" t="s">
        <v>723</v>
      </c>
      <c r="D532" s="69" t="s">
        <v>720</v>
      </c>
      <c r="E532" s="80"/>
      <c r="F532" s="69" t="s">
        <v>283</v>
      </c>
      <c r="G532" s="67" t="s">
        <v>724</v>
      </c>
      <c r="H532" s="70" t="s">
        <v>176</v>
      </c>
    </row>
    <row r="533" spans="1:8">
      <c r="A533" s="65" t="s">
        <v>839</v>
      </c>
      <c r="B533" s="66" t="s">
        <v>694</v>
      </c>
      <c r="C533" s="66" t="s">
        <v>694</v>
      </c>
      <c r="D533" s="69" t="s">
        <v>822</v>
      </c>
      <c r="E533" s="80"/>
      <c r="F533" s="69" t="s">
        <v>47</v>
      </c>
      <c r="G533" s="67" t="s">
        <v>850</v>
      </c>
      <c r="H533" s="70" t="s">
        <v>843</v>
      </c>
    </row>
    <row r="534" spans="1:8" ht="36">
      <c r="A534" s="65" t="s">
        <v>1206</v>
      </c>
      <c r="B534" s="66" t="s">
        <v>1244</v>
      </c>
      <c r="C534" s="66" t="s">
        <v>1244</v>
      </c>
      <c r="D534" s="69" t="s">
        <v>739</v>
      </c>
      <c r="E534" s="80" t="s">
        <v>740</v>
      </c>
      <c r="F534" s="69" t="s">
        <v>181</v>
      </c>
      <c r="G534" s="67" t="s">
        <v>1249</v>
      </c>
      <c r="H534" s="70" t="s">
        <v>176</v>
      </c>
    </row>
    <row r="535" spans="1:8">
      <c r="A535" s="65" t="s">
        <v>908</v>
      </c>
      <c r="B535" s="66" t="s">
        <v>617</v>
      </c>
      <c r="C535" s="66" t="s">
        <v>617</v>
      </c>
      <c r="D535" s="69" t="s">
        <v>603</v>
      </c>
      <c r="E535" s="80"/>
      <c r="F535" s="69" t="s">
        <v>47</v>
      </c>
      <c r="G535" s="67" t="s">
        <v>927</v>
      </c>
      <c r="H535" s="70" t="s">
        <v>910</v>
      </c>
    </row>
    <row r="536" spans="1:8" ht="24">
      <c r="A536" s="65" t="s">
        <v>972</v>
      </c>
      <c r="B536" s="66" t="s">
        <v>1041</v>
      </c>
      <c r="C536" s="66" t="s">
        <v>1042</v>
      </c>
      <c r="D536" s="81" t="s">
        <v>470</v>
      </c>
      <c r="E536" s="80"/>
      <c r="F536" s="69" t="s">
        <v>50</v>
      </c>
      <c r="G536" s="67" t="s">
        <v>1046</v>
      </c>
      <c r="H536" s="70" t="s">
        <v>210</v>
      </c>
    </row>
    <row r="537" spans="1:8" ht="24">
      <c r="A537" s="65" t="s">
        <v>603</v>
      </c>
      <c r="B537" s="66" t="s">
        <v>617</v>
      </c>
      <c r="C537" s="66" t="s">
        <v>631</v>
      </c>
      <c r="D537" s="69" t="s">
        <v>603</v>
      </c>
      <c r="E537" s="80"/>
      <c r="F537" s="69" t="s">
        <v>632</v>
      </c>
      <c r="G537" s="67" t="s">
        <v>633</v>
      </c>
      <c r="H537" s="70" t="s">
        <v>210</v>
      </c>
    </row>
    <row r="538" spans="1:8" ht="24">
      <c r="A538" s="65" t="s">
        <v>699</v>
      </c>
      <c r="B538" s="66" t="s">
        <v>720</v>
      </c>
      <c r="C538" s="66" t="s">
        <v>742</v>
      </c>
      <c r="D538" s="69" t="s">
        <v>720</v>
      </c>
      <c r="E538" s="80"/>
      <c r="F538" s="69" t="s">
        <v>47</v>
      </c>
      <c r="G538" s="67" t="s">
        <v>753</v>
      </c>
      <c r="H538" s="70" t="s">
        <v>176</v>
      </c>
    </row>
    <row r="539" spans="1:8" ht="24">
      <c r="A539" s="65" t="s">
        <v>699</v>
      </c>
      <c r="B539" s="66" t="s">
        <v>720</v>
      </c>
      <c r="C539" s="66" t="s">
        <v>723</v>
      </c>
      <c r="D539" s="69" t="s">
        <v>720</v>
      </c>
      <c r="E539" s="80"/>
      <c r="F539" s="69" t="s">
        <v>48</v>
      </c>
      <c r="G539" s="67" t="s">
        <v>726</v>
      </c>
      <c r="H539" s="70" t="s">
        <v>176</v>
      </c>
    </row>
    <row r="540" spans="1:8" ht="24">
      <c r="A540" s="65" t="s">
        <v>795</v>
      </c>
      <c r="B540" s="66" t="s">
        <v>795</v>
      </c>
      <c r="C540" s="66" t="s">
        <v>796</v>
      </c>
      <c r="D540" s="69" t="s">
        <v>177</v>
      </c>
      <c r="E540" s="80" t="s">
        <v>466</v>
      </c>
      <c r="F540" s="69" t="s">
        <v>50</v>
      </c>
      <c r="G540" s="67" t="s">
        <v>821</v>
      </c>
      <c r="H540" s="70" t="s">
        <v>210</v>
      </c>
    </row>
    <row r="541" spans="1:8" ht="24">
      <c r="A541" s="65" t="s">
        <v>795</v>
      </c>
      <c r="B541" s="66" t="s">
        <v>795</v>
      </c>
      <c r="C541" s="66" t="s">
        <v>796</v>
      </c>
      <c r="D541" s="69" t="s">
        <v>177</v>
      </c>
      <c r="E541" s="80" t="s">
        <v>466</v>
      </c>
      <c r="F541" s="69" t="s">
        <v>47</v>
      </c>
      <c r="G541" s="67" t="s">
        <v>811</v>
      </c>
      <c r="H541" s="70" t="s">
        <v>210</v>
      </c>
    </row>
    <row r="542" spans="1:8" ht="24">
      <c r="A542" s="65" t="s">
        <v>32</v>
      </c>
      <c r="B542" s="66" t="s">
        <v>470</v>
      </c>
      <c r="C542" s="66" t="s">
        <v>473</v>
      </c>
      <c r="D542" s="69" t="s">
        <v>177</v>
      </c>
      <c r="E542" s="80" t="s">
        <v>478</v>
      </c>
      <c r="F542" s="69" t="s">
        <v>43</v>
      </c>
      <c r="G542" s="67" t="s">
        <v>505</v>
      </c>
      <c r="H542" s="70" t="s">
        <v>176</v>
      </c>
    </row>
    <row r="543" spans="1:8" ht="36">
      <c r="A543" s="65" t="s">
        <v>931</v>
      </c>
      <c r="B543" s="66" t="s">
        <v>909</v>
      </c>
      <c r="C543" s="66" t="s">
        <v>1122</v>
      </c>
      <c r="D543" s="69" t="s">
        <v>909</v>
      </c>
      <c r="E543" s="80"/>
      <c r="F543" s="69" t="s">
        <v>1124</v>
      </c>
      <c r="G543" s="67" t="s">
        <v>1128</v>
      </c>
      <c r="H543" s="70" t="s">
        <v>1123</v>
      </c>
    </row>
    <row r="544" spans="1:8" ht="24">
      <c r="A544" s="65" t="s">
        <v>32</v>
      </c>
      <c r="B544" s="66" t="s">
        <v>172</v>
      </c>
      <c r="C544" s="66" t="s">
        <v>202</v>
      </c>
      <c r="D544" s="69" t="s">
        <v>172</v>
      </c>
      <c r="E544" s="68"/>
      <c r="F544" s="69" t="s">
        <v>49</v>
      </c>
      <c r="G544" s="67" t="s">
        <v>211</v>
      </c>
      <c r="H544" s="70" t="s">
        <v>210</v>
      </c>
    </row>
    <row r="545" spans="1:8" ht="24">
      <c r="A545" s="65" t="s">
        <v>32</v>
      </c>
      <c r="B545" s="66" t="s">
        <v>470</v>
      </c>
      <c r="C545" s="66" t="s">
        <v>557</v>
      </c>
      <c r="D545" s="69" t="s">
        <v>470</v>
      </c>
      <c r="E545" s="80"/>
      <c r="F545" s="69" t="s">
        <v>47</v>
      </c>
      <c r="G545" s="67" t="s">
        <v>564</v>
      </c>
      <c r="H545" s="70" t="s">
        <v>210</v>
      </c>
    </row>
    <row r="546" spans="1:8">
      <c r="A546" s="65" t="s">
        <v>699</v>
      </c>
      <c r="B546" s="66" t="s">
        <v>720</v>
      </c>
      <c r="C546" s="66" t="s">
        <v>756</v>
      </c>
      <c r="D546" s="69" t="s">
        <v>177</v>
      </c>
      <c r="E546" s="80" t="s">
        <v>751</v>
      </c>
      <c r="F546" s="69" t="s">
        <v>47</v>
      </c>
      <c r="G546" s="67" t="s">
        <v>767</v>
      </c>
      <c r="H546" s="70" t="s">
        <v>176</v>
      </c>
    </row>
    <row r="547" spans="1:8" ht="36">
      <c r="A547" s="65" t="s">
        <v>972</v>
      </c>
      <c r="B547" s="66" t="s">
        <v>996</v>
      </c>
      <c r="C547" s="66" t="s">
        <v>997</v>
      </c>
      <c r="D547" s="81" t="s">
        <v>468</v>
      </c>
      <c r="E547" s="80"/>
      <c r="F547" s="69" t="s">
        <v>47</v>
      </c>
      <c r="G547" s="67" t="s">
        <v>1001</v>
      </c>
      <c r="H547" s="70" t="s">
        <v>176</v>
      </c>
    </row>
    <row r="548" spans="1:8">
      <c r="A548" s="65" t="s">
        <v>699</v>
      </c>
      <c r="B548" s="66" t="s">
        <v>720</v>
      </c>
      <c r="C548" s="66" t="s">
        <v>742</v>
      </c>
      <c r="D548" s="69" t="s">
        <v>720</v>
      </c>
      <c r="E548" s="80"/>
      <c r="F548" s="69" t="s">
        <v>48</v>
      </c>
      <c r="G548" s="67" t="s">
        <v>745</v>
      </c>
      <c r="H548" s="70" t="s">
        <v>176</v>
      </c>
    </row>
    <row r="549" spans="1:8">
      <c r="A549" s="65" t="s">
        <v>603</v>
      </c>
      <c r="B549" s="66" t="s">
        <v>606</v>
      </c>
      <c r="C549" s="66" t="s">
        <v>606</v>
      </c>
      <c r="D549" s="81" t="s">
        <v>468</v>
      </c>
      <c r="E549" s="68"/>
      <c r="F549" s="69" t="s">
        <v>48</v>
      </c>
      <c r="G549" s="67" t="s">
        <v>608</v>
      </c>
      <c r="H549" s="70" t="s">
        <v>176</v>
      </c>
    </row>
    <row r="550" spans="1:8">
      <c r="A550" s="65" t="s">
        <v>32</v>
      </c>
      <c r="B550" s="66" t="s">
        <v>219</v>
      </c>
      <c r="C550" s="66" t="s">
        <v>219</v>
      </c>
      <c r="D550" s="69" t="s">
        <v>219</v>
      </c>
      <c r="E550" s="68"/>
      <c r="F550" s="69" t="s">
        <v>43</v>
      </c>
      <c r="G550" s="67" t="s">
        <v>236</v>
      </c>
      <c r="H550" s="70" t="s">
        <v>176</v>
      </c>
    </row>
    <row r="551" spans="1:8" ht="24">
      <c r="A551" s="65" t="s">
        <v>699</v>
      </c>
      <c r="B551" s="66" t="s">
        <v>703</v>
      </c>
      <c r="C551" s="66" t="s">
        <v>782</v>
      </c>
      <c r="D551" s="69" t="s">
        <v>700</v>
      </c>
      <c r="E551" s="80"/>
      <c r="F551" s="69" t="s">
        <v>48</v>
      </c>
      <c r="G551" s="67" t="s">
        <v>788</v>
      </c>
      <c r="H551" s="70" t="s">
        <v>176</v>
      </c>
    </row>
    <row r="552" spans="1:8" ht="36">
      <c r="A552" s="65" t="s">
        <v>32</v>
      </c>
      <c r="B552" s="66" t="s">
        <v>408</v>
      </c>
      <c r="C552" s="66" t="s">
        <v>442</v>
      </c>
      <c r="D552" s="77" t="s">
        <v>177</v>
      </c>
      <c r="E552" s="68" t="s">
        <v>430</v>
      </c>
      <c r="F552" s="69" t="s">
        <v>422</v>
      </c>
      <c r="G552" s="67" t="s">
        <v>444</v>
      </c>
      <c r="H552" s="70" t="s">
        <v>176</v>
      </c>
    </row>
    <row r="553" spans="1:8" ht="24">
      <c r="A553" s="65" t="s">
        <v>908</v>
      </c>
      <c r="B553" s="66" t="s">
        <v>672</v>
      </c>
      <c r="C553" s="66" t="s">
        <v>940</v>
      </c>
      <c r="D553" s="69" t="s">
        <v>603</v>
      </c>
      <c r="E553" s="80"/>
      <c r="F553" s="69" t="s">
        <v>48</v>
      </c>
      <c r="G553" s="67" t="s">
        <v>942</v>
      </c>
      <c r="H553" s="70" t="s">
        <v>910</v>
      </c>
    </row>
    <row r="554" spans="1:8" ht="24">
      <c r="A554" s="65" t="s">
        <v>931</v>
      </c>
      <c r="B554" s="66" t="s">
        <v>909</v>
      </c>
      <c r="C554" s="66" t="s">
        <v>1137</v>
      </c>
      <c r="D554" s="69" t="s">
        <v>909</v>
      </c>
      <c r="E554" s="80"/>
      <c r="F554" s="69" t="s">
        <v>41</v>
      </c>
      <c r="G554" s="67" t="s">
        <v>1141</v>
      </c>
      <c r="H554" s="70" t="s">
        <v>176</v>
      </c>
    </row>
    <row r="555" spans="1:8" ht="36">
      <c r="A555" s="65" t="s">
        <v>1206</v>
      </c>
      <c r="B555" s="66" t="s">
        <v>1328</v>
      </c>
      <c r="C555" s="66" t="s">
        <v>1328</v>
      </c>
      <c r="D555" s="69" t="s">
        <v>177</v>
      </c>
      <c r="E555" s="80" t="s">
        <v>466</v>
      </c>
      <c r="F555" s="69" t="s">
        <v>198</v>
      </c>
      <c r="G555" s="67" t="s">
        <v>1362</v>
      </c>
      <c r="H555" s="70" t="s">
        <v>176</v>
      </c>
    </row>
    <row r="556" spans="1:8" ht="24">
      <c r="A556" s="65" t="s">
        <v>32</v>
      </c>
      <c r="B556" s="66" t="s">
        <v>172</v>
      </c>
      <c r="C556" s="66" t="s">
        <v>173</v>
      </c>
      <c r="D556" s="69" t="s">
        <v>177</v>
      </c>
      <c r="E556" s="68" t="s">
        <v>178</v>
      </c>
      <c r="F556" s="69" t="s">
        <v>198</v>
      </c>
      <c r="G556" s="67" t="s">
        <v>199</v>
      </c>
      <c r="H556" s="70" t="s">
        <v>176</v>
      </c>
    </row>
    <row r="557" spans="1:8" ht="36">
      <c r="A557" s="65" t="s">
        <v>1206</v>
      </c>
      <c r="B557" s="66" t="s">
        <v>1294</v>
      </c>
      <c r="C557" s="66" t="s">
        <v>1294</v>
      </c>
      <c r="D557" s="69" t="s">
        <v>739</v>
      </c>
      <c r="E557" s="80" t="s">
        <v>740</v>
      </c>
      <c r="F557" s="69" t="s">
        <v>183</v>
      </c>
      <c r="G557" s="67" t="s">
        <v>1296</v>
      </c>
      <c r="H557" s="70" t="s">
        <v>176</v>
      </c>
    </row>
    <row r="558" spans="1:8" ht="24">
      <c r="A558" s="65" t="s">
        <v>32</v>
      </c>
      <c r="B558" s="66" t="s">
        <v>449</v>
      </c>
      <c r="C558" s="66" t="s">
        <v>458</v>
      </c>
      <c r="D558" s="77" t="s">
        <v>177</v>
      </c>
      <c r="E558" s="68" t="s">
        <v>220</v>
      </c>
      <c r="F558" s="69" t="s">
        <v>460</v>
      </c>
      <c r="G558" s="67" t="s">
        <v>461</v>
      </c>
      <c r="H558" s="70" t="s">
        <v>176</v>
      </c>
    </row>
    <row r="559" spans="1:8">
      <c r="A559" s="65" t="s">
        <v>699</v>
      </c>
      <c r="B559" s="66" t="s">
        <v>720</v>
      </c>
      <c r="C559" s="66" t="s">
        <v>756</v>
      </c>
      <c r="D559" s="69" t="s">
        <v>177</v>
      </c>
      <c r="E559" s="80" t="s">
        <v>751</v>
      </c>
      <c r="F559" s="69" t="s">
        <v>48</v>
      </c>
      <c r="G559" s="67" t="s">
        <v>761</v>
      </c>
      <c r="H559" s="70" t="s">
        <v>176</v>
      </c>
    </row>
    <row r="560" spans="1:8" ht="24">
      <c r="A560" s="65" t="s">
        <v>32</v>
      </c>
      <c r="B560" s="66" t="s">
        <v>470</v>
      </c>
      <c r="C560" s="66" t="s">
        <v>557</v>
      </c>
      <c r="D560" s="69" t="s">
        <v>470</v>
      </c>
      <c r="E560" s="80"/>
      <c r="F560" s="69" t="s">
        <v>47</v>
      </c>
      <c r="G560" s="67" t="s">
        <v>559</v>
      </c>
      <c r="H560" s="70" t="s">
        <v>210</v>
      </c>
    </row>
    <row r="561" spans="1:8" ht="24">
      <c r="A561" s="65" t="s">
        <v>32</v>
      </c>
      <c r="B561" s="66" t="s">
        <v>247</v>
      </c>
      <c r="C561" s="66" t="s">
        <v>383</v>
      </c>
      <c r="D561" s="77" t="s">
        <v>247</v>
      </c>
      <c r="E561" s="68"/>
      <c r="F561" s="69" t="s">
        <v>44</v>
      </c>
      <c r="G561" s="67" t="s">
        <v>394</v>
      </c>
      <c r="H561" s="70" t="s">
        <v>176</v>
      </c>
    </row>
    <row r="562" spans="1:8" ht="24">
      <c r="A562" s="65" t="s">
        <v>699</v>
      </c>
      <c r="B562" s="66" t="s">
        <v>720</v>
      </c>
      <c r="C562" s="66" t="s">
        <v>742</v>
      </c>
      <c r="D562" s="69" t="s">
        <v>720</v>
      </c>
      <c r="E562" s="80"/>
      <c r="F562" s="69" t="s">
        <v>47</v>
      </c>
      <c r="G562" s="67" t="s">
        <v>754</v>
      </c>
      <c r="H562" s="70" t="s">
        <v>176</v>
      </c>
    </row>
    <row r="563" spans="1:8" ht="36">
      <c r="A563" s="65" t="s">
        <v>1206</v>
      </c>
      <c r="B563" s="66" t="s">
        <v>1328</v>
      </c>
      <c r="C563" s="66" t="s">
        <v>1328</v>
      </c>
      <c r="D563" s="69" t="s">
        <v>177</v>
      </c>
      <c r="E563" s="80" t="s">
        <v>1113</v>
      </c>
      <c r="F563" s="69" t="s">
        <v>283</v>
      </c>
      <c r="G563" s="67" t="s">
        <v>1331</v>
      </c>
      <c r="H563" s="70" t="s">
        <v>176</v>
      </c>
    </row>
    <row r="564" spans="1:8">
      <c r="A564" s="65" t="s">
        <v>32</v>
      </c>
      <c r="B564" s="66" t="s">
        <v>219</v>
      </c>
      <c r="C564" s="66" t="s">
        <v>219</v>
      </c>
      <c r="D564" s="77" t="s">
        <v>219</v>
      </c>
      <c r="E564" s="68"/>
      <c r="F564" s="69" t="s">
        <v>231</v>
      </c>
      <c r="G564" s="67" t="s">
        <v>232</v>
      </c>
      <c r="H564" s="70" t="s">
        <v>176</v>
      </c>
    </row>
    <row r="565" spans="1:8" ht="36">
      <c r="A565" s="65" t="s">
        <v>1363</v>
      </c>
      <c r="B565" s="66" t="s">
        <v>1364</v>
      </c>
      <c r="C565" s="66" t="s">
        <v>1384</v>
      </c>
      <c r="D565" s="69" t="s">
        <v>1366</v>
      </c>
      <c r="E565" s="80"/>
      <c r="F565" s="69" t="s">
        <v>48</v>
      </c>
      <c r="G565" s="67" t="s">
        <v>1390</v>
      </c>
      <c r="H565" s="70" t="s">
        <v>176</v>
      </c>
    </row>
    <row r="566" spans="1:8" ht="36">
      <c r="A566" s="65" t="s">
        <v>1206</v>
      </c>
      <c r="B566" s="66" t="s">
        <v>1221</v>
      </c>
      <c r="C566" s="66" t="s">
        <v>1221</v>
      </c>
      <c r="D566" s="69" t="s">
        <v>739</v>
      </c>
      <c r="E566" s="80" t="s">
        <v>740</v>
      </c>
      <c r="F566" s="69" t="s">
        <v>222</v>
      </c>
      <c r="G566" s="67" t="s">
        <v>1223</v>
      </c>
      <c r="H566" s="70" t="s">
        <v>176</v>
      </c>
    </row>
    <row r="567" spans="1:8" ht="36">
      <c r="A567" s="65" t="s">
        <v>32</v>
      </c>
      <c r="B567" s="66" t="s">
        <v>408</v>
      </c>
      <c r="C567" s="66" t="s">
        <v>432</v>
      </c>
      <c r="D567" s="69" t="s">
        <v>410</v>
      </c>
      <c r="E567" s="80"/>
      <c r="F567" s="69" t="s">
        <v>43</v>
      </c>
      <c r="G567" s="67" t="s">
        <v>440</v>
      </c>
      <c r="H567" s="70" t="s">
        <v>210</v>
      </c>
    </row>
    <row r="568" spans="1:8" ht="36">
      <c r="A568" s="65" t="s">
        <v>1363</v>
      </c>
      <c r="B568" s="66" t="s">
        <v>1364</v>
      </c>
      <c r="C568" s="66" t="s">
        <v>1384</v>
      </c>
      <c r="D568" s="69" t="s">
        <v>1366</v>
      </c>
      <c r="E568" s="80"/>
      <c r="F568" s="69" t="s">
        <v>1385</v>
      </c>
      <c r="G568" s="67" t="s">
        <v>1386</v>
      </c>
      <c r="H568" s="70" t="s">
        <v>176</v>
      </c>
    </row>
    <row r="569" spans="1:8" ht="24">
      <c r="A569" s="65" t="s">
        <v>972</v>
      </c>
      <c r="B569" s="66" t="s">
        <v>983</v>
      </c>
      <c r="C569" s="66" t="s">
        <v>983</v>
      </c>
      <c r="D569" s="81" t="s">
        <v>468</v>
      </c>
      <c r="E569" s="80"/>
      <c r="F569" s="69" t="s">
        <v>865</v>
      </c>
      <c r="G569" s="67" t="s">
        <v>992</v>
      </c>
      <c r="H569" s="70" t="s">
        <v>243</v>
      </c>
    </row>
    <row r="570" spans="1:8" ht="36">
      <c r="A570" s="65" t="s">
        <v>1206</v>
      </c>
      <c r="B570" s="66" t="s">
        <v>1303</v>
      </c>
      <c r="C570" s="66" t="s">
        <v>1303</v>
      </c>
      <c r="D570" s="69" t="s">
        <v>177</v>
      </c>
      <c r="E570" s="80" t="s">
        <v>783</v>
      </c>
      <c r="F570" s="69" t="s">
        <v>514</v>
      </c>
      <c r="G570" s="67" t="s">
        <v>1327</v>
      </c>
      <c r="H570" s="70" t="s">
        <v>176</v>
      </c>
    </row>
    <row r="571" spans="1:8" ht="24">
      <c r="A571" s="65" t="s">
        <v>603</v>
      </c>
      <c r="B571" s="66" t="s">
        <v>672</v>
      </c>
      <c r="C571" s="66" t="s">
        <v>677</v>
      </c>
      <c r="D571" s="69" t="s">
        <v>603</v>
      </c>
      <c r="E571" s="80"/>
      <c r="F571" s="69" t="s">
        <v>632</v>
      </c>
      <c r="G571" s="67" t="s">
        <v>678</v>
      </c>
      <c r="H571" s="70" t="s">
        <v>210</v>
      </c>
    </row>
    <row r="572" spans="1:8" ht="24">
      <c r="A572" s="65" t="s">
        <v>32</v>
      </c>
      <c r="B572" s="66" t="s">
        <v>470</v>
      </c>
      <c r="C572" s="66" t="s">
        <v>525</v>
      </c>
      <c r="D572" s="69" t="s">
        <v>470</v>
      </c>
      <c r="E572" s="80"/>
      <c r="F572" s="69" t="s">
        <v>45</v>
      </c>
      <c r="G572" s="67" t="s">
        <v>526</v>
      </c>
      <c r="H572" s="70" t="s">
        <v>176</v>
      </c>
    </row>
    <row r="573" spans="1:8" ht="36">
      <c r="A573" s="65" t="s">
        <v>1206</v>
      </c>
      <c r="B573" s="66" t="s">
        <v>1254</v>
      </c>
      <c r="C573" s="66" t="s">
        <v>1254</v>
      </c>
      <c r="D573" s="69" t="s">
        <v>177</v>
      </c>
      <c r="E573" s="80" t="s">
        <v>250</v>
      </c>
      <c r="F573" s="69" t="s">
        <v>1281</v>
      </c>
      <c r="G573" s="67" t="s">
        <v>1285</v>
      </c>
      <c r="H573" s="70" t="s">
        <v>176</v>
      </c>
    </row>
    <row r="574" spans="1:8">
      <c r="A574" s="65" t="s">
        <v>908</v>
      </c>
      <c r="B574" s="66" t="s">
        <v>672</v>
      </c>
      <c r="C574" s="66" t="s">
        <v>943</v>
      </c>
      <c r="D574" s="69" t="s">
        <v>603</v>
      </c>
      <c r="E574" s="80"/>
      <c r="F574" s="69" t="s">
        <v>47</v>
      </c>
      <c r="G574" s="67" t="s">
        <v>947</v>
      </c>
      <c r="H574" s="70" t="s">
        <v>910</v>
      </c>
    </row>
    <row r="575" spans="1:8" ht="24">
      <c r="A575" s="65" t="s">
        <v>32</v>
      </c>
      <c r="B575" s="66" t="s">
        <v>247</v>
      </c>
      <c r="C575" s="66" t="s">
        <v>323</v>
      </c>
      <c r="D575" s="77" t="s">
        <v>247</v>
      </c>
      <c r="E575" s="68"/>
      <c r="F575" s="69" t="s">
        <v>40</v>
      </c>
      <c r="G575" s="67" t="s">
        <v>359</v>
      </c>
      <c r="H575" s="70" t="s">
        <v>210</v>
      </c>
    </row>
    <row r="576" spans="1:8" ht="36">
      <c r="A576" s="65" t="s">
        <v>32</v>
      </c>
      <c r="B576" s="66" t="s">
        <v>408</v>
      </c>
      <c r="C576" s="66" t="s">
        <v>413</v>
      </c>
      <c r="D576" s="69" t="s">
        <v>410</v>
      </c>
      <c r="E576" s="80"/>
      <c r="F576" s="69" t="s">
        <v>422</v>
      </c>
      <c r="G576" s="67" t="s">
        <v>423</v>
      </c>
      <c r="H576" s="70" t="s">
        <v>176</v>
      </c>
    </row>
    <row r="577" spans="1:8" ht="24">
      <c r="A577" s="65" t="s">
        <v>32</v>
      </c>
      <c r="B577" s="66" t="s">
        <v>470</v>
      </c>
      <c r="C577" s="66" t="s">
        <v>525</v>
      </c>
      <c r="D577" s="69" t="s">
        <v>470</v>
      </c>
      <c r="E577" s="80"/>
      <c r="F577" s="69" t="s">
        <v>44</v>
      </c>
      <c r="G577" s="67" t="s">
        <v>531</v>
      </c>
      <c r="H577" s="70" t="s">
        <v>176</v>
      </c>
    </row>
    <row r="578" spans="1:8" ht="36">
      <c r="A578" s="65" t="s">
        <v>699</v>
      </c>
      <c r="B578" s="66" t="s">
        <v>720</v>
      </c>
      <c r="C578" s="66" t="s">
        <v>756</v>
      </c>
      <c r="D578" s="69" t="s">
        <v>703</v>
      </c>
      <c r="E578" s="80"/>
      <c r="F578" s="69" t="s">
        <v>48</v>
      </c>
      <c r="G578" s="67" t="s">
        <v>765</v>
      </c>
      <c r="H578" s="70" t="s">
        <v>176</v>
      </c>
    </row>
    <row r="579" spans="1:8" ht="24">
      <c r="A579" s="65" t="s">
        <v>32</v>
      </c>
      <c r="B579" s="66" t="s">
        <v>449</v>
      </c>
      <c r="C579" s="66" t="s">
        <v>458</v>
      </c>
      <c r="D579" s="77" t="s">
        <v>451</v>
      </c>
      <c r="E579" s="68"/>
      <c r="F579" s="69" t="s">
        <v>48</v>
      </c>
      <c r="G579" s="67" t="s">
        <v>464</v>
      </c>
      <c r="H579" s="70" t="s">
        <v>176</v>
      </c>
    </row>
    <row r="580" spans="1:8" ht="24">
      <c r="A580" s="65" t="s">
        <v>32</v>
      </c>
      <c r="B580" s="66" t="s">
        <v>247</v>
      </c>
      <c r="C580" s="66" t="s">
        <v>383</v>
      </c>
      <c r="D580" s="77" t="s">
        <v>247</v>
      </c>
      <c r="E580" s="68"/>
      <c r="F580" s="69" t="s">
        <v>183</v>
      </c>
      <c r="G580" s="67" t="s">
        <v>392</v>
      </c>
      <c r="H580" s="70" t="s">
        <v>176</v>
      </c>
    </row>
    <row r="581" spans="1:8" ht="24">
      <c r="A581" s="65" t="s">
        <v>32</v>
      </c>
      <c r="B581" s="66" t="s">
        <v>247</v>
      </c>
      <c r="C581" s="66" t="s">
        <v>323</v>
      </c>
      <c r="D581" s="77" t="s">
        <v>177</v>
      </c>
      <c r="E581" s="68" t="s">
        <v>250</v>
      </c>
      <c r="F581" s="69" t="s">
        <v>43</v>
      </c>
      <c r="G581" s="67" t="s">
        <v>334</v>
      </c>
      <c r="H581" s="70" t="s">
        <v>176</v>
      </c>
    </row>
    <row r="582" spans="1:8" ht="24">
      <c r="A582" s="65" t="s">
        <v>972</v>
      </c>
      <c r="B582" s="66" t="s">
        <v>996</v>
      </c>
      <c r="C582" s="66" t="s">
        <v>1011</v>
      </c>
      <c r="D582" s="69" t="s">
        <v>996</v>
      </c>
      <c r="E582" s="80"/>
      <c r="F582" s="69" t="s">
        <v>48</v>
      </c>
      <c r="G582" s="67" t="s">
        <v>1024</v>
      </c>
      <c r="H582" s="70" t="s">
        <v>176</v>
      </c>
    </row>
    <row r="583" spans="1:8" ht="24">
      <c r="A583" s="65" t="s">
        <v>32</v>
      </c>
      <c r="B583" s="66" t="s">
        <v>470</v>
      </c>
      <c r="C583" s="66" t="s">
        <v>588</v>
      </c>
      <c r="D583" s="69" t="s">
        <v>177</v>
      </c>
      <c r="E583" s="80" t="s">
        <v>566</v>
      </c>
      <c r="F583" s="69" t="s">
        <v>44</v>
      </c>
      <c r="G583" s="67" t="s">
        <v>594</v>
      </c>
      <c r="H583" s="70" t="s">
        <v>176</v>
      </c>
    </row>
    <row r="584" spans="1:8" ht="36">
      <c r="A584" s="65" t="s">
        <v>1206</v>
      </c>
      <c r="B584" s="66" t="s">
        <v>1209</v>
      </c>
      <c r="C584" s="66" t="s">
        <v>1209</v>
      </c>
      <c r="D584" s="69" t="s">
        <v>739</v>
      </c>
      <c r="E584" s="80" t="s">
        <v>740</v>
      </c>
      <c r="F584" s="69" t="s">
        <v>222</v>
      </c>
      <c r="G584" s="67" t="s">
        <v>1214</v>
      </c>
      <c r="H584" s="70" t="s">
        <v>176</v>
      </c>
    </row>
    <row r="585" spans="1:8" ht="24">
      <c r="A585" s="65" t="s">
        <v>795</v>
      </c>
      <c r="B585" s="66" t="s">
        <v>795</v>
      </c>
      <c r="C585" s="66" t="s">
        <v>796</v>
      </c>
      <c r="D585" s="69" t="s">
        <v>177</v>
      </c>
      <c r="E585" s="80" t="s">
        <v>466</v>
      </c>
      <c r="F585" s="69" t="s">
        <v>47</v>
      </c>
      <c r="G585" s="67" t="s">
        <v>813</v>
      </c>
      <c r="H585" s="70" t="s">
        <v>210</v>
      </c>
    </row>
    <row r="586" spans="1:8" ht="36">
      <c r="A586" s="65" t="s">
        <v>972</v>
      </c>
      <c r="B586" s="66" t="s">
        <v>1041</v>
      </c>
      <c r="C586" s="66" t="s">
        <v>1079</v>
      </c>
      <c r="D586" s="81" t="s">
        <v>468</v>
      </c>
      <c r="E586" s="80"/>
      <c r="F586" s="69" t="s">
        <v>48</v>
      </c>
      <c r="G586" s="67" t="s">
        <v>1090</v>
      </c>
      <c r="H586" s="70" t="s">
        <v>210</v>
      </c>
    </row>
    <row r="587" spans="1:8" ht="36">
      <c r="A587" s="65" t="s">
        <v>1206</v>
      </c>
      <c r="B587" s="66" t="s">
        <v>1209</v>
      </c>
      <c r="C587" s="66" t="s">
        <v>1209</v>
      </c>
      <c r="D587" s="69" t="s">
        <v>739</v>
      </c>
      <c r="E587" s="80" t="s">
        <v>740</v>
      </c>
      <c r="F587" s="69" t="s">
        <v>222</v>
      </c>
      <c r="G587" s="67" t="s">
        <v>1210</v>
      </c>
      <c r="H587" s="70" t="s">
        <v>176</v>
      </c>
    </row>
    <row r="588" spans="1:8" ht="24">
      <c r="A588" s="65" t="s">
        <v>32</v>
      </c>
      <c r="B588" s="66" t="s">
        <v>247</v>
      </c>
      <c r="C588" s="66" t="s">
        <v>251</v>
      </c>
      <c r="D588" s="77" t="s">
        <v>177</v>
      </c>
      <c r="E588" s="68" t="s">
        <v>250</v>
      </c>
      <c r="F588" s="69" t="s">
        <v>43</v>
      </c>
      <c r="G588" s="67" t="s">
        <v>259</v>
      </c>
      <c r="H588" s="70" t="s">
        <v>176</v>
      </c>
    </row>
    <row r="589" spans="1:8" ht="36">
      <c r="A589" s="65" t="s">
        <v>839</v>
      </c>
      <c r="B589" s="66" t="s">
        <v>892</v>
      </c>
      <c r="C589" s="66" t="s">
        <v>892</v>
      </c>
      <c r="D589" s="69" t="s">
        <v>703</v>
      </c>
      <c r="E589" s="80"/>
      <c r="F589" s="69" t="s">
        <v>894</v>
      </c>
      <c r="G589" s="67" t="s">
        <v>895</v>
      </c>
      <c r="H589" s="70" t="s">
        <v>843</v>
      </c>
    </row>
    <row r="590" spans="1:8" ht="24">
      <c r="A590" s="65" t="s">
        <v>699</v>
      </c>
      <c r="B590" s="66" t="s">
        <v>703</v>
      </c>
      <c r="C590" s="66" t="s">
        <v>782</v>
      </c>
      <c r="D590" s="69" t="s">
        <v>700</v>
      </c>
      <c r="E590" s="80"/>
      <c r="F590" s="69" t="s">
        <v>47</v>
      </c>
      <c r="G590" s="67" t="s">
        <v>793</v>
      </c>
      <c r="H590" s="70" t="s">
        <v>176</v>
      </c>
    </row>
    <row r="591" spans="1:8">
      <c r="A591" s="65" t="s">
        <v>972</v>
      </c>
      <c r="B591" s="66" t="s">
        <v>1041</v>
      </c>
      <c r="C591" s="66" t="s">
        <v>1042</v>
      </c>
      <c r="D591" s="69" t="s">
        <v>172</v>
      </c>
      <c r="E591" s="80"/>
      <c r="F591" s="69" t="s">
        <v>50</v>
      </c>
      <c r="G591" s="67" t="s">
        <v>1061</v>
      </c>
      <c r="H591" s="70" t="s">
        <v>210</v>
      </c>
    </row>
    <row r="592" spans="1:8" ht="24">
      <c r="A592" s="65" t="s">
        <v>839</v>
      </c>
      <c r="B592" s="66" t="s">
        <v>861</v>
      </c>
      <c r="C592" s="66" t="s">
        <v>861</v>
      </c>
      <c r="D592" s="69" t="s">
        <v>720</v>
      </c>
      <c r="E592" s="80"/>
      <c r="F592" s="69" t="s">
        <v>869</v>
      </c>
      <c r="G592" s="67" t="s">
        <v>870</v>
      </c>
      <c r="H592" s="70" t="s">
        <v>860</v>
      </c>
    </row>
    <row r="593" spans="1:8" ht="24">
      <c r="A593" s="65" t="s">
        <v>32</v>
      </c>
      <c r="B593" s="66" t="s">
        <v>470</v>
      </c>
      <c r="C593" s="66" t="s">
        <v>473</v>
      </c>
      <c r="D593" s="69" t="s">
        <v>470</v>
      </c>
      <c r="E593" s="80"/>
      <c r="F593" s="69" t="s">
        <v>46</v>
      </c>
      <c r="G593" s="67" t="s">
        <v>507</v>
      </c>
      <c r="H593" s="70" t="s">
        <v>176</v>
      </c>
    </row>
    <row r="594" spans="1:8" ht="24">
      <c r="A594" s="65" t="s">
        <v>972</v>
      </c>
      <c r="B594" s="66" t="s">
        <v>983</v>
      </c>
      <c r="C594" s="66" t="s">
        <v>983</v>
      </c>
      <c r="D594" s="81" t="s">
        <v>468</v>
      </c>
      <c r="E594" s="80"/>
      <c r="F594" s="69" t="s">
        <v>47</v>
      </c>
      <c r="G594" s="67" t="s">
        <v>989</v>
      </c>
      <c r="H594" s="70" t="s">
        <v>243</v>
      </c>
    </row>
    <row r="595" spans="1:8" ht="24">
      <c r="A595" s="65" t="s">
        <v>795</v>
      </c>
      <c r="B595" s="66" t="s">
        <v>795</v>
      </c>
      <c r="C595" s="66" t="s">
        <v>796</v>
      </c>
      <c r="D595" s="81" t="s">
        <v>177</v>
      </c>
      <c r="E595" s="80" t="s">
        <v>466</v>
      </c>
      <c r="F595" s="69" t="s">
        <v>538</v>
      </c>
      <c r="G595" s="67" t="s">
        <v>805</v>
      </c>
      <c r="H595" s="70" t="s">
        <v>210</v>
      </c>
    </row>
    <row r="596" spans="1:8" ht="24">
      <c r="A596" s="65" t="s">
        <v>32</v>
      </c>
      <c r="B596" s="66" t="s">
        <v>247</v>
      </c>
      <c r="C596" s="66" t="s">
        <v>268</v>
      </c>
      <c r="D596" s="77" t="s">
        <v>247</v>
      </c>
      <c r="E596" s="68"/>
      <c r="F596" s="69" t="s">
        <v>285</v>
      </c>
      <c r="G596" s="67" t="s">
        <v>296</v>
      </c>
      <c r="H596" s="70" t="s">
        <v>176</v>
      </c>
    </row>
    <row r="597" spans="1:8" ht="24">
      <c r="A597" s="65" t="s">
        <v>32</v>
      </c>
      <c r="B597" s="66" t="s">
        <v>470</v>
      </c>
      <c r="C597" s="66" t="s">
        <v>534</v>
      </c>
      <c r="D597" s="69" t="s">
        <v>470</v>
      </c>
      <c r="E597" s="80"/>
      <c r="F597" s="69" t="s">
        <v>48</v>
      </c>
      <c r="G597" s="67" t="s">
        <v>547</v>
      </c>
      <c r="H597" s="70" t="s">
        <v>176</v>
      </c>
    </row>
    <row r="598" spans="1:8" ht="24">
      <c r="A598" s="65" t="s">
        <v>699</v>
      </c>
      <c r="B598" s="66" t="s">
        <v>703</v>
      </c>
      <c r="C598" s="66" t="s">
        <v>769</v>
      </c>
      <c r="D598" s="69" t="s">
        <v>700</v>
      </c>
      <c r="E598" s="80"/>
      <c r="F598" s="69" t="s">
        <v>51</v>
      </c>
      <c r="G598" s="67" t="s">
        <v>770</v>
      </c>
      <c r="H598" s="70" t="s">
        <v>210</v>
      </c>
    </row>
    <row r="599" spans="1:8" ht="48">
      <c r="A599" s="65" t="s">
        <v>1206</v>
      </c>
      <c r="B599" s="66" t="s">
        <v>1241</v>
      </c>
      <c r="C599" s="66" t="s">
        <v>1242</v>
      </c>
      <c r="D599" s="69" t="s">
        <v>739</v>
      </c>
      <c r="E599" s="80" t="s">
        <v>740</v>
      </c>
      <c r="F599" s="69" t="s">
        <v>174</v>
      </c>
      <c r="G599" s="67" t="s">
        <v>1243</v>
      </c>
      <c r="H599" s="70" t="s">
        <v>176</v>
      </c>
    </row>
    <row r="600" spans="1:8" ht="24">
      <c r="A600" s="65" t="s">
        <v>32</v>
      </c>
      <c r="B600" s="66" t="s">
        <v>470</v>
      </c>
      <c r="C600" s="66" t="s">
        <v>586</v>
      </c>
      <c r="D600" s="69" t="s">
        <v>470</v>
      </c>
      <c r="E600" s="80"/>
      <c r="F600" s="69" t="s">
        <v>51</v>
      </c>
      <c r="G600" s="67" t="s">
        <v>587</v>
      </c>
      <c r="H600" s="70" t="s">
        <v>176</v>
      </c>
    </row>
    <row r="601" spans="1:8" ht="24">
      <c r="A601" s="65" t="s">
        <v>972</v>
      </c>
      <c r="B601" s="66" t="s">
        <v>996</v>
      </c>
      <c r="C601" s="66" t="s">
        <v>1011</v>
      </c>
      <c r="D601" s="69" t="s">
        <v>996</v>
      </c>
      <c r="E601" s="80"/>
      <c r="F601" s="69" t="s">
        <v>48</v>
      </c>
      <c r="G601" s="67" t="s">
        <v>1028</v>
      </c>
      <c r="H601" s="70" t="s">
        <v>210</v>
      </c>
    </row>
    <row r="602" spans="1:8" ht="24">
      <c r="A602" s="65" t="s">
        <v>972</v>
      </c>
      <c r="B602" s="66" t="s">
        <v>996</v>
      </c>
      <c r="C602" s="66" t="s">
        <v>1011</v>
      </c>
      <c r="D602" s="69" t="s">
        <v>996</v>
      </c>
      <c r="E602" s="80"/>
      <c r="F602" s="69" t="s">
        <v>47</v>
      </c>
      <c r="G602" s="67" t="s">
        <v>1036</v>
      </c>
      <c r="H602" s="70" t="s">
        <v>210</v>
      </c>
    </row>
    <row r="603" spans="1:8">
      <c r="A603" s="65" t="s">
        <v>908</v>
      </c>
      <c r="B603" s="66" t="s">
        <v>672</v>
      </c>
      <c r="C603" s="66" t="s">
        <v>940</v>
      </c>
      <c r="D603" s="69" t="s">
        <v>603</v>
      </c>
      <c r="E603" s="80"/>
      <c r="F603" s="69" t="s">
        <v>47</v>
      </c>
      <c r="G603" s="67" t="s">
        <v>941</v>
      </c>
      <c r="H603" s="70" t="s">
        <v>910</v>
      </c>
    </row>
    <row r="604" spans="1:8">
      <c r="A604" s="65" t="s">
        <v>839</v>
      </c>
      <c r="B604" s="66" t="s">
        <v>861</v>
      </c>
      <c r="C604" s="66" t="s">
        <v>861</v>
      </c>
      <c r="D604" s="69" t="s">
        <v>720</v>
      </c>
      <c r="E604" s="80"/>
      <c r="F604" s="69" t="s">
        <v>865</v>
      </c>
      <c r="G604" s="67" t="s">
        <v>868</v>
      </c>
      <c r="H604" s="70" t="s">
        <v>860</v>
      </c>
    </row>
    <row r="605" spans="1:8" ht="24">
      <c r="A605" s="65" t="s">
        <v>32</v>
      </c>
      <c r="B605" s="66" t="s">
        <v>172</v>
      </c>
      <c r="C605" s="66" t="s">
        <v>202</v>
      </c>
      <c r="D605" s="69" t="s">
        <v>172</v>
      </c>
      <c r="E605" s="68"/>
      <c r="F605" s="69" t="s">
        <v>44</v>
      </c>
      <c r="G605" s="67" t="s">
        <v>208</v>
      </c>
      <c r="H605" s="70" t="s">
        <v>176</v>
      </c>
    </row>
    <row r="606" spans="1:8" ht="24">
      <c r="A606" s="65" t="s">
        <v>32</v>
      </c>
      <c r="B606" s="66" t="s">
        <v>247</v>
      </c>
      <c r="C606" s="66" t="s">
        <v>383</v>
      </c>
      <c r="D606" s="77" t="s">
        <v>247</v>
      </c>
      <c r="E606" s="68"/>
      <c r="F606" s="69" t="s">
        <v>46</v>
      </c>
      <c r="G606" s="67" t="s">
        <v>402</v>
      </c>
      <c r="H606" s="70" t="s">
        <v>176</v>
      </c>
    </row>
    <row r="607" spans="1:8" ht="36">
      <c r="A607" s="65" t="s">
        <v>1413</v>
      </c>
      <c r="B607" s="66" t="s">
        <v>1413</v>
      </c>
      <c r="C607" s="66" t="s">
        <v>1418</v>
      </c>
      <c r="D607" s="81" t="s">
        <v>177</v>
      </c>
      <c r="E607" s="80" t="s">
        <v>1415</v>
      </c>
      <c r="F607" s="69" t="s">
        <v>183</v>
      </c>
      <c r="G607" s="67" t="s">
        <v>1421</v>
      </c>
      <c r="H607" s="70" t="s">
        <v>176</v>
      </c>
    </row>
    <row r="608" spans="1:8" ht="24">
      <c r="A608" s="65" t="s">
        <v>32</v>
      </c>
      <c r="B608" s="66" t="s">
        <v>247</v>
      </c>
      <c r="C608" s="66" t="s">
        <v>323</v>
      </c>
      <c r="D608" s="77" t="s">
        <v>247</v>
      </c>
      <c r="E608" s="68"/>
      <c r="F608" s="69" t="s">
        <v>40</v>
      </c>
      <c r="G608" s="67" t="s">
        <v>374</v>
      </c>
      <c r="H608" s="70" t="s">
        <v>365</v>
      </c>
    </row>
    <row r="609" spans="1:8" ht="24">
      <c r="A609" s="65" t="s">
        <v>32</v>
      </c>
      <c r="B609" s="66" t="s">
        <v>470</v>
      </c>
      <c r="C609" s="66" t="s">
        <v>557</v>
      </c>
      <c r="D609" s="69" t="s">
        <v>470</v>
      </c>
      <c r="E609" s="80"/>
      <c r="F609" s="69" t="s">
        <v>518</v>
      </c>
      <c r="G609" s="67" t="s">
        <v>575</v>
      </c>
      <c r="H609" s="70" t="s">
        <v>210</v>
      </c>
    </row>
    <row r="610" spans="1:8" ht="24">
      <c r="A610" s="65" t="s">
        <v>972</v>
      </c>
      <c r="B610" s="66" t="s">
        <v>996</v>
      </c>
      <c r="C610" s="66" t="s">
        <v>1003</v>
      </c>
      <c r="D610" s="69" t="s">
        <v>996</v>
      </c>
      <c r="E610" s="80"/>
      <c r="F610" s="69" t="s">
        <v>51</v>
      </c>
      <c r="G610" s="67" t="s">
        <v>1005</v>
      </c>
      <c r="H610" s="70" t="s">
        <v>176</v>
      </c>
    </row>
    <row r="611" spans="1:8" ht="36">
      <c r="A611" s="65" t="s">
        <v>1206</v>
      </c>
      <c r="B611" s="66" t="s">
        <v>1328</v>
      </c>
      <c r="C611" s="66" t="s">
        <v>1328</v>
      </c>
      <c r="D611" s="69" t="s">
        <v>177</v>
      </c>
      <c r="E611" s="80" t="s">
        <v>1332</v>
      </c>
      <c r="F611" s="69" t="s">
        <v>1237</v>
      </c>
      <c r="G611" s="67" t="s">
        <v>1347</v>
      </c>
      <c r="H611" s="70" t="s">
        <v>176</v>
      </c>
    </row>
    <row r="612" spans="1:8" ht="24">
      <c r="A612" s="65" t="s">
        <v>32</v>
      </c>
      <c r="B612" s="66" t="s">
        <v>172</v>
      </c>
      <c r="C612" s="66" t="s">
        <v>202</v>
      </c>
      <c r="D612" s="69" t="s">
        <v>172</v>
      </c>
      <c r="E612" s="68"/>
      <c r="F612" s="69" t="s">
        <v>51</v>
      </c>
      <c r="G612" s="67" t="s">
        <v>203</v>
      </c>
      <c r="H612" s="70" t="s">
        <v>176</v>
      </c>
    </row>
    <row r="613" spans="1:8" ht="48">
      <c r="A613" s="65" t="s">
        <v>32</v>
      </c>
      <c r="B613" s="66" t="s">
        <v>408</v>
      </c>
      <c r="C613" s="66" t="s">
        <v>409</v>
      </c>
      <c r="D613" s="69" t="s">
        <v>410</v>
      </c>
      <c r="E613" s="80"/>
      <c r="F613" s="69" t="s">
        <v>174</v>
      </c>
      <c r="G613" s="67" t="s">
        <v>411</v>
      </c>
      <c r="H613" s="70" t="s">
        <v>176</v>
      </c>
    </row>
    <row r="614" spans="1:8">
      <c r="A614" s="65" t="s">
        <v>32</v>
      </c>
      <c r="B614" s="66" t="s">
        <v>247</v>
      </c>
      <c r="C614" s="66" t="s">
        <v>310</v>
      </c>
      <c r="D614" s="77" t="s">
        <v>177</v>
      </c>
      <c r="E614" s="68" t="s">
        <v>250</v>
      </c>
      <c r="F614" s="69" t="s">
        <v>46</v>
      </c>
      <c r="G614" s="67" t="s">
        <v>313</v>
      </c>
      <c r="H614" s="70" t="s">
        <v>176</v>
      </c>
    </row>
    <row r="615" spans="1:8" ht="24">
      <c r="A615" s="65" t="s">
        <v>32</v>
      </c>
      <c r="B615" s="66" t="s">
        <v>247</v>
      </c>
      <c r="C615" s="66" t="s">
        <v>323</v>
      </c>
      <c r="D615" s="77" t="s">
        <v>247</v>
      </c>
      <c r="E615" s="68"/>
      <c r="F615" s="69" t="s">
        <v>40</v>
      </c>
      <c r="G615" s="67" t="s">
        <v>379</v>
      </c>
      <c r="H615" s="70" t="s">
        <v>365</v>
      </c>
    </row>
    <row r="616" spans="1:8" ht="24">
      <c r="A616" s="65" t="s">
        <v>32</v>
      </c>
      <c r="B616" s="66" t="s">
        <v>449</v>
      </c>
      <c r="C616" s="66" t="s">
        <v>458</v>
      </c>
      <c r="D616" s="77" t="s">
        <v>451</v>
      </c>
      <c r="E616" s="68"/>
      <c r="F616" s="69" t="s">
        <v>48</v>
      </c>
      <c r="G616" s="69" t="s">
        <v>459</v>
      </c>
      <c r="H616" s="70" t="s">
        <v>176</v>
      </c>
    </row>
    <row r="617" spans="1:8" ht="24">
      <c r="A617" s="65" t="s">
        <v>32</v>
      </c>
      <c r="B617" s="66" t="s">
        <v>247</v>
      </c>
      <c r="C617" s="66" t="s">
        <v>251</v>
      </c>
      <c r="D617" s="77" t="s">
        <v>247</v>
      </c>
      <c r="E617" s="68"/>
      <c r="F617" s="69" t="s">
        <v>44</v>
      </c>
      <c r="G617" s="69" t="s">
        <v>253</v>
      </c>
      <c r="H617" s="70" t="s">
        <v>176</v>
      </c>
    </row>
    <row r="618" spans="1:8" ht="36">
      <c r="A618" s="65" t="s">
        <v>32</v>
      </c>
      <c r="B618" s="66" t="s">
        <v>408</v>
      </c>
      <c r="C618" s="66" t="s">
        <v>442</v>
      </c>
      <c r="D618" s="77" t="s">
        <v>410</v>
      </c>
      <c r="E618" s="73"/>
      <c r="F618" s="69" t="s">
        <v>434</v>
      </c>
      <c r="G618" s="69" t="s">
        <v>443</v>
      </c>
      <c r="H618" s="70" t="s">
        <v>176</v>
      </c>
    </row>
    <row r="619" spans="1:8" ht="24">
      <c r="A619" s="65" t="s">
        <v>603</v>
      </c>
      <c r="B619" s="66" t="s">
        <v>634</v>
      </c>
      <c r="C619" s="66" t="s">
        <v>634</v>
      </c>
      <c r="D619" s="69" t="s">
        <v>603</v>
      </c>
      <c r="E619" s="83"/>
      <c r="F619" s="69" t="s">
        <v>48</v>
      </c>
      <c r="G619" s="69" t="s">
        <v>639</v>
      </c>
      <c r="H619" s="70" t="s">
        <v>210</v>
      </c>
    </row>
    <row r="620" spans="1:8">
      <c r="A620" s="65" t="s">
        <v>839</v>
      </c>
      <c r="B620" s="66" t="s">
        <v>694</v>
      </c>
      <c r="C620" s="66" t="s">
        <v>694</v>
      </c>
      <c r="D620" s="69" t="s">
        <v>603</v>
      </c>
      <c r="E620" s="83"/>
      <c r="F620" s="69" t="s">
        <v>47</v>
      </c>
      <c r="G620" s="69" t="s">
        <v>853</v>
      </c>
      <c r="H620" s="70" t="s">
        <v>843</v>
      </c>
    </row>
    <row r="621" spans="1:8" ht="36">
      <c r="A621" s="65" t="s">
        <v>1206</v>
      </c>
      <c r="B621" s="66" t="s">
        <v>1244</v>
      </c>
      <c r="C621" s="66" t="s">
        <v>1244</v>
      </c>
      <c r="D621" s="69" t="s">
        <v>739</v>
      </c>
      <c r="E621" s="83" t="s">
        <v>740</v>
      </c>
      <c r="F621" s="69" t="s">
        <v>460</v>
      </c>
      <c r="G621" s="69" t="s">
        <v>1246</v>
      </c>
      <c r="H621" s="70" t="s">
        <v>176</v>
      </c>
    </row>
    <row r="622" spans="1:8" ht="36">
      <c r="A622" s="65" t="s">
        <v>1413</v>
      </c>
      <c r="B622" s="66" t="s">
        <v>1414</v>
      </c>
      <c r="C622" s="66" t="s">
        <v>1414</v>
      </c>
      <c r="D622" s="91" t="s">
        <v>177</v>
      </c>
      <c r="E622" s="83" t="s">
        <v>1415</v>
      </c>
      <c r="F622" s="69" t="s">
        <v>43</v>
      </c>
      <c r="G622" s="69" t="s">
        <v>1417</v>
      </c>
      <c r="H622" s="70" t="s">
        <v>176</v>
      </c>
    </row>
    <row r="623" spans="1:8" ht="36">
      <c r="A623" s="65" t="s">
        <v>699</v>
      </c>
      <c r="B623" s="66" t="s">
        <v>703</v>
      </c>
      <c r="C623" s="66" t="s">
        <v>780</v>
      </c>
      <c r="D623" s="69" t="s">
        <v>703</v>
      </c>
      <c r="E623" s="83"/>
      <c r="F623" s="69" t="s">
        <v>174</v>
      </c>
      <c r="G623" s="69" t="s">
        <v>781</v>
      </c>
      <c r="H623" s="70" t="s">
        <v>176</v>
      </c>
    </row>
    <row r="624" spans="1:8" ht="24">
      <c r="A624" s="65" t="s">
        <v>32</v>
      </c>
      <c r="B624" s="66" t="s">
        <v>247</v>
      </c>
      <c r="C624" s="66" t="s">
        <v>268</v>
      </c>
      <c r="D624" s="77" t="s">
        <v>247</v>
      </c>
      <c r="E624" s="73"/>
      <c r="F624" s="69" t="s">
        <v>285</v>
      </c>
      <c r="G624" s="69" t="s">
        <v>295</v>
      </c>
      <c r="H624" s="70" t="s">
        <v>176</v>
      </c>
    </row>
    <row r="625" spans="1:8" ht="24">
      <c r="A625" s="65" t="s">
        <v>699</v>
      </c>
      <c r="B625" s="66" t="s">
        <v>720</v>
      </c>
      <c r="C625" s="66" t="s">
        <v>742</v>
      </c>
      <c r="D625" s="69" t="s">
        <v>720</v>
      </c>
      <c r="E625" s="83"/>
      <c r="F625" s="69" t="s">
        <v>48</v>
      </c>
      <c r="G625" s="67" t="s">
        <v>750</v>
      </c>
      <c r="H625" s="70" t="s">
        <v>176</v>
      </c>
    </row>
    <row r="626" spans="1:8" ht="36">
      <c r="A626" s="65" t="s">
        <v>32</v>
      </c>
      <c r="B626" s="66" t="s">
        <v>408</v>
      </c>
      <c r="C626" s="66" t="s">
        <v>413</v>
      </c>
      <c r="D626" s="69" t="s">
        <v>410</v>
      </c>
      <c r="E626" s="83"/>
      <c r="F626" s="69" t="s">
        <v>46</v>
      </c>
      <c r="G626" s="67" t="s">
        <v>425</v>
      </c>
      <c r="H626" s="70" t="s">
        <v>176</v>
      </c>
    </row>
    <row r="627" spans="1:8" ht="24">
      <c r="A627" s="65" t="s">
        <v>32</v>
      </c>
      <c r="B627" s="66" t="s">
        <v>247</v>
      </c>
      <c r="C627" s="66" t="s">
        <v>383</v>
      </c>
      <c r="D627" s="77" t="s">
        <v>247</v>
      </c>
      <c r="E627" s="73"/>
      <c r="F627" s="69" t="s">
        <v>44</v>
      </c>
      <c r="G627" s="67" t="s">
        <v>395</v>
      </c>
      <c r="H627" s="70" t="s">
        <v>176</v>
      </c>
    </row>
    <row r="628" spans="1:8" ht="24">
      <c r="A628" s="65" t="s">
        <v>32</v>
      </c>
      <c r="B628" s="66" t="s">
        <v>470</v>
      </c>
      <c r="C628" s="66" t="s">
        <v>534</v>
      </c>
      <c r="D628" s="69" t="s">
        <v>470</v>
      </c>
      <c r="E628" s="83"/>
      <c r="F628" s="69" t="s">
        <v>48</v>
      </c>
      <c r="G628" s="67" t="s">
        <v>548</v>
      </c>
      <c r="H628" s="70" t="s">
        <v>176</v>
      </c>
    </row>
    <row r="629" spans="1:8" ht="24">
      <c r="A629" s="65" t="s">
        <v>32</v>
      </c>
      <c r="B629" s="66" t="s">
        <v>172</v>
      </c>
      <c r="C629" s="66" t="s">
        <v>202</v>
      </c>
      <c r="D629" s="69" t="s">
        <v>172</v>
      </c>
      <c r="E629" s="73"/>
      <c r="F629" s="69" t="s">
        <v>49</v>
      </c>
      <c r="G629" s="67" t="s">
        <v>212</v>
      </c>
      <c r="H629" s="70" t="s">
        <v>210</v>
      </c>
    </row>
    <row r="630" spans="1:8" ht="24">
      <c r="A630" s="65" t="s">
        <v>32</v>
      </c>
      <c r="B630" s="66" t="s">
        <v>172</v>
      </c>
      <c r="C630" s="66" t="s">
        <v>202</v>
      </c>
      <c r="D630" s="69" t="s">
        <v>172</v>
      </c>
      <c r="E630" s="73"/>
      <c r="F630" s="69" t="s">
        <v>49</v>
      </c>
      <c r="G630" s="67" t="s">
        <v>216</v>
      </c>
      <c r="H630" s="70" t="s">
        <v>210</v>
      </c>
    </row>
    <row r="631" spans="1:8" ht="24">
      <c r="A631" s="65" t="s">
        <v>32</v>
      </c>
      <c r="B631" s="66" t="s">
        <v>470</v>
      </c>
      <c r="C631" s="66" t="s">
        <v>473</v>
      </c>
      <c r="D631" s="69" t="s">
        <v>470</v>
      </c>
      <c r="E631" s="83"/>
      <c r="F631" s="69" t="s">
        <v>47</v>
      </c>
      <c r="G631" s="67" t="s">
        <v>516</v>
      </c>
      <c r="H631" s="70" t="s">
        <v>210</v>
      </c>
    </row>
    <row r="632" spans="1:8">
      <c r="A632" s="65" t="s">
        <v>32</v>
      </c>
      <c r="B632" s="66" t="s">
        <v>219</v>
      </c>
      <c r="C632" s="66" t="s">
        <v>219</v>
      </c>
      <c r="D632" s="69" t="s">
        <v>219</v>
      </c>
      <c r="E632" s="73"/>
      <c r="F632" s="69" t="s">
        <v>43</v>
      </c>
      <c r="G632" s="67" t="s">
        <v>239</v>
      </c>
      <c r="H632" s="70" t="s">
        <v>210</v>
      </c>
    </row>
    <row r="633" spans="1:8">
      <c r="A633" s="65" t="s">
        <v>972</v>
      </c>
      <c r="B633" s="66" t="s">
        <v>1041</v>
      </c>
      <c r="C633" s="66" t="s">
        <v>1041</v>
      </c>
      <c r="D633" s="81" t="s">
        <v>468</v>
      </c>
      <c r="E633" s="83"/>
      <c r="F633" s="69" t="s">
        <v>48</v>
      </c>
      <c r="G633" s="67" t="s">
        <v>1071</v>
      </c>
      <c r="H633" s="70" t="s">
        <v>210</v>
      </c>
    </row>
    <row r="634" spans="1:8" ht="24">
      <c r="A634" s="65" t="s">
        <v>32</v>
      </c>
      <c r="B634" s="66" t="s">
        <v>247</v>
      </c>
      <c r="C634" s="66" t="s">
        <v>323</v>
      </c>
      <c r="D634" s="77" t="s">
        <v>247</v>
      </c>
      <c r="E634" s="73"/>
      <c r="F634" s="69" t="s">
        <v>44</v>
      </c>
      <c r="G634" s="67" t="s">
        <v>328</v>
      </c>
      <c r="H634" s="70" t="s">
        <v>176</v>
      </c>
    </row>
    <row r="635" spans="1:8" ht="24">
      <c r="A635" s="65" t="s">
        <v>32</v>
      </c>
      <c r="B635" s="66" t="s">
        <v>247</v>
      </c>
      <c r="C635" s="66" t="s">
        <v>300</v>
      </c>
      <c r="D635" s="77" t="s">
        <v>247</v>
      </c>
      <c r="E635" s="73"/>
      <c r="F635" s="69" t="s">
        <v>183</v>
      </c>
      <c r="G635" s="67" t="s">
        <v>303</v>
      </c>
      <c r="H635" s="70" t="s">
        <v>176</v>
      </c>
    </row>
    <row r="636" spans="1:8" ht="36">
      <c r="A636" s="65" t="s">
        <v>1206</v>
      </c>
      <c r="B636" s="66" t="s">
        <v>1328</v>
      </c>
      <c r="C636" s="66" t="s">
        <v>1328</v>
      </c>
      <c r="D636" s="69" t="s">
        <v>177</v>
      </c>
      <c r="E636" s="83" t="s">
        <v>248</v>
      </c>
      <c r="F636" s="69" t="s">
        <v>43</v>
      </c>
      <c r="G636" s="67" t="s">
        <v>1352</v>
      </c>
      <c r="H636" s="70" t="s">
        <v>176</v>
      </c>
    </row>
    <row r="637" spans="1:8" ht="36">
      <c r="A637" s="65" t="s">
        <v>1413</v>
      </c>
      <c r="B637" s="66" t="s">
        <v>1413</v>
      </c>
      <c r="C637" s="66" t="s">
        <v>1418</v>
      </c>
      <c r="D637" s="81" t="s">
        <v>177</v>
      </c>
      <c r="E637" s="83" t="s">
        <v>1415</v>
      </c>
      <c r="F637" s="69" t="s">
        <v>695</v>
      </c>
      <c r="G637" s="67" t="s">
        <v>1419</v>
      </c>
      <c r="H637" s="70" t="s">
        <v>1123</v>
      </c>
    </row>
    <row r="638" spans="1:8" ht="24">
      <c r="A638" s="65" t="s">
        <v>699</v>
      </c>
      <c r="B638" s="66" t="s">
        <v>700</v>
      </c>
      <c r="C638" s="66" t="s">
        <v>701</v>
      </c>
      <c r="D638" s="69" t="s">
        <v>603</v>
      </c>
      <c r="E638" s="83"/>
      <c r="F638" s="69" t="s">
        <v>48</v>
      </c>
      <c r="G638" s="67" t="s">
        <v>708</v>
      </c>
      <c r="H638" s="70" t="s">
        <v>210</v>
      </c>
    </row>
    <row r="639" spans="1:8">
      <c r="A639" s="65" t="s">
        <v>693</v>
      </c>
      <c r="B639" s="66" t="s">
        <v>694</v>
      </c>
      <c r="C639" s="66" t="s">
        <v>694</v>
      </c>
      <c r="D639" s="69" t="s">
        <v>603</v>
      </c>
      <c r="E639" s="83"/>
      <c r="F639" s="69" t="s">
        <v>48</v>
      </c>
      <c r="G639" s="67" t="s">
        <v>697</v>
      </c>
      <c r="H639" s="70" t="s">
        <v>243</v>
      </c>
    </row>
    <row r="640" spans="1:8">
      <c r="A640" s="65" t="s">
        <v>972</v>
      </c>
      <c r="B640" s="66" t="s">
        <v>1041</v>
      </c>
      <c r="C640" s="66" t="s">
        <v>1042</v>
      </c>
      <c r="D640" s="81" t="s">
        <v>172</v>
      </c>
      <c r="E640" s="83"/>
      <c r="F640" s="69" t="s">
        <v>50</v>
      </c>
      <c r="G640" s="67" t="s">
        <v>1052</v>
      </c>
      <c r="H640" s="70" t="s">
        <v>210</v>
      </c>
    </row>
    <row r="641" spans="1:8" ht="24">
      <c r="A641" s="65" t="s">
        <v>32</v>
      </c>
      <c r="B641" s="66" t="s">
        <v>247</v>
      </c>
      <c r="C641" s="66" t="s">
        <v>268</v>
      </c>
      <c r="D641" s="77" t="s">
        <v>177</v>
      </c>
      <c r="E641" s="73" t="s">
        <v>250</v>
      </c>
      <c r="F641" s="69" t="s">
        <v>46</v>
      </c>
      <c r="G641" s="67" t="s">
        <v>277</v>
      </c>
      <c r="H641" s="70" t="s">
        <v>176</v>
      </c>
    </row>
    <row r="642" spans="1:8" ht="36">
      <c r="A642" s="65" t="s">
        <v>1206</v>
      </c>
      <c r="B642" s="66" t="s">
        <v>1286</v>
      </c>
      <c r="C642" s="66" t="s">
        <v>1286</v>
      </c>
      <c r="D642" s="69" t="s">
        <v>177</v>
      </c>
      <c r="E642" s="83" t="s">
        <v>220</v>
      </c>
      <c r="F642" s="69" t="s">
        <v>1237</v>
      </c>
      <c r="G642" s="67" t="s">
        <v>1288</v>
      </c>
      <c r="H642" s="70" t="s">
        <v>176</v>
      </c>
    </row>
    <row r="643" spans="1:8" ht="48">
      <c r="A643" s="65" t="s">
        <v>839</v>
      </c>
      <c r="B643" s="66" t="s">
        <v>840</v>
      </c>
      <c r="C643" s="66" t="s">
        <v>840</v>
      </c>
      <c r="D643" s="69" t="s">
        <v>603</v>
      </c>
      <c r="E643" s="83"/>
      <c r="F643" s="69" t="s">
        <v>841</v>
      </c>
      <c r="G643" s="67" t="s">
        <v>842</v>
      </c>
      <c r="H643" s="70" t="s">
        <v>843</v>
      </c>
    </row>
    <row r="644" spans="1:8" ht="24">
      <c r="A644" s="65" t="s">
        <v>839</v>
      </c>
      <c r="B644" s="66" t="s">
        <v>861</v>
      </c>
      <c r="C644" s="66" t="s">
        <v>861</v>
      </c>
      <c r="D644" s="69" t="s">
        <v>700</v>
      </c>
      <c r="E644" s="83"/>
      <c r="F644" s="69" t="s">
        <v>865</v>
      </c>
      <c r="G644" s="67" t="s">
        <v>867</v>
      </c>
      <c r="H644" s="70" t="s">
        <v>843</v>
      </c>
    </row>
    <row r="645" spans="1:8" ht="24">
      <c r="A645" s="65" t="s">
        <v>32</v>
      </c>
      <c r="B645" s="66" t="s">
        <v>247</v>
      </c>
      <c r="C645" s="66" t="s">
        <v>323</v>
      </c>
      <c r="D645" s="77" t="s">
        <v>247</v>
      </c>
      <c r="E645" s="73"/>
      <c r="F645" s="69" t="s">
        <v>309</v>
      </c>
      <c r="G645" s="67" t="s">
        <v>324</v>
      </c>
      <c r="H645" s="70" t="s">
        <v>176</v>
      </c>
    </row>
    <row r="646" spans="1:8" ht="24">
      <c r="A646" s="65" t="s">
        <v>32</v>
      </c>
      <c r="B646" s="66" t="s">
        <v>470</v>
      </c>
      <c r="C646" s="66" t="s">
        <v>525</v>
      </c>
      <c r="D646" s="69" t="s">
        <v>177</v>
      </c>
      <c r="E646" s="80" t="s">
        <v>527</v>
      </c>
      <c r="F646" s="69" t="s">
        <v>460</v>
      </c>
      <c r="G646" s="67" t="s">
        <v>528</v>
      </c>
      <c r="H646" s="70" t="s">
        <v>176</v>
      </c>
    </row>
    <row r="647" spans="1:8" ht="24">
      <c r="A647" s="65" t="s">
        <v>32</v>
      </c>
      <c r="B647" s="66" t="s">
        <v>470</v>
      </c>
      <c r="C647" s="66" t="s">
        <v>588</v>
      </c>
      <c r="D647" s="69" t="s">
        <v>177</v>
      </c>
      <c r="E647" s="80" t="s">
        <v>566</v>
      </c>
      <c r="F647" s="69" t="s">
        <v>183</v>
      </c>
      <c r="G647" s="67" t="s">
        <v>599</v>
      </c>
      <c r="H647" s="70" t="s">
        <v>176</v>
      </c>
    </row>
    <row r="648" spans="1:8" ht="24">
      <c r="A648" s="65" t="s">
        <v>972</v>
      </c>
      <c r="B648" s="66" t="s">
        <v>1041</v>
      </c>
      <c r="C648" s="66" t="s">
        <v>1042</v>
      </c>
      <c r="D648" s="81" t="s">
        <v>451</v>
      </c>
      <c r="E648" s="80"/>
      <c r="F648" s="69" t="s">
        <v>50</v>
      </c>
      <c r="G648" s="67" t="s">
        <v>1056</v>
      </c>
      <c r="H648" s="70" t="s">
        <v>210</v>
      </c>
    </row>
    <row r="649" spans="1:8">
      <c r="A649" s="65" t="s">
        <v>822</v>
      </c>
      <c r="B649" s="66" t="s">
        <v>822</v>
      </c>
      <c r="C649" s="66" t="s">
        <v>829</v>
      </c>
      <c r="D649" s="69" t="s">
        <v>822</v>
      </c>
      <c r="E649" s="80"/>
      <c r="F649" s="69" t="s">
        <v>50</v>
      </c>
      <c r="G649" s="67" t="s">
        <v>831</v>
      </c>
      <c r="H649" s="70" t="s">
        <v>210</v>
      </c>
    </row>
    <row r="650" spans="1:8" ht="36">
      <c r="A650" s="65" t="s">
        <v>972</v>
      </c>
      <c r="B650" s="66" t="s">
        <v>1041</v>
      </c>
      <c r="C650" s="66" t="s">
        <v>1079</v>
      </c>
      <c r="D650" s="81" t="s">
        <v>468</v>
      </c>
      <c r="E650" s="80"/>
      <c r="F650" s="69" t="s">
        <v>45</v>
      </c>
      <c r="G650" s="67" t="s">
        <v>1081</v>
      </c>
      <c r="H650" s="70" t="s">
        <v>210</v>
      </c>
    </row>
    <row r="651" spans="1:8" ht="36">
      <c r="A651" s="65" t="s">
        <v>839</v>
      </c>
      <c r="B651" s="66" t="s">
        <v>694</v>
      </c>
      <c r="C651" s="66" t="s">
        <v>694</v>
      </c>
      <c r="D651" s="69" t="s">
        <v>603</v>
      </c>
      <c r="E651" s="80"/>
      <c r="F651" s="69" t="s">
        <v>47</v>
      </c>
      <c r="G651" s="67" t="s">
        <v>851</v>
      </c>
      <c r="H651" s="70" t="s">
        <v>843</v>
      </c>
    </row>
    <row r="652" spans="1:8" ht="24">
      <c r="A652" s="65" t="s">
        <v>699</v>
      </c>
      <c r="B652" s="66" t="s">
        <v>700</v>
      </c>
      <c r="C652" s="66" t="s">
        <v>714</v>
      </c>
      <c r="D652" s="69" t="s">
        <v>700</v>
      </c>
      <c r="E652" s="80"/>
      <c r="F652" s="69" t="s">
        <v>51</v>
      </c>
      <c r="G652" s="67" t="s">
        <v>715</v>
      </c>
      <c r="H652" s="70" t="s">
        <v>176</v>
      </c>
    </row>
    <row r="653" spans="1:8" ht="24">
      <c r="A653" s="65" t="s">
        <v>32</v>
      </c>
      <c r="B653" s="66" t="s">
        <v>470</v>
      </c>
      <c r="C653" s="66" t="s">
        <v>557</v>
      </c>
      <c r="D653" s="69" t="s">
        <v>470</v>
      </c>
      <c r="E653" s="80"/>
      <c r="F653" s="69" t="s">
        <v>47</v>
      </c>
      <c r="G653" s="67" t="s">
        <v>568</v>
      </c>
      <c r="H653" s="70" t="s">
        <v>210</v>
      </c>
    </row>
    <row r="654" spans="1:8" ht="24">
      <c r="A654" s="65" t="s">
        <v>603</v>
      </c>
      <c r="B654" s="66" t="s">
        <v>672</v>
      </c>
      <c r="C654" s="66" t="s">
        <v>679</v>
      </c>
      <c r="D654" s="69" t="s">
        <v>177</v>
      </c>
      <c r="E654" s="80" t="s">
        <v>466</v>
      </c>
      <c r="F654" s="69" t="s">
        <v>48</v>
      </c>
      <c r="G654" s="67" t="s">
        <v>680</v>
      </c>
      <c r="H654" s="70" t="s">
        <v>210</v>
      </c>
    </row>
    <row r="655" spans="1:8" ht="24">
      <c r="A655" s="65" t="s">
        <v>32</v>
      </c>
      <c r="B655" s="66" t="s">
        <v>470</v>
      </c>
      <c r="C655" s="66" t="s">
        <v>534</v>
      </c>
      <c r="D655" s="69" t="s">
        <v>470</v>
      </c>
      <c r="E655" s="80"/>
      <c r="F655" s="69" t="s">
        <v>48</v>
      </c>
      <c r="G655" s="67" t="s">
        <v>546</v>
      </c>
      <c r="H655" s="70" t="s">
        <v>176</v>
      </c>
    </row>
    <row r="656" spans="1:8" ht="36">
      <c r="A656" s="65" t="s">
        <v>1206</v>
      </c>
      <c r="B656" s="66" t="s">
        <v>1254</v>
      </c>
      <c r="C656" s="66" t="s">
        <v>1254</v>
      </c>
      <c r="D656" s="69" t="s">
        <v>177</v>
      </c>
      <c r="E656" s="80" t="s">
        <v>248</v>
      </c>
      <c r="F656" s="69" t="s">
        <v>1237</v>
      </c>
      <c r="G656" s="67" t="s">
        <v>1262</v>
      </c>
      <c r="H656" s="70" t="s">
        <v>176</v>
      </c>
    </row>
    <row r="657" spans="1:8">
      <c r="A657" s="65" t="s">
        <v>32</v>
      </c>
      <c r="B657" s="66" t="s">
        <v>219</v>
      </c>
      <c r="C657" s="66" t="s">
        <v>219</v>
      </c>
      <c r="D657" s="69" t="s">
        <v>219</v>
      </c>
      <c r="E657" s="80"/>
      <c r="F657" s="69" t="s">
        <v>233</v>
      </c>
      <c r="G657" s="67" t="s">
        <v>234</v>
      </c>
      <c r="H657" s="70" t="s">
        <v>176</v>
      </c>
    </row>
    <row r="658" spans="1:8" ht="24">
      <c r="A658" s="65" t="s">
        <v>32</v>
      </c>
      <c r="B658" s="66" t="s">
        <v>470</v>
      </c>
      <c r="C658" s="66" t="s">
        <v>473</v>
      </c>
      <c r="D658" s="69" t="s">
        <v>470</v>
      </c>
      <c r="E658" s="80"/>
      <c r="F658" s="69" t="s">
        <v>45</v>
      </c>
      <c r="G658" s="67" t="s">
        <v>487</v>
      </c>
      <c r="H658" s="70" t="s">
        <v>176</v>
      </c>
    </row>
    <row r="659" spans="1:8" ht="24">
      <c r="A659" s="65" t="s">
        <v>699</v>
      </c>
      <c r="B659" s="66" t="s">
        <v>720</v>
      </c>
      <c r="C659" s="66" t="s">
        <v>742</v>
      </c>
      <c r="D659" s="69" t="s">
        <v>720</v>
      </c>
      <c r="E659" s="80"/>
      <c r="F659" s="69" t="s">
        <v>48</v>
      </c>
      <c r="G659" s="67" t="s">
        <v>749</v>
      </c>
      <c r="H659" s="70" t="s">
        <v>176</v>
      </c>
    </row>
    <row r="660" spans="1:8" ht="24">
      <c r="A660" s="65" t="s">
        <v>32</v>
      </c>
      <c r="B660" s="66" t="s">
        <v>247</v>
      </c>
      <c r="C660" s="66" t="s">
        <v>323</v>
      </c>
      <c r="D660" s="77" t="s">
        <v>247</v>
      </c>
      <c r="E660" s="73"/>
      <c r="F660" s="69" t="s">
        <v>40</v>
      </c>
      <c r="G660" s="67" t="s">
        <v>373</v>
      </c>
      <c r="H660" s="70" t="s">
        <v>365</v>
      </c>
    </row>
    <row r="661" spans="1:8" ht="36">
      <c r="A661" s="65" t="s">
        <v>1206</v>
      </c>
      <c r="B661" s="66" t="s">
        <v>1209</v>
      </c>
      <c r="C661" s="66" t="s">
        <v>1209</v>
      </c>
      <c r="D661" s="69" t="s">
        <v>739</v>
      </c>
      <c r="E661" s="83" t="s">
        <v>740</v>
      </c>
      <c r="F661" s="69" t="s">
        <v>222</v>
      </c>
      <c r="G661" s="67" t="s">
        <v>1211</v>
      </c>
      <c r="H661" s="70" t="s">
        <v>176</v>
      </c>
    </row>
    <row r="662" spans="1:8" ht="36">
      <c r="A662" s="65" t="s">
        <v>1413</v>
      </c>
      <c r="B662" s="66" t="s">
        <v>1413</v>
      </c>
      <c r="C662" s="66" t="s">
        <v>1427</v>
      </c>
      <c r="D662" s="81" t="s">
        <v>177</v>
      </c>
      <c r="E662" s="82" t="s">
        <v>1108</v>
      </c>
      <c r="F662" s="69" t="s">
        <v>44</v>
      </c>
      <c r="G662" s="67" t="s">
        <v>1436</v>
      </c>
      <c r="H662" s="70" t="s">
        <v>243</v>
      </c>
    </row>
    <row r="663" spans="1:8" ht="36">
      <c r="A663" s="65" t="s">
        <v>1413</v>
      </c>
      <c r="B663" s="66" t="s">
        <v>1413</v>
      </c>
      <c r="C663" s="66" t="s">
        <v>1439</v>
      </c>
      <c r="D663" s="81" t="s">
        <v>909</v>
      </c>
      <c r="E663" s="82"/>
      <c r="F663" s="69" t="s">
        <v>283</v>
      </c>
      <c r="G663" s="67" t="s">
        <v>1440</v>
      </c>
      <c r="H663" s="70" t="s">
        <v>176</v>
      </c>
    </row>
    <row r="664" spans="1:8" ht="24">
      <c r="A664" s="65" t="s">
        <v>908</v>
      </c>
      <c r="B664" s="66" t="s">
        <v>672</v>
      </c>
      <c r="C664" s="66" t="s">
        <v>948</v>
      </c>
      <c r="D664" s="69" t="s">
        <v>603</v>
      </c>
      <c r="E664" s="83"/>
      <c r="F664" s="69" t="s">
        <v>949</v>
      </c>
      <c r="G664" s="67" t="s">
        <v>950</v>
      </c>
      <c r="H664" s="70" t="s">
        <v>910</v>
      </c>
    </row>
    <row r="665" spans="1:8" ht="48">
      <c r="A665" s="65" t="s">
        <v>32</v>
      </c>
      <c r="B665" s="66" t="s">
        <v>408</v>
      </c>
      <c r="C665" s="66" t="s">
        <v>409</v>
      </c>
      <c r="D665" s="69" t="s">
        <v>410</v>
      </c>
      <c r="E665" s="83"/>
      <c r="F665" s="69" t="s">
        <v>174</v>
      </c>
      <c r="G665" s="67" t="s">
        <v>412</v>
      </c>
      <c r="H665" s="70" t="s">
        <v>176</v>
      </c>
    </row>
    <row r="666" spans="1:8" ht="24">
      <c r="A666" s="65" t="s">
        <v>839</v>
      </c>
      <c r="B666" s="66" t="s">
        <v>871</v>
      </c>
      <c r="C666" s="66" t="s">
        <v>871</v>
      </c>
      <c r="D666" s="69" t="s">
        <v>603</v>
      </c>
      <c r="E666" s="80"/>
      <c r="F666" s="69" t="s">
        <v>50</v>
      </c>
      <c r="G666" s="67" t="s">
        <v>877</v>
      </c>
      <c r="H666" s="70" t="s">
        <v>843</v>
      </c>
    </row>
    <row r="667" spans="1:8" ht="24">
      <c r="A667" s="65" t="s">
        <v>972</v>
      </c>
      <c r="B667" s="66" t="s">
        <v>996</v>
      </c>
      <c r="C667" s="66" t="s">
        <v>1011</v>
      </c>
      <c r="D667" s="69" t="s">
        <v>996</v>
      </c>
      <c r="E667" s="83"/>
      <c r="F667" s="69" t="s">
        <v>45</v>
      </c>
      <c r="G667" s="67" t="s">
        <v>1019</v>
      </c>
      <c r="H667" s="70" t="s">
        <v>176</v>
      </c>
    </row>
    <row r="668" spans="1:8" ht="36">
      <c r="A668" s="65" t="s">
        <v>1206</v>
      </c>
      <c r="B668" s="66" t="s">
        <v>1303</v>
      </c>
      <c r="C668" s="66" t="s">
        <v>1303</v>
      </c>
      <c r="D668" s="69" t="s">
        <v>177</v>
      </c>
      <c r="E668" s="80" t="s">
        <v>1106</v>
      </c>
      <c r="F668" s="69" t="s">
        <v>422</v>
      </c>
      <c r="G668" s="67" t="s">
        <v>1322</v>
      </c>
      <c r="H668" s="70" t="s">
        <v>176</v>
      </c>
    </row>
    <row r="669" spans="1:8" ht="36">
      <c r="A669" s="65" t="s">
        <v>699</v>
      </c>
      <c r="B669" s="66" t="s">
        <v>703</v>
      </c>
      <c r="C669" s="66" t="s">
        <v>782</v>
      </c>
      <c r="D669" s="69" t="s">
        <v>703</v>
      </c>
      <c r="E669" s="83"/>
      <c r="F669" s="69" t="s">
        <v>45</v>
      </c>
      <c r="G669" s="67" t="s">
        <v>785</v>
      </c>
      <c r="H669" s="70" t="s">
        <v>176</v>
      </c>
    </row>
    <row r="670" spans="1:8" ht="36">
      <c r="A670" s="65" t="s">
        <v>1206</v>
      </c>
      <c r="B670" s="66" t="s">
        <v>1328</v>
      </c>
      <c r="C670" s="66" t="s">
        <v>1328</v>
      </c>
      <c r="D670" s="69" t="s">
        <v>177</v>
      </c>
      <c r="E670" s="83" t="s">
        <v>248</v>
      </c>
      <c r="F670" s="69" t="s">
        <v>43</v>
      </c>
      <c r="G670" s="67" t="s">
        <v>1354</v>
      </c>
      <c r="H670" s="70" t="s">
        <v>176</v>
      </c>
    </row>
    <row r="671" spans="1:8" ht="24">
      <c r="A671" s="65" t="s">
        <v>32</v>
      </c>
      <c r="B671" s="66" t="s">
        <v>470</v>
      </c>
      <c r="C671" s="66" t="s">
        <v>557</v>
      </c>
      <c r="D671" s="69" t="s">
        <v>470</v>
      </c>
      <c r="E671" s="80"/>
      <c r="F671" s="69" t="s">
        <v>47</v>
      </c>
      <c r="G671" s="67" t="s">
        <v>563</v>
      </c>
      <c r="H671" s="70" t="s">
        <v>210</v>
      </c>
    </row>
    <row r="672" spans="1:8" ht="36">
      <c r="A672" s="65" t="s">
        <v>972</v>
      </c>
      <c r="B672" s="66" t="s">
        <v>1041</v>
      </c>
      <c r="C672" s="66" t="s">
        <v>1042</v>
      </c>
      <c r="D672" s="81" t="s">
        <v>703</v>
      </c>
      <c r="E672" s="80"/>
      <c r="F672" s="69" t="s">
        <v>47</v>
      </c>
      <c r="G672" s="67" t="s">
        <v>1043</v>
      </c>
      <c r="H672" s="70" t="s">
        <v>210</v>
      </c>
    </row>
    <row r="673" spans="1:8" ht="24">
      <c r="A673" s="65" t="s">
        <v>32</v>
      </c>
      <c r="B673" s="66" t="s">
        <v>470</v>
      </c>
      <c r="C673" s="66" t="s">
        <v>557</v>
      </c>
      <c r="D673" s="69" t="s">
        <v>470</v>
      </c>
      <c r="E673" s="80"/>
      <c r="F673" s="69" t="s">
        <v>47</v>
      </c>
      <c r="G673" s="67" t="s">
        <v>572</v>
      </c>
      <c r="H673" s="70" t="s">
        <v>210</v>
      </c>
    </row>
    <row r="674" spans="1:8" ht="36">
      <c r="A674" s="65" t="s">
        <v>839</v>
      </c>
      <c r="B674" s="66" t="s">
        <v>892</v>
      </c>
      <c r="C674" s="66" t="s">
        <v>892</v>
      </c>
      <c r="D674" s="69" t="s">
        <v>703</v>
      </c>
      <c r="E674" s="80"/>
      <c r="F674" s="69" t="s">
        <v>896</v>
      </c>
      <c r="G674" s="67" t="s">
        <v>897</v>
      </c>
      <c r="H674" s="70" t="s">
        <v>843</v>
      </c>
    </row>
    <row r="675" spans="1:8">
      <c r="A675" s="65" t="s">
        <v>972</v>
      </c>
      <c r="B675" s="66" t="s">
        <v>1041</v>
      </c>
      <c r="C675" s="66" t="s">
        <v>1042</v>
      </c>
      <c r="D675" s="81" t="s">
        <v>410</v>
      </c>
      <c r="E675" s="80"/>
      <c r="F675" s="69" t="s">
        <v>50</v>
      </c>
      <c r="G675" s="67" t="s">
        <v>1049</v>
      </c>
      <c r="H675" s="70" t="s">
        <v>210</v>
      </c>
    </row>
    <row r="676" spans="1:8" ht="36">
      <c r="A676" s="65" t="s">
        <v>839</v>
      </c>
      <c r="B676" s="66" t="s">
        <v>892</v>
      </c>
      <c r="C676" s="66" t="s">
        <v>892</v>
      </c>
      <c r="D676" s="69" t="s">
        <v>703</v>
      </c>
      <c r="E676" s="80"/>
      <c r="F676" s="69" t="s">
        <v>899</v>
      </c>
      <c r="G676" s="67" t="s">
        <v>900</v>
      </c>
      <c r="H676" s="70" t="s">
        <v>860</v>
      </c>
    </row>
    <row r="677" spans="1:8" ht="36">
      <c r="A677" s="65" t="s">
        <v>1363</v>
      </c>
      <c r="B677" s="66" t="s">
        <v>1364</v>
      </c>
      <c r="C677" s="66" t="s">
        <v>1376</v>
      </c>
      <c r="D677" s="69" t="s">
        <v>1366</v>
      </c>
      <c r="E677" s="80"/>
      <c r="F677" s="69" t="s">
        <v>986</v>
      </c>
      <c r="G677" s="67" t="s">
        <v>1377</v>
      </c>
      <c r="H677" s="70" t="s">
        <v>176</v>
      </c>
    </row>
    <row r="678" spans="1:8">
      <c r="A678" s="65" t="s">
        <v>603</v>
      </c>
      <c r="B678" s="66" t="s">
        <v>647</v>
      </c>
      <c r="C678" s="66" t="s">
        <v>648</v>
      </c>
      <c r="D678" s="69" t="s">
        <v>603</v>
      </c>
      <c r="E678" s="80"/>
      <c r="F678" s="69" t="s">
        <v>47</v>
      </c>
      <c r="G678" s="67" t="s">
        <v>650</v>
      </c>
      <c r="H678" s="70" t="s">
        <v>210</v>
      </c>
    </row>
    <row r="679" spans="1:8" ht="36">
      <c r="A679" s="65" t="s">
        <v>1206</v>
      </c>
      <c r="B679" s="66" t="s">
        <v>1303</v>
      </c>
      <c r="C679" s="66" t="s">
        <v>1303</v>
      </c>
      <c r="D679" s="69" t="s">
        <v>177</v>
      </c>
      <c r="E679" s="80" t="s">
        <v>758</v>
      </c>
      <c r="F679" s="69" t="s">
        <v>514</v>
      </c>
      <c r="G679" s="67" t="s">
        <v>1317</v>
      </c>
      <c r="H679" s="70" t="s">
        <v>176</v>
      </c>
    </row>
    <row r="680" spans="1:8" ht="24">
      <c r="A680" s="65" t="s">
        <v>931</v>
      </c>
      <c r="B680" s="66" t="s">
        <v>909</v>
      </c>
      <c r="C680" s="66" t="s">
        <v>1137</v>
      </c>
      <c r="D680" s="69" t="s">
        <v>909</v>
      </c>
      <c r="E680" s="80"/>
      <c r="F680" s="69" t="s">
        <v>41</v>
      </c>
      <c r="G680" s="67" t="s">
        <v>1143</v>
      </c>
      <c r="H680" s="70" t="s">
        <v>176</v>
      </c>
    </row>
    <row r="681" spans="1:8" ht="36">
      <c r="A681" s="65" t="s">
        <v>1206</v>
      </c>
      <c r="B681" s="66" t="s">
        <v>1303</v>
      </c>
      <c r="C681" s="66" t="s">
        <v>1303</v>
      </c>
      <c r="D681" s="69" t="s">
        <v>177</v>
      </c>
      <c r="E681" s="80" t="s">
        <v>1110</v>
      </c>
      <c r="F681" s="69" t="s">
        <v>514</v>
      </c>
      <c r="G681" s="67" t="s">
        <v>1312</v>
      </c>
      <c r="H681" s="70" t="s">
        <v>176</v>
      </c>
    </row>
    <row r="682" spans="1:8" ht="24">
      <c r="A682" s="65" t="s">
        <v>972</v>
      </c>
      <c r="B682" s="66" t="s">
        <v>983</v>
      </c>
      <c r="C682" s="66" t="s">
        <v>983</v>
      </c>
      <c r="D682" s="81" t="s">
        <v>468</v>
      </c>
      <c r="E682" s="80"/>
      <c r="F682" s="69" t="s">
        <v>51</v>
      </c>
      <c r="G682" s="67" t="s">
        <v>984</v>
      </c>
      <c r="H682" s="70" t="s">
        <v>176</v>
      </c>
    </row>
    <row r="683" spans="1:8" ht="24">
      <c r="A683" s="65" t="s">
        <v>32</v>
      </c>
      <c r="B683" s="66" t="s">
        <v>470</v>
      </c>
      <c r="C683" s="66" t="s">
        <v>473</v>
      </c>
      <c r="D683" s="69" t="s">
        <v>177</v>
      </c>
      <c r="E683" s="80" t="s">
        <v>474</v>
      </c>
      <c r="F683" s="69" t="s">
        <v>480</v>
      </c>
      <c r="G683" s="67" t="s">
        <v>481</v>
      </c>
      <c r="H683" s="70" t="s">
        <v>176</v>
      </c>
    </row>
    <row r="684" spans="1:8" ht="24">
      <c r="A684" s="65" t="s">
        <v>32</v>
      </c>
      <c r="B684" s="66" t="s">
        <v>172</v>
      </c>
      <c r="C684" s="66" t="s">
        <v>202</v>
      </c>
      <c r="D684" s="69" t="s">
        <v>172</v>
      </c>
      <c r="E684" s="68"/>
      <c r="F684" s="69" t="s">
        <v>49</v>
      </c>
      <c r="G684" s="67" t="s">
        <v>209</v>
      </c>
      <c r="H684" s="70" t="s">
        <v>210</v>
      </c>
    </row>
    <row r="685" spans="1:8" ht="24">
      <c r="A685" s="65" t="s">
        <v>795</v>
      </c>
      <c r="B685" s="66" t="s">
        <v>795</v>
      </c>
      <c r="C685" s="66" t="s">
        <v>796</v>
      </c>
      <c r="D685" s="69" t="s">
        <v>177</v>
      </c>
      <c r="E685" s="80" t="s">
        <v>466</v>
      </c>
      <c r="F685" s="69" t="s">
        <v>538</v>
      </c>
      <c r="G685" s="67" t="s">
        <v>806</v>
      </c>
      <c r="H685" s="70" t="s">
        <v>210</v>
      </c>
    </row>
    <row r="686" spans="1:8">
      <c r="A686" s="65" t="s">
        <v>908</v>
      </c>
      <c r="B686" s="66" t="s">
        <v>914</v>
      </c>
      <c r="C686" s="66" t="s">
        <v>914</v>
      </c>
      <c r="D686" s="69" t="s">
        <v>219</v>
      </c>
      <c r="E686" s="80"/>
      <c r="F686" s="69" t="s">
        <v>51</v>
      </c>
      <c r="G686" s="67" t="s">
        <v>915</v>
      </c>
      <c r="H686" s="70" t="s">
        <v>910</v>
      </c>
    </row>
    <row r="687" spans="1:8" ht="24">
      <c r="A687" s="65" t="s">
        <v>603</v>
      </c>
      <c r="B687" s="66" t="s">
        <v>606</v>
      </c>
      <c r="C687" s="66" t="s">
        <v>606</v>
      </c>
      <c r="D687" s="81" t="s">
        <v>603</v>
      </c>
      <c r="E687" s="76"/>
      <c r="F687" s="69" t="s">
        <v>48</v>
      </c>
      <c r="G687" s="67" t="s">
        <v>609</v>
      </c>
      <c r="H687" s="70" t="s">
        <v>176</v>
      </c>
    </row>
    <row r="688" spans="1:8" ht="36">
      <c r="A688" s="65" t="s">
        <v>1206</v>
      </c>
      <c r="B688" s="66" t="s">
        <v>1209</v>
      </c>
      <c r="C688" s="66" t="s">
        <v>1209</v>
      </c>
      <c r="D688" s="69" t="s">
        <v>739</v>
      </c>
      <c r="E688" s="78" t="s">
        <v>740</v>
      </c>
      <c r="F688" s="69" t="s">
        <v>222</v>
      </c>
      <c r="G688" s="67" t="s">
        <v>1215</v>
      </c>
      <c r="H688" s="70" t="s">
        <v>176</v>
      </c>
    </row>
    <row r="689" spans="1:8">
      <c r="A689" s="65" t="s">
        <v>822</v>
      </c>
      <c r="B689" s="66" t="s">
        <v>822</v>
      </c>
      <c r="C689" s="66" t="s">
        <v>823</v>
      </c>
      <c r="D689" s="67" t="s">
        <v>177</v>
      </c>
      <c r="E689" s="78" t="s">
        <v>466</v>
      </c>
      <c r="F689" s="69" t="s">
        <v>47</v>
      </c>
      <c r="G689" s="67" t="s">
        <v>825</v>
      </c>
      <c r="H689" s="70" t="s">
        <v>210</v>
      </c>
    </row>
    <row r="690" spans="1:8">
      <c r="A690" s="65" t="s">
        <v>972</v>
      </c>
      <c r="B690" s="66" t="s">
        <v>1041</v>
      </c>
      <c r="C690" s="66" t="s">
        <v>1042</v>
      </c>
      <c r="D690" s="81" t="s">
        <v>219</v>
      </c>
      <c r="E690" s="78"/>
      <c r="F690" s="69" t="s">
        <v>50</v>
      </c>
      <c r="G690" s="67" t="s">
        <v>1058</v>
      </c>
      <c r="H690" s="70" t="s">
        <v>210</v>
      </c>
    </row>
    <row r="691" spans="1:8" ht="36">
      <c r="A691" s="65" t="s">
        <v>1206</v>
      </c>
      <c r="B691" s="66" t="s">
        <v>1303</v>
      </c>
      <c r="C691" s="66" t="s">
        <v>1303</v>
      </c>
      <c r="D691" s="96" t="s">
        <v>177</v>
      </c>
      <c r="E691" s="108" t="s">
        <v>1134</v>
      </c>
      <c r="F691" s="69" t="s">
        <v>514</v>
      </c>
      <c r="G691" s="67" t="s">
        <v>1315</v>
      </c>
      <c r="H691" s="70" t="s">
        <v>176</v>
      </c>
    </row>
    <row r="692" spans="1:8" ht="24">
      <c r="A692" s="65" t="s">
        <v>839</v>
      </c>
      <c r="B692" s="66" t="s">
        <v>861</v>
      </c>
      <c r="C692" s="66" t="s">
        <v>861</v>
      </c>
      <c r="D692" s="67" t="s">
        <v>451</v>
      </c>
      <c r="E692" s="78"/>
      <c r="F692" s="69" t="s">
        <v>47</v>
      </c>
      <c r="G692" s="67" t="s">
        <v>864</v>
      </c>
      <c r="H692" s="70" t="s">
        <v>843</v>
      </c>
    </row>
    <row r="693" spans="1:8" ht="36">
      <c r="A693" s="65" t="s">
        <v>1206</v>
      </c>
      <c r="B693" s="66" t="s">
        <v>1230</v>
      </c>
      <c r="C693" s="66" t="s">
        <v>1230</v>
      </c>
      <c r="D693" s="67" t="s">
        <v>739</v>
      </c>
      <c r="E693" s="78" t="s">
        <v>740</v>
      </c>
      <c r="F693" s="69" t="s">
        <v>43</v>
      </c>
      <c r="G693" s="67" t="s">
        <v>1231</v>
      </c>
      <c r="H693" s="70" t="s">
        <v>176</v>
      </c>
    </row>
    <row r="694" spans="1:8">
      <c r="A694" s="65" t="s">
        <v>931</v>
      </c>
      <c r="B694" s="66" t="s">
        <v>932</v>
      </c>
      <c r="C694" s="66" t="s">
        <v>1194</v>
      </c>
      <c r="D694" s="90" t="s">
        <v>935</v>
      </c>
      <c r="E694" s="107" t="s">
        <v>936</v>
      </c>
      <c r="F694" s="69" t="s">
        <v>48</v>
      </c>
      <c r="G694" s="67" t="s">
        <v>1198</v>
      </c>
      <c r="H694" s="70" t="s">
        <v>176</v>
      </c>
    </row>
    <row r="695" spans="1:8">
      <c r="A695" s="65" t="s">
        <v>972</v>
      </c>
      <c r="B695" s="66" t="s">
        <v>1041</v>
      </c>
      <c r="C695" s="66" t="s">
        <v>1041</v>
      </c>
      <c r="D695" s="90" t="s">
        <v>468</v>
      </c>
      <c r="E695" s="78"/>
      <c r="F695" s="69" t="s">
        <v>48</v>
      </c>
      <c r="G695" s="67" t="s">
        <v>1075</v>
      </c>
      <c r="H695" s="70" t="s">
        <v>210</v>
      </c>
    </row>
    <row r="696" spans="1:8" ht="24">
      <c r="A696" s="65" t="s">
        <v>32</v>
      </c>
      <c r="B696" s="66" t="s">
        <v>247</v>
      </c>
      <c r="C696" s="66" t="s">
        <v>251</v>
      </c>
      <c r="D696" s="79" t="s">
        <v>247</v>
      </c>
      <c r="E696" s="76"/>
      <c r="F696" s="69" t="s">
        <v>183</v>
      </c>
      <c r="G696" s="67" t="s">
        <v>265</v>
      </c>
      <c r="H696" s="70" t="s">
        <v>176</v>
      </c>
    </row>
    <row r="697" spans="1:8" ht="36">
      <c r="A697" s="65" t="s">
        <v>1206</v>
      </c>
      <c r="B697" s="66" t="s">
        <v>1286</v>
      </c>
      <c r="C697" s="66" t="s">
        <v>1286</v>
      </c>
      <c r="D697" s="67" t="s">
        <v>603</v>
      </c>
      <c r="E697" s="78"/>
      <c r="F697" s="69" t="s">
        <v>51</v>
      </c>
      <c r="G697" s="67" t="s">
        <v>1287</v>
      </c>
      <c r="H697" s="70" t="s">
        <v>176</v>
      </c>
    </row>
    <row r="698" spans="1:8">
      <c r="A698" s="65" t="s">
        <v>32</v>
      </c>
      <c r="B698" s="66" t="s">
        <v>247</v>
      </c>
      <c r="C698" s="66" t="s">
        <v>383</v>
      </c>
      <c r="D698" s="79" t="s">
        <v>177</v>
      </c>
      <c r="E698" s="76" t="s">
        <v>248</v>
      </c>
      <c r="F698" s="69" t="s">
        <v>44</v>
      </c>
      <c r="G698" s="67" t="s">
        <v>387</v>
      </c>
      <c r="H698" s="70" t="s">
        <v>176</v>
      </c>
    </row>
    <row r="699" spans="1:8" ht="24">
      <c r="A699" s="65" t="s">
        <v>1406</v>
      </c>
      <c r="B699" s="66" t="s">
        <v>1406</v>
      </c>
      <c r="C699" s="66" t="s">
        <v>1407</v>
      </c>
      <c r="D699" s="96" t="s">
        <v>177</v>
      </c>
      <c r="E699" s="78" t="s">
        <v>1408</v>
      </c>
      <c r="F699" s="69" t="s">
        <v>181</v>
      </c>
      <c r="G699" s="67" t="s">
        <v>1412</v>
      </c>
      <c r="H699" s="70" t="s">
        <v>176</v>
      </c>
    </row>
    <row r="700" spans="1:8" ht="24">
      <c r="A700" s="65" t="s">
        <v>1406</v>
      </c>
      <c r="B700" s="66" t="s">
        <v>1406</v>
      </c>
      <c r="C700" s="66" t="s">
        <v>1407</v>
      </c>
      <c r="D700" s="96" t="s">
        <v>177</v>
      </c>
      <c r="E700" s="78" t="s">
        <v>1408</v>
      </c>
      <c r="F700" s="69" t="s">
        <v>283</v>
      </c>
      <c r="G700" s="67" t="s">
        <v>1409</v>
      </c>
      <c r="H700" s="70" t="s">
        <v>176</v>
      </c>
    </row>
    <row r="701" spans="1:8" ht="24">
      <c r="A701" s="65" t="s">
        <v>972</v>
      </c>
      <c r="B701" s="66" t="s">
        <v>996</v>
      </c>
      <c r="C701" s="66" t="s">
        <v>1011</v>
      </c>
      <c r="D701" s="67" t="s">
        <v>996</v>
      </c>
      <c r="E701" s="78"/>
      <c r="F701" s="69" t="s">
        <v>48</v>
      </c>
      <c r="G701" s="67" t="s">
        <v>1016</v>
      </c>
      <c r="H701" s="70" t="s">
        <v>176</v>
      </c>
    </row>
    <row r="702" spans="1:8" ht="24">
      <c r="A702" s="65" t="s">
        <v>32</v>
      </c>
      <c r="B702" s="66" t="s">
        <v>449</v>
      </c>
      <c r="C702" s="66" t="s">
        <v>450</v>
      </c>
      <c r="D702" s="79" t="s">
        <v>451</v>
      </c>
      <c r="E702" s="76"/>
      <c r="F702" s="69" t="s">
        <v>174</v>
      </c>
      <c r="G702" s="67" t="s">
        <v>452</v>
      </c>
      <c r="H702" s="70" t="s">
        <v>176</v>
      </c>
    </row>
    <row r="703" spans="1:8">
      <c r="A703" s="65" t="s">
        <v>972</v>
      </c>
      <c r="B703" s="66" t="s">
        <v>1041</v>
      </c>
      <c r="C703" s="66" t="s">
        <v>1041</v>
      </c>
      <c r="D703" s="90" t="s">
        <v>468</v>
      </c>
      <c r="E703" s="78"/>
      <c r="F703" s="69" t="s">
        <v>48</v>
      </c>
      <c r="G703" s="67" t="s">
        <v>1074</v>
      </c>
      <c r="H703" s="70" t="s">
        <v>210</v>
      </c>
    </row>
    <row r="704" spans="1:8" ht="36">
      <c r="A704" s="65" t="s">
        <v>1206</v>
      </c>
      <c r="B704" s="66" t="s">
        <v>1328</v>
      </c>
      <c r="C704" s="66" t="s">
        <v>1328</v>
      </c>
      <c r="D704" s="67" t="s">
        <v>177</v>
      </c>
      <c r="E704" s="78" t="s">
        <v>1332</v>
      </c>
      <c r="F704" s="69" t="s">
        <v>189</v>
      </c>
      <c r="G704" s="67" t="s">
        <v>1333</v>
      </c>
      <c r="H704" s="70" t="s">
        <v>176</v>
      </c>
    </row>
    <row r="705" spans="1:8" ht="24">
      <c r="A705" s="65" t="s">
        <v>32</v>
      </c>
      <c r="B705" s="66" t="s">
        <v>247</v>
      </c>
      <c r="C705" s="66" t="s">
        <v>323</v>
      </c>
      <c r="D705" s="79" t="s">
        <v>247</v>
      </c>
      <c r="E705" s="76"/>
      <c r="F705" s="69" t="s">
        <v>40</v>
      </c>
      <c r="G705" s="67" t="s">
        <v>372</v>
      </c>
      <c r="H705" s="70" t="s">
        <v>365</v>
      </c>
    </row>
    <row r="706" spans="1:8" ht="24">
      <c r="A706" s="65" t="s">
        <v>32</v>
      </c>
      <c r="B706" s="66" t="s">
        <v>247</v>
      </c>
      <c r="C706" s="66" t="s">
        <v>251</v>
      </c>
      <c r="D706" s="79" t="s">
        <v>247</v>
      </c>
      <c r="E706" s="76"/>
      <c r="F706" s="69" t="s">
        <v>46</v>
      </c>
      <c r="G706" s="67" t="s">
        <v>267</v>
      </c>
      <c r="H706" s="70" t="s">
        <v>176</v>
      </c>
    </row>
    <row r="707" spans="1:8" ht="24">
      <c r="A707" s="65" t="s">
        <v>32</v>
      </c>
      <c r="B707" s="66" t="s">
        <v>247</v>
      </c>
      <c r="C707" s="66" t="s">
        <v>383</v>
      </c>
      <c r="D707" s="79" t="s">
        <v>247</v>
      </c>
      <c r="E707" s="76"/>
      <c r="F707" s="69" t="s">
        <v>183</v>
      </c>
      <c r="G707" s="67" t="s">
        <v>399</v>
      </c>
      <c r="H707" s="70" t="s">
        <v>176</v>
      </c>
    </row>
    <row r="708" spans="1:8" ht="36">
      <c r="A708" s="65" t="s">
        <v>1363</v>
      </c>
      <c r="B708" s="66" t="s">
        <v>1364</v>
      </c>
      <c r="C708" s="66" t="s">
        <v>1384</v>
      </c>
      <c r="D708" s="67" t="s">
        <v>1366</v>
      </c>
      <c r="E708" s="78"/>
      <c r="F708" s="69" t="s">
        <v>1371</v>
      </c>
      <c r="G708" s="67" t="s">
        <v>1388</v>
      </c>
      <c r="H708" s="70" t="s">
        <v>176</v>
      </c>
    </row>
    <row r="709" spans="1:8" ht="36">
      <c r="A709" s="65" t="s">
        <v>908</v>
      </c>
      <c r="B709" s="66" t="s">
        <v>951</v>
      </c>
      <c r="C709" s="66" t="s">
        <v>951</v>
      </c>
      <c r="D709" s="67" t="s">
        <v>603</v>
      </c>
      <c r="E709" s="78"/>
      <c r="F709" s="69" t="s">
        <v>962</v>
      </c>
      <c r="G709" s="67" t="s">
        <v>963</v>
      </c>
      <c r="H709" s="70" t="s">
        <v>910</v>
      </c>
    </row>
    <row r="710" spans="1:8">
      <c r="A710" s="65" t="s">
        <v>693</v>
      </c>
      <c r="B710" s="66" t="s">
        <v>694</v>
      </c>
      <c r="C710" s="66" t="s">
        <v>694</v>
      </c>
      <c r="D710" s="67" t="s">
        <v>603</v>
      </c>
      <c r="E710" s="78"/>
      <c r="F710" s="69" t="s">
        <v>48</v>
      </c>
      <c r="G710" s="67" t="s">
        <v>698</v>
      </c>
      <c r="H710" s="70" t="s">
        <v>243</v>
      </c>
    </row>
    <row r="711" spans="1:8" ht="24">
      <c r="A711" s="65" t="s">
        <v>972</v>
      </c>
      <c r="B711" s="66" t="s">
        <v>1041</v>
      </c>
      <c r="C711" s="66" t="s">
        <v>1041</v>
      </c>
      <c r="D711" s="67" t="s">
        <v>177</v>
      </c>
      <c r="E711" s="78" t="s">
        <v>466</v>
      </c>
      <c r="F711" s="69" t="s">
        <v>48</v>
      </c>
      <c r="G711" s="67" t="s">
        <v>1078</v>
      </c>
      <c r="H711" s="70" t="s">
        <v>210</v>
      </c>
    </row>
    <row r="712" spans="1:8" ht="24">
      <c r="A712" s="65" t="s">
        <v>699</v>
      </c>
      <c r="B712" s="66" t="s">
        <v>703</v>
      </c>
      <c r="C712" s="66" t="s">
        <v>782</v>
      </c>
      <c r="D712" s="67" t="s">
        <v>177</v>
      </c>
      <c r="E712" s="78" t="s">
        <v>783</v>
      </c>
      <c r="F712" s="69" t="s">
        <v>181</v>
      </c>
      <c r="G712" s="67" t="s">
        <v>784</v>
      </c>
      <c r="H712" s="70" t="s">
        <v>176</v>
      </c>
    </row>
    <row r="713" spans="1:8" ht="36">
      <c r="A713" s="65" t="s">
        <v>1413</v>
      </c>
      <c r="B713" s="66" t="s">
        <v>1413</v>
      </c>
      <c r="C713" s="66" t="s">
        <v>1427</v>
      </c>
      <c r="D713" s="90" t="s">
        <v>177</v>
      </c>
      <c r="E713" s="107" t="s">
        <v>1108</v>
      </c>
      <c r="F713" s="69" t="s">
        <v>183</v>
      </c>
      <c r="G713" s="67" t="s">
        <v>1430</v>
      </c>
      <c r="H713" s="70" t="s">
        <v>243</v>
      </c>
    </row>
    <row r="714" spans="1:8" ht="24">
      <c r="A714" s="65" t="s">
        <v>603</v>
      </c>
      <c r="B714" s="66" t="s">
        <v>647</v>
      </c>
      <c r="C714" s="66" t="s">
        <v>658</v>
      </c>
      <c r="D714" s="67" t="s">
        <v>603</v>
      </c>
      <c r="E714" s="78"/>
      <c r="F714" s="69" t="s">
        <v>47</v>
      </c>
      <c r="G714" s="67" t="s">
        <v>664</v>
      </c>
      <c r="H714" s="70" t="s">
        <v>210</v>
      </c>
    </row>
    <row r="715" spans="1:8" ht="24">
      <c r="A715" s="65" t="s">
        <v>931</v>
      </c>
      <c r="B715" s="66" t="s">
        <v>909</v>
      </c>
      <c r="C715" s="66" t="s">
        <v>1137</v>
      </c>
      <c r="D715" s="67" t="s">
        <v>909</v>
      </c>
      <c r="E715" s="78"/>
      <c r="F715" s="69" t="s">
        <v>41</v>
      </c>
      <c r="G715" s="67" t="s">
        <v>1142</v>
      </c>
      <c r="H715" s="70" t="s">
        <v>176</v>
      </c>
    </row>
    <row r="716" spans="1:8" ht="24">
      <c r="A716" s="65" t="s">
        <v>32</v>
      </c>
      <c r="B716" s="66" t="s">
        <v>219</v>
      </c>
      <c r="C716" s="66" t="s">
        <v>219</v>
      </c>
      <c r="D716" s="67" t="s">
        <v>177</v>
      </c>
      <c r="E716" s="78" t="s">
        <v>220</v>
      </c>
      <c r="F716" s="69" t="s">
        <v>189</v>
      </c>
      <c r="G716" s="67" t="s">
        <v>221</v>
      </c>
      <c r="H716" s="70" t="s">
        <v>176</v>
      </c>
    </row>
    <row r="717" spans="1:8" ht="36">
      <c r="A717" s="65" t="s">
        <v>972</v>
      </c>
      <c r="B717" s="66" t="s">
        <v>996</v>
      </c>
      <c r="C717" s="66" t="s">
        <v>997</v>
      </c>
      <c r="D717" s="90" t="s">
        <v>468</v>
      </c>
      <c r="E717" s="78"/>
      <c r="F717" s="69" t="s">
        <v>51</v>
      </c>
      <c r="G717" s="67" t="s">
        <v>998</v>
      </c>
      <c r="H717" s="70" t="s">
        <v>176</v>
      </c>
    </row>
    <row r="718" spans="1:8" ht="36">
      <c r="A718" s="65" t="s">
        <v>972</v>
      </c>
      <c r="B718" s="66" t="s">
        <v>1041</v>
      </c>
      <c r="C718" s="66" t="s">
        <v>1079</v>
      </c>
      <c r="D718" s="90" t="s">
        <v>468</v>
      </c>
      <c r="E718" s="78"/>
      <c r="F718" s="69" t="s">
        <v>47</v>
      </c>
      <c r="G718" s="67" t="s">
        <v>1092</v>
      </c>
      <c r="H718" s="70" t="s">
        <v>210</v>
      </c>
    </row>
    <row r="719" spans="1:8" ht="36">
      <c r="A719" s="65" t="s">
        <v>1206</v>
      </c>
      <c r="B719" s="66" t="s">
        <v>1254</v>
      </c>
      <c r="C719" s="72" t="s">
        <v>1254</v>
      </c>
      <c r="D719" s="67" t="s">
        <v>177</v>
      </c>
      <c r="E719" s="78" t="s">
        <v>474</v>
      </c>
      <c r="F719" s="69" t="s">
        <v>1237</v>
      </c>
      <c r="G719" s="109" t="s">
        <v>1269</v>
      </c>
      <c r="H719" s="70" t="s">
        <v>176</v>
      </c>
    </row>
    <row r="720" spans="1:8" ht="24">
      <c r="A720" s="65" t="s">
        <v>972</v>
      </c>
      <c r="B720" s="66" t="s">
        <v>996</v>
      </c>
      <c r="C720" s="66" t="s">
        <v>1003</v>
      </c>
      <c r="D720" s="72" t="s">
        <v>996</v>
      </c>
      <c r="E720" s="80"/>
      <c r="F720" s="69" t="s">
        <v>51</v>
      </c>
      <c r="G720" s="67" t="s">
        <v>1004</v>
      </c>
      <c r="H720" s="70" t="s">
        <v>176</v>
      </c>
    </row>
    <row r="721" spans="1:8" ht="24">
      <c r="A721" s="65" t="s">
        <v>839</v>
      </c>
      <c r="B721" s="66" t="s">
        <v>871</v>
      </c>
      <c r="C721" s="66" t="s">
        <v>871</v>
      </c>
      <c r="D721" s="69" t="s">
        <v>603</v>
      </c>
      <c r="E721" s="80"/>
      <c r="F721" s="69" t="s">
        <v>47</v>
      </c>
      <c r="G721" s="67" t="s">
        <v>880</v>
      </c>
      <c r="H721" s="70" t="s">
        <v>843</v>
      </c>
    </row>
    <row r="722" spans="1:8" ht="36">
      <c r="A722" s="65" t="s">
        <v>1413</v>
      </c>
      <c r="B722" s="66" t="s">
        <v>1413</v>
      </c>
      <c r="C722" s="66" t="s">
        <v>1427</v>
      </c>
      <c r="D722" s="81" t="s">
        <v>177</v>
      </c>
      <c r="E722" s="82" t="s">
        <v>1108</v>
      </c>
      <c r="F722" s="69" t="s">
        <v>44</v>
      </c>
      <c r="G722" s="67" t="s">
        <v>1429</v>
      </c>
      <c r="H722" s="70" t="s">
        <v>243</v>
      </c>
    </row>
    <row r="723" spans="1:8">
      <c r="A723" s="65" t="s">
        <v>839</v>
      </c>
      <c r="B723" s="66" t="s">
        <v>694</v>
      </c>
      <c r="C723" s="66" t="s">
        <v>694</v>
      </c>
      <c r="D723" s="69" t="s">
        <v>822</v>
      </c>
      <c r="E723" s="80"/>
      <c r="F723" s="69" t="s">
        <v>47</v>
      </c>
      <c r="G723" s="67" t="s">
        <v>856</v>
      </c>
      <c r="H723" s="70" t="s">
        <v>843</v>
      </c>
    </row>
    <row r="724" spans="1:8" ht="24">
      <c r="A724" s="65" t="s">
        <v>972</v>
      </c>
      <c r="B724" s="66" t="s">
        <v>996</v>
      </c>
      <c r="C724" s="66" t="s">
        <v>1011</v>
      </c>
      <c r="D724" s="69" t="s">
        <v>996</v>
      </c>
      <c r="E724" s="80"/>
      <c r="F724" s="69" t="s">
        <v>48</v>
      </c>
      <c r="G724" s="67" t="s">
        <v>1021</v>
      </c>
      <c r="H724" s="70" t="s">
        <v>176</v>
      </c>
    </row>
    <row r="725" spans="1:8" ht="24">
      <c r="A725" s="65" t="s">
        <v>795</v>
      </c>
      <c r="B725" s="66" t="s">
        <v>795</v>
      </c>
      <c r="C725" s="66" t="s">
        <v>796</v>
      </c>
      <c r="D725" s="69" t="s">
        <v>468</v>
      </c>
      <c r="E725" s="80"/>
      <c r="F725" s="69" t="s">
        <v>47</v>
      </c>
      <c r="G725" s="67" t="s">
        <v>818</v>
      </c>
      <c r="H725" s="70" t="s">
        <v>210</v>
      </c>
    </row>
    <row r="726" spans="1:8" ht="24">
      <c r="A726" s="65" t="s">
        <v>908</v>
      </c>
      <c r="B726" s="66" t="s">
        <v>672</v>
      </c>
      <c r="C726" s="72" t="s">
        <v>943</v>
      </c>
      <c r="D726" s="67" t="s">
        <v>603</v>
      </c>
      <c r="E726" s="78"/>
      <c r="F726" s="69" t="s">
        <v>48</v>
      </c>
      <c r="G726" s="69" t="s">
        <v>945</v>
      </c>
      <c r="H726" s="70" t="s">
        <v>910</v>
      </c>
    </row>
    <row r="727" spans="1:8">
      <c r="A727" s="65" t="s">
        <v>908</v>
      </c>
      <c r="B727" s="66" t="s">
        <v>964</v>
      </c>
      <c r="C727" s="66" t="s">
        <v>964</v>
      </c>
      <c r="D727" s="69" t="s">
        <v>603</v>
      </c>
      <c r="E727" s="80"/>
      <c r="F727" s="69" t="s">
        <v>48</v>
      </c>
      <c r="G727" s="67" t="s">
        <v>970</v>
      </c>
      <c r="H727" s="70" t="s">
        <v>910</v>
      </c>
    </row>
    <row r="728" spans="1:8" ht="24">
      <c r="A728" s="65" t="s">
        <v>699</v>
      </c>
      <c r="B728" s="66" t="s">
        <v>700</v>
      </c>
      <c r="C728" s="66" t="s">
        <v>701</v>
      </c>
      <c r="D728" s="67" t="s">
        <v>700</v>
      </c>
      <c r="E728" s="78"/>
      <c r="F728" s="69" t="s">
        <v>48</v>
      </c>
      <c r="G728" s="67" t="s">
        <v>702</v>
      </c>
      <c r="H728" s="70" t="s">
        <v>176</v>
      </c>
    </row>
    <row r="729" spans="1:8" ht="24">
      <c r="A729" s="65" t="s">
        <v>32</v>
      </c>
      <c r="B729" s="66" t="s">
        <v>172</v>
      </c>
      <c r="C729" s="66" t="s">
        <v>173</v>
      </c>
      <c r="D729" s="69" t="s">
        <v>172</v>
      </c>
      <c r="E729" s="68"/>
      <c r="F729" s="69" t="s">
        <v>183</v>
      </c>
      <c r="G729" s="67" t="s">
        <v>187</v>
      </c>
      <c r="H729" s="70" t="s">
        <v>176</v>
      </c>
    </row>
    <row r="730" spans="1:8" ht="24">
      <c r="A730" s="65" t="s">
        <v>931</v>
      </c>
      <c r="B730" s="66" t="s">
        <v>932</v>
      </c>
      <c r="C730" s="66" t="s">
        <v>1172</v>
      </c>
      <c r="D730" s="90" t="s">
        <v>935</v>
      </c>
      <c r="E730" s="107" t="s">
        <v>936</v>
      </c>
      <c r="F730" s="69" t="s">
        <v>1178</v>
      </c>
      <c r="G730" s="67" t="s">
        <v>1179</v>
      </c>
      <c r="H730" s="70" t="s">
        <v>176</v>
      </c>
    </row>
    <row r="731" spans="1:8" ht="24">
      <c r="A731" s="65" t="s">
        <v>32</v>
      </c>
      <c r="B731" s="66" t="s">
        <v>247</v>
      </c>
      <c r="C731" s="66" t="s">
        <v>323</v>
      </c>
      <c r="D731" s="79" t="s">
        <v>247</v>
      </c>
      <c r="E731" s="76"/>
      <c r="F731" s="69" t="s">
        <v>337</v>
      </c>
      <c r="G731" s="67" t="s">
        <v>380</v>
      </c>
      <c r="H731" s="70" t="s">
        <v>365</v>
      </c>
    </row>
    <row r="732" spans="1:8" ht="24">
      <c r="A732" s="65" t="s">
        <v>32</v>
      </c>
      <c r="B732" s="66" t="s">
        <v>470</v>
      </c>
      <c r="C732" s="66" t="s">
        <v>519</v>
      </c>
      <c r="D732" s="67" t="s">
        <v>172</v>
      </c>
      <c r="E732" s="78"/>
      <c r="F732" s="69" t="s">
        <v>47</v>
      </c>
      <c r="G732" s="67" t="s">
        <v>521</v>
      </c>
      <c r="H732" s="70" t="s">
        <v>176</v>
      </c>
    </row>
    <row r="733" spans="1:8" ht="24">
      <c r="A733" s="65" t="s">
        <v>32</v>
      </c>
      <c r="B733" s="66" t="s">
        <v>470</v>
      </c>
      <c r="C733" s="66" t="s">
        <v>534</v>
      </c>
      <c r="D733" s="69" t="s">
        <v>470</v>
      </c>
      <c r="E733" s="80"/>
      <c r="F733" s="69" t="s">
        <v>283</v>
      </c>
      <c r="G733" s="67" t="s">
        <v>543</v>
      </c>
      <c r="H733" s="70" t="s">
        <v>176</v>
      </c>
    </row>
    <row r="734" spans="1:8" ht="36">
      <c r="A734" s="65" t="s">
        <v>32</v>
      </c>
      <c r="B734" s="66" t="s">
        <v>408</v>
      </c>
      <c r="C734" s="66" t="s">
        <v>413</v>
      </c>
      <c r="D734" s="69" t="s">
        <v>177</v>
      </c>
      <c r="E734" s="80" t="s">
        <v>415</v>
      </c>
      <c r="F734" s="69" t="s">
        <v>51</v>
      </c>
      <c r="G734" s="67" t="s">
        <v>416</v>
      </c>
      <c r="H734" s="70" t="s">
        <v>176</v>
      </c>
    </row>
    <row r="735" spans="1:8" ht="24">
      <c r="A735" s="65" t="s">
        <v>32</v>
      </c>
      <c r="B735" s="66" t="s">
        <v>247</v>
      </c>
      <c r="C735" s="66" t="s">
        <v>268</v>
      </c>
      <c r="D735" s="77" t="s">
        <v>247</v>
      </c>
      <c r="E735" s="68"/>
      <c r="F735" s="69" t="s">
        <v>183</v>
      </c>
      <c r="G735" s="67" t="s">
        <v>275</v>
      </c>
      <c r="H735" s="70" t="s">
        <v>176</v>
      </c>
    </row>
    <row r="736" spans="1:8">
      <c r="A736" s="65" t="s">
        <v>839</v>
      </c>
      <c r="B736" s="66" t="s">
        <v>892</v>
      </c>
      <c r="C736" s="66" t="s">
        <v>892</v>
      </c>
      <c r="D736" s="67" t="s">
        <v>720</v>
      </c>
      <c r="E736" s="78"/>
      <c r="F736" s="69" t="s">
        <v>695</v>
      </c>
      <c r="G736" s="67" t="s">
        <v>893</v>
      </c>
      <c r="H736" s="70" t="s">
        <v>843</v>
      </c>
    </row>
    <row r="737" spans="1:8" ht="36">
      <c r="A737" s="65" t="s">
        <v>1206</v>
      </c>
      <c r="B737" s="66" t="s">
        <v>1294</v>
      </c>
      <c r="C737" s="66" t="s">
        <v>1294</v>
      </c>
      <c r="D737" s="67" t="s">
        <v>739</v>
      </c>
      <c r="E737" s="78" t="s">
        <v>740</v>
      </c>
      <c r="F737" s="69" t="s">
        <v>1299</v>
      </c>
      <c r="G737" s="67" t="s">
        <v>1301</v>
      </c>
      <c r="H737" s="70" t="s">
        <v>176</v>
      </c>
    </row>
    <row r="738" spans="1:8" ht="36">
      <c r="A738" s="65" t="s">
        <v>908</v>
      </c>
      <c r="B738" s="66" t="s">
        <v>964</v>
      </c>
      <c r="C738" s="66" t="s">
        <v>964</v>
      </c>
      <c r="D738" s="67" t="s">
        <v>603</v>
      </c>
      <c r="E738" s="78"/>
      <c r="F738" s="69" t="s">
        <v>965</v>
      </c>
      <c r="G738" s="67" t="s">
        <v>966</v>
      </c>
      <c r="H738" s="70" t="s">
        <v>910</v>
      </c>
    </row>
    <row r="739" spans="1:8" ht="24">
      <c r="A739" s="65" t="s">
        <v>32</v>
      </c>
      <c r="B739" s="66" t="s">
        <v>470</v>
      </c>
      <c r="C739" s="66" t="s">
        <v>525</v>
      </c>
      <c r="D739" s="69" t="s">
        <v>470</v>
      </c>
      <c r="E739" s="80"/>
      <c r="F739" s="69" t="s">
        <v>46</v>
      </c>
      <c r="G739" s="67" t="s">
        <v>529</v>
      </c>
      <c r="H739" s="70" t="s">
        <v>176</v>
      </c>
    </row>
    <row r="740" spans="1:8" ht="24">
      <c r="A740" s="65" t="s">
        <v>699</v>
      </c>
      <c r="B740" s="66" t="s">
        <v>703</v>
      </c>
      <c r="C740" s="66" t="s">
        <v>769</v>
      </c>
      <c r="D740" s="67" t="s">
        <v>720</v>
      </c>
      <c r="E740" s="78"/>
      <c r="F740" s="69" t="s">
        <v>48</v>
      </c>
      <c r="G740" s="67" t="s">
        <v>771</v>
      </c>
      <c r="H740" s="70" t="s">
        <v>210</v>
      </c>
    </row>
    <row r="741" spans="1:8" ht="36">
      <c r="A741" s="65" t="s">
        <v>931</v>
      </c>
      <c r="B741" s="66" t="s">
        <v>932</v>
      </c>
      <c r="C741" s="66" t="s">
        <v>1176</v>
      </c>
      <c r="D741" s="90" t="s">
        <v>935</v>
      </c>
      <c r="E741" s="107" t="s">
        <v>936</v>
      </c>
      <c r="F741" s="69" t="s">
        <v>1178</v>
      </c>
      <c r="G741" s="67" t="s">
        <v>1188</v>
      </c>
      <c r="H741" s="70" t="s">
        <v>176</v>
      </c>
    </row>
    <row r="742" spans="1:8" ht="24">
      <c r="A742" s="65" t="s">
        <v>32</v>
      </c>
      <c r="B742" s="66" t="s">
        <v>247</v>
      </c>
      <c r="C742" s="66" t="s">
        <v>268</v>
      </c>
      <c r="D742" s="79" t="s">
        <v>177</v>
      </c>
      <c r="E742" s="76" t="s">
        <v>180</v>
      </c>
      <c r="F742" s="69" t="s">
        <v>285</v>
      </c>
      <c r="G742" s="67" t="s">
        <v>288</v>
      </c>
      <c r="H742" s="70" t="s">
        <v>176</v>
      </c>
    </row>
    <row r="743" spans="1:8" ht="36">
      <c r="A743" s="65" t="s">
        <v>1413</v>
      </c>
      <c r="B743" s="66" t="s">
        <v>1413</v>
      </c>
      <c r="C743" s="66" t="s">
        <v>1443</v>
      </c>
      <c r="D743" s="96" t="s">
        <v>177</v>
      </c>
      <c r="E743" s="78" t="s">
        <v>1118</v>
      </c>
      <c r="F743" s="69" t="s">
        <v>44</v>
      </c>
      <c r="G743" s="67" t="s">
        <v>1446</v>
      </c>
      <c r="H743" s="70" t="s">
        <v>1123</v>
      </c>
    </row>
    <row r="744" spans="1:8" ht="36">
      <c r="A744" s="65" t="s">
        <v>32</v>
      </c>
      <c r="B744" s="66" t="s">
        <v>408</v>
      </c>
      <c r="C744" s="66" t="s">
        <v>429</v>
      </c>
      <c r="D744" s="79" t="s">
        <v>177</v>
      </c>
      <c r="E744" s="76" t="s">
        <v>430</v>
      </c>
      <c r="F744" s="69" t="s">
        <v>51</v>
      </c>
      <c r="G744" s="67" t="s">
        <v>431</v>
      </c>
      <c r="H744" s="70" t="s">
        <v>176</v>
      </c>
    </row>
    <row r="745" spans="1:8" ht="24">
      <c r="A745" s="65" t="s">
        <v>32</v>
      </c>
      <c r="B745" s="66" t="s">
        <v>247</v>
      </c>
      <c r="C745" s="66" t="s">
        <v>268</v>
      </c>
      <c r="D745" s="79" t="s">
        <v>247</v>
      </c>
      <c r="E745" s="76"/>
      <c r="F745" s="69" t="s">
        <v>45</v>
      </c>
      <c r="G745" s="67" t="s">
        <v>274</v>
      </c>
      <c r="H745" s="70" t="s">
        <v>176</v>
      </c>
    </row>
    <row r="746" spans="1:8" ht="36">
      <c r="A746" s="65" t="s">
        <v>1206</v>
      </c>
      <c r="B746" s="66" t="s">
        <v>1254</v>
      </c>
      <c r="C746" s="66" t="s">
        <v>1254</v>
      </c>
      <c r="D746" s="67" t="s">
        <v>177</v>
      </c>
      <c r="E746" s="78" t="s">
        <v>250</v>
      </c>
      <c r="F746" s="69" t="s">
        <v>1256</v>
      </c>
      <c r="G746" s="67" t="s">
        <v>1257</v>
      </c>
      <c r="H746" s="70" t="s">
        <v>176</v>
      </c>
    </row>
    <row r="747" spans="1:8" ht="24">
      <c r="A747" s="65" t="s">
        <v>32</v>
      </c>
      <c r="B747" s="66" t="s">
        <v>470</v>
      </c>
      <c r="C747" s="66" t="s">
        <v>473</v>
      </c>
      <c r="D747" s="67" t="s">
        <v>177</v>
      </c>
      <c r="E747" s="78" t="s">
        <v>476</v>
      </c>
      <c r="F747" s="69" t="s">
        <v>283</v>
      </c>
      <c r="G747" s="67" t="s">
        <v>477</v>
      </c>
      <c r="H747" s="70" t="s">
        <v>176</v>
      </c>
    </row>
    <row r="748" spans="1:8" ht="24">
      <c r="A748" s="65" t="s">
        <v>931</v>
      </c>
      <c r="B748" s="66" t="s">
        <v>909</v>
      </c>
      <c r="C748" s="66" t="s">
        <v>1098</v>
      </c>
      <c r="D748" s="96" t="s">
        <v>177</v>
      </c>
      <c r="E748" s="108" t="s">
        <v>1118</v>
      </c>
      <c r="F748" s="69" t="s">
        <v>45</v>
      </c>
      <c r="G748" s="67" t="s">
        <v>1119</v>
      </c>
      <c r="H748" s="70" t="s">
        <v>176</v>
      </c>
    </row>
    <row r="749" spans="1:8" ht="36">
      <c r="A749" s="65" t="s">
        <v>1413</v>
      </c>
      <c r="B749" s="66" t="s">
        <v>1414</v>
      </c>
      <c r="C749" s="66" t="s">
        <v>1414</v>
      </c>
      <c r="D749" s="81" t="s">
        <v>177</v>
      </c>
      <c r="E749" s="80" t="s">
        <v>1415</v>
      </c>
      <c r="F749" s="69" t="s">
        <v>183</v>
      </c>
      <c r="G749" s="67" t="s">
        <v>1416</v>
      </c>
      <c r="H749" s="70" t="s">
        <v>176</v>
      </c>
    </row>
    <row r="750" spans="1:8" ht="24">
      <c r="A750" s="65" t="s">
        <v>795</v>
      </c>
      <c r="B750" s="66" t="s">
        <v>795</v>
      </c>
      <c r="C750" s="66" t="s">
        <v>796</v>
      </c>
      <c r="D750" s="81" t="s">
        <v>177</v>
      </c>
      <c r="E750" s="80" t="s">
        <v>466</v>
      </c>
      <c r="F750" s="69" t="s">
        <v>538</v>
      </c>
      <c r="G750" s="67" t="s">
        <v>802</v>
      </c>
      <c r="H750" s="70" t="s">
        <v>210</v>
      </c>
    </row>
    <row r="751" spans="1:8">
      <c r="A751" s="65" t="s">
        <v>603</v>
      </c>
      <c r="B751" s="66" t="s">
        <v>647</v>
      </c>
      <c r="C751" s="66" t="s">
        <v>666</v>
      </c>
      <c r="D751" s="69" t="s">
        <v>177</v>
      </c>
      <c r="E751" s="80" t="s">
        <v>466</v>
      </c>
      <c r="F751" s="69" t="s">
        <v>47</v>
      </c>
      <c r="G751" s="67" t="s">
        <v>670</v>
      </c>
      <c r="H751" s="70" t="s">
        <v>210</v>
      </c>
    </row>
    <row r="752" spans="1:8" ht="24">
      <c r="A752" s="65" t="s">
        <v>972</v>
      </c>
      <c r="B752" s="66" t="s">
        <v>996</v>
      </c>
      <c r="C752" s="66" t="s">
        <v>1011</v>
      </c>
      <c r="D752" s="69" t="s">
        <v>468</v>
      </c>
      <c r="E752" s="80"/>
      <c r="F752" s="69" t="s">
        <v>48</v>
      </c>
      <c r="G752" s="67" t="s">
        <v>1027</v>
      </c>
      <c r="H752" s="70" t="s">
        <v>210</v>
      </c>
    </row>
    <row r="753" spans="1:8" ht="36">
      <c r="A753" s="65" t="s">
        <v>839</v>
      </c>
      <c r="B753" s="66" t="s">
        <v>892</v>
      </c>
      <c r="C753" s="66" t="s">
        <v>892</v>
      </c>
      <c r="D753" s="69" t="s">
        <v>703</v>
      </c>
      <c r="E753" s="80"/>
      <c r="F753" s="69" t="s">
        <v>901</v>
      </c>
      <c r="G753" s="67" t="s">
        <v>902</v>
      </c>
      <c r="H753" s="70" t="s">
        <v>860</v>
      </c>
    </row>
    <row r="754" spans="1:8" ht="24">
      <c r="A754" s="65" t="s">
        <v>931</v>
      </c>
      <c r="B754" s="66" t="s">
        <v>909</v>
      </c>
      <c r="C754" s="66" t="s">
        <v>1093</v>
      </c>
      <c r="D754" s="91" t="s">
        <v>177</v>
      </c>
      <c r="E754" s="92" t="s">
        <v>1094</v>
      </c>
      <c r="F754" s="69" t="s">
        <v>514</v>
      </c>
      <c r="G754" s="67" t="s">
        <v>1095</v>
      </c>
      <c r="H754" s="70" t="s">
        <v>176</v>
      </c>
    </row>
    <row r="755" spans="1:8" ht="24">
      <c r="A755" s="65" t="s">
        <v>32</v>
      </c>
      <c r="B755" s="66" t="s">
        <v>247</v>
      </c>
      <c r="C755" s="66" t="s">
        <v>310</v>
      </c>
      <c r="D755" s="77" t="s">
        <v>247</v>
      </c>
      <c r="E755" s="68"/>
      <c r="F755" s="69" t="s">
        <v>46</v>
      </c>
      <c r="G755" s="67" t="s">
        <v>319</v>
      </c>
      <c r="H755" s="70" t="s">
        <v>176</v>
      </c>
    </row>
    <row r="756" spans="1:8" ht="24">
      <c r="A756" s="65" t="s">
        <v>699</v>
      </c>
      <c r="B756" s="66" t="s">
        <v>720</v>
      </c>
      <c r="C756" s="66" t="s">
        <v>742</v>
      </c>
      <c r="D756" s="69" t="s">
        <v>720</v>
      </c>
      <c r="E756" s="80"/>
      <c r="F756" s="69" t="s">
        <v>48</v>
      </c>
      <c r="G756" s="67" t="s">
        <v>746</v>
      </c>
      <c r="H756" s="70" t="s">
        <v>176</v>
      </c>
    </row>
    <row r="757" spans="1:8" ht="36">
      <c r="A757" s="65" t="s">
        <v>1206</v>
      </c>
      <c r="B757" s="66" t="s">
        <v>1254</v>
      </c>
      <c r="C757" s="66" t="s">
        <v>1254</v>
      </c>
      <c r="D757" s="69" t="s">
        <v>470</v>
      </c>
      <c r="E757" s="80"/>
      <c r="F757" s="69" t="s">
        <v>1237</v>
      </c>
      <c r="G757" s="67" t="s">
        <v>1271</v>
      </c>
      <c r="H757" s="70" t="s">
        <v>176</v>
      </c>
    </row>
    <row r="758" spans="1:8" ht="24">
      <c r="A758" s="65" t="s">
        <v>32</v>
      </c>
      <c r="B758" s="66" t="s">
        <v>470</v>
      </c>
      <c r="C758" s="66" t="s">
        <v>557</v>
      </c>
      <c r="D758" s="69" t="s">
        <v>470</v>
      </c>
      <c r="E758" s="80"/>
      <c r="F758" s="69" t="s">
        <v>518</v>
      </c>
      <c r="G758" s="67" t="s">
        <v>576</v>
      </c>
      <c r="H758" s="70" t="s">
        <v>210</v>
      </c>
    </row>
    <row r="759" spans="1:8" ht="24">
      <c r="A759" s="65" t="s">
        <v>32</v>
      </c>
      <c r="B759" s="66" t="s">
        <v>172</v>
      </c>
      <c r="C759" s="66" t="s">
        <v>173</v>
      </c>
      <c r="D759" s="69" t="s">
        <v>177</v>
      </c>
      <c r="E759" s="68" t="s">
        <v>180</v>
      </c>
      <c r="F759" s="69" t="s">
        <v>46</v>
      </c>
      <c r="G759" s="67" t="s">
        <v>195</v>
      </c>
      <c r="H759" s="70" t="s">
        <v>176</v>
      </c>
    </row>
    <row r="760" spans="1:8" ht="36">
      <c r="A760" s="65" t="s">
        <v>1206</v>
      </c>
      <c r="B760" s="66" t="s">
        <v>1328</v>
      </c>
      <c r="C760" s="66" t="s">
        <v>1328</v>
      </c>
      <c r="D760" s="69" t="s">
        <v>177</v>
      </c>
      <c r="E760" s="80" t="s">
        <v>466</v>
      </c>
      <c r="F760" s="69" t="s">
        <v>181</v>
      </c>
      <c r="G760" s="67" t="s">
        <v>1353</v>
      </c>
      <c r="H760" s="70" t="s">
        <v>176</v>
      </c>
    </row>
    <row r="761" spans="1:8">
      <c r="A761" s="65" t="s">
        <v>699</v>
      </c>
      <c r="B761" s="66" t="s">
        <v>720</v>
      </c>
      <c r="C761" s="66" t="s">
        <v>742</v>
      </c>
      <c r="D761" s="69" t="s">
        <v>720</v>
      </c>
      <c r="E761" s="80"/>
      <c r="F761" s="69" t="s">
        <v>45</v>
      </c>
      <c r="G761" s="67" t="s">
        <v>743</v>
      </c>
      <c r="H761" s="70" t="s">
        <v>176</v>
      </c>
    </row>
    <row r="762" spans="1:8">
      <c r="A762" s="65" t="s">
        <v>931</v>
      </c>
      <c r="B762" s="66" t="s">
        <v>932</v>
      </c>
      <c r="C762" s="66" t="s">
        <v>1194</v>
      </c>
      <c r="D762" s="81" t="s">
        <v>177</v>
      </c>
      <c r="E762" s="80" t="s">
        <v>1196</v>
      </c>
      <c r="F762" s="69" t="s">
        <v>183</v>
      </c>
      <c r="G762" s="67" t="s">
        <v>1197</v>
      </c>
      <c r="H762" s="70" t="s">
        <v>176</v>
      </c>
    </row>
    <row r="763" spans="1:8">
      <c r="A763" s="65" t="s">
        <v>699</v>
      </c>
      <c r="B763" s="66" t="s">
        <v>720</v>
      </c>
      <c r="C763" s="66" t="s">
        <v>742</v>
      </c>
      <c r="D763" s="69" t="s">
        <v>720</v>
      </c>
      <c r="E763" s="80"/>
      <c r="F763" s="69" t="s">
        <v>47</v>
      </c>
      <c r="G763" s="67" t="s">
        <v>755</v>
      </c>
      <c r="H763" s="70" t="s">
        <v>176</v>
      </c>
    </row>
    <row r="764" spans="1:8" ht="24">
      <c r="A764" s="65" t="s">
        <v>32</v>
      </c>
      <c r="B764" s="66" t="s">
        <v>470</v>
      </c>
      <c r="C764" s="66" t="s">
        <v>471</v>
      </c>
      <c r="D764" s="69" t="s">
        <v>470</v>
      </c>
      <c r="E764" s="80"/>
      <c r="F764" s="69" t="s">
        <v>174</v>
      </c>
      <c r="G764" s="67" t="s">
        <v>472</v>
      </c>
      <c r="H764" s="70" t="s">
        <v>176</v>
      </c>
    </row>
    <row r="765" spans="1:8" ht="24">
      <c r="A765" s="65" t="s">
        <v>32</v>
      </c>
      <c r="B765" s="66" t="s">
        <v>449</v>
      </c>
      <c r="C765" s="66" t="s">
        <v>458</v>
      </c>
      <c r="D765" s="77" t="s">
        <v>451</v>
      </c>
      <c r="E765" s="68"/>
      <c r="F765" s="69" t="s">
        <v>47</v>
      </c>
      <c r="G765" s="67" t="s">
        <v>465</v>
      </c>
      <c r="H765" s="70" t="s">
        <v>176</v>
      </c>
    </row>
    <row r="766" spans="1:8" ht="24">
      <c r="A766" s="65" t="s">
        <v>972</v>
      </c>
      <c r="B766" s="66" t="s">
        <v>840</v>
      </c>
      <c r="C766" s="66" t="str">
        <f>B766</f>
        <v>Администрация</v>
      </c>
      <c r="D766" s="81" t="s">
        <v>974</v>
      </c>
      <c r="E766" s="80"/>
      <c r="F766" s="69" t="s">
        <v>979</v>
      </c>
      <c r="G766" s="67" t="s">
        <v>980</v>
      </c>
      <c r="H766" s="70" t="s">
        <v>210</v>
      </c>
    </row>
    <row r="767" spans="1:8" ht="24">
      <c r="A767" s="65" t="s">
        <v>32</v>
      </c>
      <c r="B767" s="66" t="s">
        <v>247</v>
      </c>
      <c r="C767" s="66" t="s">
        <v>323</v>
      </c>
      <c r="D767" s="77" t="s">
        <v>247</v>
      </c>
      <c r="E767" s="68"/>
      <c r="F767" s="69" t="s">
        <v>43</v>
      </c>
      <c r="G767" s="67" t="s">
        <v>343</v>
      </c>
      <c r="H767" s="70" t="s">
        <v>176</v>
      </c>
    </row>
    <row r="768" spans="1:8" ht="36">
      <c r="A768" s="65" t="s">
        <v>972</v>
      </c>
      <c r="B768" s="66" t="s">
        <v>1041</v>
      </c>
      <c r="C768" s="66" t="s">
        <v>1079</v>
      </c>
      <c r="D768" s="81" t="s">
        <v>468</v>
      </c>
      <c r="E768" s="80"/>
      <c r="F768" s="69" t="s">
        <v>48</v>
      </c>
      <c r="G768" s="67" t="s">
        <v>1089</v>
      </c>
      <c r="H768" s="70" t="s">
        <v>210</v>
      </c>
    </row>
    <row r="769" spans="1:8">
      <c r="A769" s="65" t="s">
        <v>822</v>
      </c>
      <c r="B769" s="66" t="s">
        <v>822</v>
      </c>
      <c r="C769" s="66" t="s">
        <v>823</v>
      </c>
      <c r="D769" s="69" t="s">
        <v>177</v>
      </c>
      <c r="E769" s="80" t="s">
        <v>466</v>
      </c>
      <c r="F769" s="69" t="s">
        <v>47</v>
      </c>
      <c r="G769" s="67" t="s">
        <v>824</v>
      </c>
      <c r="H769" s="70" t="s">
        <v>210</v>
      </c>
    </row>
    <row r="770" spans="1:8" ht="36">
      <c r="A770" s="65" t="s">
        <v>931</v>
      </c>
      <c r="B770" s="66" t="s">
        <v>932</v>
      </c>
      <c r="C770" s="66" t="s">
        <v>1160</v>
      </c>
      <c r="D770" s="81" t="s">
        <v>935</v>
      </c>
      <c r="E770" s="82" t="s">
        <v>936</v>
      </c>
      <c r="F770" s="69" t="s">
        <v>865</v>
      </c>
      <c r="G770" s="67" t="s">
        <v>1167</v>
      </c>
      <c r="H770" s="70" t="s">
        <v>243</v>
      </c>
    </row>
    <row r="771" spans="1:8" ht="36">
      <c r="A771" s="65" t="s">
        <v>1206</v>
      </c>
      <c r="B771" s="66" t="s">
        <v>1209</v>
      </c>
      <c r="C771" s="66" t="s">
        <v>1209</v>
      </c>
      <c r="D771" s="69" t="s">
        <v>739</v>
      </c>
      <c r="E771" s="80" t="s">
        <v>740</v>
      </c>
      <c r="F771" s="69" t="s">
        <v>222</v>
      </c>
      <c r="G771" s="67" t="s">
        <v>1217</v>
      </c>
      <c r="H771" s="70" t="s">
        <v>176</v>
      </c>
    </row>
    <row r="772" spans="1:8" ht="36">
      <c r="A772" s="65" t="s">
        <v>1206</v>
      </c>
      <c r="B772" s="66" t="s">
        <v>1286</v>
      </c>
      <c r="C772" s="66" t="s">
        <v>1286</v>
      </c>
      <c r="D772" s="69" t="s">
        <v>603</v>
      </c>
      <c r="E772" s="78"/>
      <c r="F772" s="69" t="s">
        <v>1237</v>
      </c>
      <c r="G772" s="67" t="s">
        <v>1291</v>
      </c>
      <c r="H772" s="70" t="s">
        <v>210</v>
      </c>
    </row>
    <row r="773" spans="1:8">
      <c r="A773" s="65" t="s">
        <v>32</v>
      </c>
      <c r="B773" s="66" t="s">
        <v>247</v>
      </c>
      <c r="C773" s="66" t="s">
        <v>247</v>
      </c>
      <c r="D773" s="77" t="s">
        <v>177</v>
      </c>
      <c r="E773" s="76" t="s">
        <v>248</v>
      </c>
      <c r="F773" s="69" t="s">
        <v>174</v>
      </c>
      <c r="G773" s="67" t="s">
        <v>249</v>
      </c>
      <c r="H773" s="70" t="s">
        <v>176</v>
      </c>
    </row>
    <row r="774" spans="1:8" ht="24">
      <c r="A774" s="65" t="s">
        <v>32</v>
      </c>
      <c r="B774" s="66" t="s">
        <v>172</v>
      </c>
      <c r="C774" s="66" t="s">
        <v>173</v>
      </c>
      <c r="D774" s="69" t="s">
        <v>172</v>
      </c>
      <c r="E774" s="76"/>
      <c r="F774" s="69" t="s">
        <v>43</v>
      </c>
      <c r="G774" s="67" t="s">
        <v>201</v>
      </c>
      <c r="H774" s="70" t="s">
        <v>176</v>
      </c>
    </row>
    <row r="775" spans="1:8">
      <c r="A775" s="65" t="s">
        <v>903</v>
      </c>
      <c r="B775" s="66" t="s">
        <v>694</v>
      </c>
      <c r="C775" s="66" t="s">
        <v>694</v>
      </c>
      <c r="D775" s="69" t="s">
        <v>720</v>
      </c>
      <c r="E775" s="78"/>
      <c r="F775" s="69" t="s">
        <v>865</v>
      </c>
      <c r="G775" s="67" t="s">
        <v>907</v>
      </c>
      <c r="H775" s="70" t="s">
        <v>905</v>
      </c>
    </row>
    <row r="776" spans="1:8" ht="36">
      <c r="A776" s="65" t="s">
        <v>972</v>
      </c>
      <c r="B776" s="66" t="s">
        <v>996</v>
      </c>
      <c r="C776" s="66" t="s">
        <v>997</v>
      </c>
      <c r="D776" s="81" t="s">
        <v>468</v>
      </c>
      <c r="E776" s="78"/>
      <c r="F776" s="69" t="s">
        <v>47</v>
      </c>
      <c r="G776" s="69" t="s">
        <v>999</v>
      </c>
      <c r="H776" s="70" t="s">
        <v>176</v>
      </c>
    </row>
    <row r="777" spans="1:8" ht="24">
      <c r="A777" s="65" t="s">
        <v>32</v>
      </c>
      <c r="B777" s="66" t="s">
        <v>172</v>
      </c>
      <c r="C777" s="66" t="s">
        <v>202</v>
      </c>
      <c r="D777" s="69" t="s">
        <v>172</v>
      </c>
      <c r="E777" s="76"/>
      <c r="F777" s="69" t="s">
        <v>44</v>
      </c>
      <c r="G777" s="69" t="s">
        <v>204</v>
      </c>
      <c r="H777" s="70" t="s">
        <v>176</v>
      </c>
    </row>
    <row r="778" spans="1:8" ht="36">
      <c r="A778" s="65" t="s">
        <v>32</v>
      </c>
      <c r="B778" s="66" t="s">
        <v>408</v>
      </c>
      <c r="C778" s="66" t="s">
        <v>413</v>
      </c>
      <c r="D778" s="77" t="s">
        <v>410</v>
      </c>
      <c r="E778" s="76"/>
      <c r="F778" s="69" t="s">
        <v>51</v>
      </c>
      <c r="G778" s="67" t="s">
        <v>419</v>
      </c>
      <c r="H778" s="70" t="s">
        <v>176</v>
      </c>
    </row>
    <row r="779" spans="1:8" ht="36">
      <c r="A779" s="65" t="s">
        <v>931</v>
      </c>
      <c r="B779" s="66" t="s">
        <v>932</v>
      </c>
      <c r="C779" s="66" t="s">
        <v>1176</v>
      </c>
      <c r="D779" s="81" t="s">
        <v>935</v>
      </c>
      <c r="E779" s="107" t="s">
        <v>936</v>
      </c>
      <c r="F779" s="69" t="s">
        <v>1178</v>
      </c>
      <c r="G779" s="67" t="s">
        <v>1187</v>
      </c>
      <c r="H779" s="70" t="s">
        <v>176</v>
      </c>
    </row>
    <row r="780" spans="1:8">
      <c r="A780" s="65" t="s">
        <v>603</v>
      </c>
      <c r="B780" s="66" t="s">
        <v>617</v>
      </c>
      <c r="C780" s="66" t="s">
        <v>618</v>
      </c>
      <c r="D780" s="69" t="s">
        <v>177</v>
      </c>
      <c r="E780" s="78" t="s">
        <v>466</v>
      </c>
      <c r="F780" s="69" t="s">
        <v>51</v>
      </c>
      <c r="G780" s="67" t="s">
        <v>619</v>
      </c>
      <c r="H780" s="70" t="s">
        <v>210</v>
      </c>
    </row>
    <row r="781" spans="1:8" ht="36">
      <c r="A781" s="65" t="s">
        <v>972</v>
      </c>
      <c r="B781" s="66" t="s">
        <v>1041</v>
      </c>
      <c r="C781" s="66" t="s">
        <v>1079</v>
      </c>
      <c r="D781" s="81" t="s">
        <v>468</v>
      </c>
      <c r="E781" s="78"/>
      <c r="F781" s="69" t="s">
        <v>48</v>
      </c>
      <c r="G781" s="69" t="s">
        <v>1082</v>
      </c>
      <c r="H781" s="70" t="s">
        <v>210</v>
      </c>
    </row>
    <row r="782" spans="1:8" ht="36">
      <c r="A782" s="65" t="s">
        <v>1206</v>
      </c>
      <c r="B782" s="66" t="s">
        <v>1328</v>
      </c>
      <c r="C782" s="66" t="s">
        <v>1328</v>
      </c>
      <c r="D782" s="69" t="s">
        <v>177</v>
      </c>
      <c r="E782" s="78" t="s">
        <v>1324</v>
      </c>
      <c r="F782" s="69" t="s">
        <v>40</v>
      </c>
      <c r="G782" s="67" t="s">
        <v>1351</v>
      </c>
      <c r="H782" s="70" t="s">
        <v>176</v>
      </c>
    </row>
    <row r="783" spans="1:8" ht="24">
      <c r="A783" s="65" t="s">
        <v>972</v>
      </c>
      <c r="B783" s="66" t="s">
        <v>1041</v>
      </c>
      <c r="C783" s="69" t="s">
        <v>1042</v>
      </c>
      <c r="D783" s="77" t="s">
        <v>247</v>
      </c>
      <c r="E783" s="78"/>
      <c r="F783" s="69" t="s">
        <v>50</v>
      </c>
      <c r="G783" s="67" t="s">
        <v>1054</v>
      </c>
      <c r="H783" s="70" t="s">
        <v>210</v>
      </c>
    </row>
    <row r="784" spans="1:8" ht="24">
      <c r="A784" s="65" t="s">
        <v>32</v>
      </c>
      <c r="B784" s="66" t="s">
        <v>219</v>
      </c>
      <c r="C784" s="66" t="s">
        <v>219</v>
      </c>
      <c r="D784" s="77" t="s">
        <v>219</v>
      </c>
      <c r="E784" s="76"/>
      <c r="F784" s="69" t="s">
        <v>51</v>
      </c>
      <c r="G784" s="67" t="s">
        <v>226</v>
      </c>
      <c r="H784" s="70" t="s">
        <v>176</v>
      </c>
    </row>
    <row r="785" spans="1:8" ht="24">
      <c r="A785" s="65" t="s">
        <v>603</v>
      </c>
      <c r="B785" s="66" t="s">
        <v>647</v>
      </c>
      <c r="C785" s="66" t="s">
        <v>652</v>
      </c>
      <c r="D785" s="69" t="s">
        <v>603</v>
      </c>
      <c r="E785" s="76"/>
      <c r="F785" s="69" t="s">
        <v>51</v>
      </c>
      <c r="G785" s="67" t="s">
        <v>653</v>
      </c>
      <c r="H785" s="70" t="s">
        <v>210</v>
      </c>
    </row>
    <row r="786" spans="1:8" ht="24">
      <c r="A786" s="65" t="s">
        <v>795</v>
      </c>
      <c r="B786" s="66" t="s">
        <v>795</v>
      </c>
      <c r="C786" s="66" t="s">
        <v>796</v>
      </c>
      <c r="D786" s="69" t="s">
        <v>177</v>
      </c>
      <c r="E786" s="78" t="s">
        <v>466</v>
      </c>
      <c r="F786" s="69" t="s">
        <v>47</v>
      </c>
      <c r="G786" s="67" t="s">
        <v>815</v>
      </c>
      <c r="H786" s="70" t="s">
        <v>210</v>
      </c>
    </row>
    <row r="787" spans="1:8" ht="36">
      <c r="A787" s="65" t="s">
        <v>1206</v>
      </c>
      <c r="B787" s="66" t="s">
        <v>1254</v>
      </c>
      <c r="C787" s="66" t="s">
        <v>1254</v>
      </c>
      <c r="D787" s="69" t="s">
        <v>177</v>
      </c>
      <c r="E787" s="78" t="s">
        <v>248</v>
      </c>
      <c r="F787" s="69" t="s">
        <v>1237</v>
      </c>
      <c r="G787" s="67" t="s">
        <v>1263</v>
      </c>
      <c r="H787" s="70" t="s">
        <v>176</v>
      </c>
    </row>
    <row r="788" spans="1:8" ht="24">
      <c r="A788" s="65" t="s">
        <v>32</v>
      </c>
      <c r="B788" s="66" t="s">
        <v>247</v>
      </c>
      <c r="C788" s="66" t="s">
        <v>323</v>
      </c>
      <c r="D788" s="69" t="s">
        <v>247</v>
      </c>
      <c r="E788" s="76"/>
      <c r="F788" s="69" t="s">
        <v>46</v>
      </c>
      <c r="G788" s="67" t="s">
        <v>344</v>
      </c>
      <c r="H788" s="70" t="s">
        <v>176</v>
      </c>
    </row>
    <row r="789" spans="1:8" ht="36">
      <c r="A789" s="65" t="s">
        <v>931</v>
      </c>
      <c r="B789" s="66" t="s">
        <v>909</v>
      </c>
      <c r="C789" s="66" t="s">
        <v>1122</v>
      </c>
      <c r="D789" s="69" t="s">
        <v>909</v>
      </c>
      <c r="E789" s="78"/>
      <c r="F789" s="69" t="s">
        <v>283</v>
      </c>
      <c r="G789" s="67" t="s">
        <v>1125</v>
      </c>
      <c r="H789" s="70" t="s">
        <v>1123</v>
      </c>
    </row>
    <row r="790" spans="1:8" ht="24">
      <c r="A790" s="65" t="s">
        <v>699</v>
      </c>
      <c r="B790" s="66" t="s">
        <v>720</v>
      </c>
      <c r="C790" s="66" t="s">
        <v>723</v>
      </c>
      <c r="D790" s="69" t="s">
        <v>720</v>
      </c>
      <c r="E790" s="78"/>
      <c r="F790" s="69" t="s">
        <v>50</v>
      </c>
      <c r="G790" s="67" t="s">
        <v>730</v>
      </c>
      <c r="H790" s="70" t="s">
        <v>176</v>
      </c>
    </row>
    <row r="791" spans="1:8" ht="24">
      <c r="A791" s="65" t="s">
        <v>32</v>
      </c>
      <c r="B791" s="66" t="s">
        <v>470</v>
      </c>
      <c r="C791" s="66" t="s">
        <v>525</v>
      </c>
      <c r="D791" s="69" t="s">
        <v>470</v>
      </c>
      <c r="E791" s="78"/>
      <c r="F791" s="69" t="s">
        <v>46</v>
      </c>
      <c r="G791" s="67" t="s">
        <v>530</v>
      </c>
      <c r="H791" s="70" t="s">
        <v>176</v>
      </c>
    </row>
    <row r="792" spans="1:8" ht="36">
      <c r="A792" s="65" t="s">
        <v>1206</v>
      </c>
      <c r="B792" s="66" t="s">
        <v>1244</v>
      </c>
      <c r="C792" s="66" t="s">
        <v>1252</v>
      </c>
      <c r="D792" s="69" t="s">
        <v>739</v>
      </c>
      <c r="E792" s="78" t="s">
        <v>740</v>
      </c>
      <c r="F792" s="69" t="s">
        <v>283</v>
      </c>
      <c r="G792" s="67" t="s">
        <v>1253</v>
      </c>
      <c r="H792" s="70" t="s">
        <v>176</v>
      </c>
    </row>
    <row r="793" spans="1:8" ht="24">
      <c r="A793" s="65" t="s">
        <v>32</v>
      </c>
      <c r="B793" s="66" t="s">
        <v>247</v>
      </c>
      <c r="C793" s="66" t="s">
        <v>323</v>
      </c>
      <c r="D793" s="77" t="s">
        <v>247</v>
      </c>
      <c r="E793" s="76"/>
      <c r="F793" s="69" t="s">
        <v>40</v>
      </c>
      <c r="G793" s="67" t="s">
        <v>362</v>
      </c>
      <c r="H793" s="70" t="s">
        <v>210</v>
      </c>
    </row>
    <row r="794" spans="1:8" ht="36">
      <c r="A794" s="65" t="s">
        <v>1206</v>
      </c>
      <c r="B794" s="66" t="s">
        <v>1209</v>
      </c>
      <c r="C794" s="66" t="s">
        <v>1209</v>
      </c>
      <c r="D794" s="69" t="s">
        <v>739</v>
      </c>
      <c r="E794" s="78" t="s">
        <v>740</v>
      </c>
      <c r="F794" s="69" t="s">
        <v>222</v>
      </c>
      <c r="G794" s="67" t="s">
        <v>1212</v>
      </c>
      <c r="H794" s="70" t="s">
        <v>176</v>
      </c>
    </row>
    <row r="795" spans="1:8" ht="36">
      <c r="A795" s="65" t="s">
        <v>931</v>
      </c>
      <c r="B795" s="66" t="s">
        <v>932</v>
      </c>
      <c r="C795" s="66" t="s">
        <v>1176</v>
      </c>
      <c r="D795" s="81" t="s">
        <v>935</v>
      </c>
      <c r="E795" s="107" t="s">
        <v>936</v>
      </c>
      <c r="F795" s="69" t="s">
        <v>1178</v>
      </c>
      <c r="G795" s="67" t="s">
        <v>1192</v>
      </c>
      <c r="H795" s="70" t="s">
        <v>176</v>
      </c>
    </row>
    <row r="796" spans="1:8">
      <c r="A796" s="65" t="s">
        <v>972</v>
      </c>
      <c r="B796" s="66" t="s">
        <v>1041</v>
      </c>
      <c r="C796" s="66" t="s">
        <v>1041</v>
      </c>
      <c r="D796" s="81" t="s">
        <v>177</v>
      </c>
      <c r="E796" s="78" t="s">
        <v>466</v>
      </c>
      <c r="F796" s="69" t="s">
        <v>45</v>
      </c>
      <c r="G796" s="67" t="s">
        <v>1070</v>
      </c>
      <c r="H796" s="70" t="s">
        <v>176</v>
      </c>
    </row>
    <row r="797" spans="1:8" ht="24">
      <c r="A797" s="65" t="s">
        <v>931</v>
      </c>
      <c r="B797" s="66" t="s">
        <v>909</v>
      </c>
      <c r="C797" s="66" t="s">
        <v>1096</v>
      </c>
      <c r="D797" s="69" t="s">
        <v>909</v>
      </c>
      <c r="E797" s="78"/>
      <c r="F797" s="69" t="s">
        <v>174</v>
      </c>
      <c r="G797" s="67" t="s">
        <v>1097</v>
      </c>
      <c r="H797" s="70" t="s">
        <v>176</v>
      </c>
    </row>
    <row r="798" spans="1:8" ht="24">
      <c r="A798" s="65" t="s">
        <v>32</v>
      </c>
      <c r="B798" s="66" t="s">
        <v>247</v>
      </c>
      <c r="C798" s="66" t="s">
        <v>323</v>
      </c>
      <c r="D798" s="77" t="s">
        <v>247</v>
      </c>
      <c r="E798" s="76"/>
      <c r="F798" s="69" t="s">
        <v>337</v>
      </c>
      <c r="G798" s="67" t="s">
        <v>353</v>
      </c>
      <c r="H798" s="70" t="s">
        <v>176</v>
      </c>
    </row>
    <row r="799" spans="1:8" ht="36">
      <c r="A799" s="65" t="s">
        <v>1206</v>
      </c>
      <c r="B799" s="66" t="s">
        <v>1209</v>
      </c>
      <c r="C799" s="66" t="s">
        <v>1209</v>
      </c>
      <c r="D799" s="69" t="s">
        <v>739</v>
      </c>
      <c r="E799" s="78" t="s">
        <v>740</v>
      </c>
      <c r="F799" s="69" t="s">
        <v>222</v>
      </c>
      <c r="G799" s="67" t="s">
        <v>1216</v>
      </c>
      <c r="H799" s="70" t="s">
        <v>176</v>
      </c>
    </row>
    <row r="800" spans="1:8">
      <c r="A800" s="65" t="s">
        <v>32</v>
      </c>
      <c r="B800" s="66" t="s">
        <v>247</v>
      </c>
      <c r="C800" s="66" t="s">
        <v>383</v>
      </c>
      <c r="D800" s="77" t="s">
        <v>177</v>
      </c>
      <c r="E800" s="76" t="s">
        <v>250</v>
      </c>
      <c r="F800" s="69" t="s">
        <v>181</v>
      </c>
      <c r="G800" s="67" t="s">
        <v>386</v>
      </c>
      <c r="H800" s="70" t="s">
        <v>176</v>
      </c>
    </row>
    <row r="801" spans="1:8" ht="36">
      <c r="A801" s="65" t="s">
        <v>1363</v>
      </c>
      <c r="B801" s="66" t="s">
        <v>1364</v>
      </c>
      <c r="C801" s="66" t="s">
        <v>1384</v>
      </c>
      <c r="D801" s="69" t="s">
        <v>1366</v>
      </c>
      <c r="E801" s="78"/>
      <c r="F801" s="69" t="s">
        <v>1371</v>
      </c>
      <c r="G801" s="67" t="s">
        <v>1387</v>
      </c>
      <c r="H801" s="70" t="s">
        <v>176</v>
      </c>
    </row>
    <row r="802" spans="1:8" ht="24">
      <c r="A802" s="65" t="s">
        <v>32</v>
      </c>
      <c r="B802" s="66" t="s">
        <v>247</v>
      </c>
      <c r="C802" s="66" t="s">
        <v>323</v>
      </c>
      <c r="D802" s="77" t="s">
        <v>247</v>
      </c>
      <c r="E802" s="76"/>
      <c r="F802" s="69" t="s">
        <v>40</v>
      </c>
      <c r="G802" s="67" t="s">
        <v>371</v>
      </c>
      <c r="H802" s="70" t="s">
        <v>365</v>
      </c>
    </row>
    <row r="803" spans="1:8" ht="36">
      <c r="A803" s="65" t="s">
        <v>1363</v>
      </c>
      <c r="B803" s="66" t="s">
        <v>1364</v>
      </c>
      <c r="C803" s="66" t="s">
        <v>1369</v>
      </c>
      <c r="D803" s="66" t="s">
        <v>739</v>
      </c>
      <c r="E803" s="78" t="s">
        <v>740</v>
      </c>
      <c r="F803" s="69" t="s">
        <v>986</v>
      </c>
      <c r="G803" s="67" t="s">
        <v>1370</v>
      </c>
      <c r="H803" s="70" t="s">
        <v>176</v>
      </c>
    </row>
    <row r="804" spans="1:8" ht="36">
      <c r="A804" s="65" t="s">
        <v>1206</v>
      </c>
      <c r="B804" s="66" t="s">
        <v>1254</v>
      </c>
      <c r="C804" s="66" t="s">
        <v>1254</v>
      </c>
      <c r="D804" s="66" t="s">
        <v>470</v>
      </c>
      <c r="E804" s="78"/>
      <c r="F804" s="69" t="s">
        <v>1237</v>
      </c>
      <c r="G804" s="67" t="s">
        <v>1270</v>
      </c>
      <c r="H804" s="70" t="s">
        <v>176</v>
      </c>
    </row>
    <row r="805" spans="1:8" ht="24">
      <c r="A805" s="65" t="s">
        <v>32</v>
      </c>
      <c r="B805" s="66" t="s">
        <v>247</v>
      </c>
      <c r="C805" s="66" t="s">
        <v>323</v>
      </c>
      <c r="D805" s="85" t="s">
        <v>177</v>
      </c>
      <c r="E805" s="76" t="s">
        <v>250</v>
      </c>
      <c r="F805" s="69" t="s">
        <v>337</v>
      </c>
      <c r="G805" s="67" t="s">
        <v>349</v>
      </c>
      <c r="H805" s="70" t="s">
        <v>176</v>
      </c>
    </row>
    <row r="806" spans="1:8" ht="24">
      <c r="A806" s="65" t="s">
        <v>32</v>
      </c>
      <c r="B806" s="66" t="s">
        <v>470</v>
      </c>
      <c r="C806" s="66" t="s">
        <v>473</v>
      </c>
      <c r="D806" s="66" t="s">
        <v>470</v>
      </c>
      <c r="E806" s="78"/>
      <c r="F806" s="69" t="s">
        <v>44</v>
      </c>
      <c r="G806" s="67" t="s">
        <v>493</v>
      </c>
      <c r="H806" s="70" t="s">
        <v>176</v>
      </c>
    </row>
    <row r="807" spans="1:8">
      <c r="A807" s="65" t="s">
        <v>32</v>
      </c>
      <c r="B807" s="66" t="s">
        <v>247</v>
      </c>
      <c r="C807" s="66" t="s">
        <v>268</v>
      </c>
      <c r="D807" s="85" t="s">
        <v>177</v>
      </c>
      <c r="E807" s="76" t="s">
        <v>250</v>
      </c>
      <c r="F807" s="69" t="s">
        <v>285</v>
      </c>
      <c r="G807" s="67" t="s">
        <v>292</v>
      </c>
      <c r="H807" s="70" t="s">
        <v>176</v>
      </c>
    </row>
    <row r="808" spans="1:8" ht="36">
      <c r="A808" s="65" t="s">
        <v>603</v>
      </c>
      <c r="B808" s="66" t="s">
        <v>672</v>
      </c>
      <c r="C808" s="66" t="s">
        <v>675</v>
      </c>
      <c r="D808" s="66" t="s">
        <v>177</v>
      </c>
      <c r="E808" s="78" t="s">
        <v>466</v>
      </c>
      <c r="F808" s="69" t="s">
        <v>51</v>
      </c>
      <c r="G808" s="67" t="s">
        <v>676</v>
      </c>
      <c r="H808" s="70" t="s">
        <v>210</v>
      </c>
    </row>
    <row r="809" spans="1:8" ht="24">
      <c r="A809" s="65" t="s">
        <v>603</v>
      </c>
      <c r="B809" s="66" t="s">
        <v>672</v>
      </c>
      <c r="C809" s="66" t="s">
        <v>687</v>
      </c>
      <c r="D809" s="66" t="s">
        <v>177</v>
      </c>
      <c r="E809" s="78" t="s">
        <v>466</v>
      </c>
      <c r="F809" s="69" t="s">
        <v>48</v>
      </c>
      <c r="G809" s="67" t="s">
        <v>688</v>
      </c>
      <c r="H809" s="70" t="s">
        <v>210</v>
      </c>
    </row>
    <row r="810" spans="1:8">
      <c r="A810" s="65" t="s">
        <v>931</v>
      </c>
      <c r="B810" s="66" t="s">
        <v>932</v>
      </c>
      <c r="C810" s="66" t="s">
        <v>1194</v>
      </c>
      <c r="D810" s="95" t="s">
        <v>219</v>
      </c>
      <c r="E810" s="78"/>
      <c r="F810" s="69" t="s">
        <v>1169</v>
      </c>
      <c r="G810" s="67" t="s">
        <v>1195</v>
      </c>
      <c r="H810" s="70" t="s">
        <v>176</v>
      </c>
    </row>
    <row r="811" spans="1:8" ht="36">
      <c r="A811" s="65" t="s">
        <v>1206</v>
      </c>
      <c r="B811" s="66" t="s">
        <v>1254</v>
      </c>
      <c r="C811" s="66" t="s">
        <v>1254</v>
      </c>
      <c r="D811" s="66" t="s">
        <v>177</v>
      </c>
      <c r="E811" s="78" t="s">
        <v>476</v>
      </c>
      <c r="F811" s="69" t="s">
        <v>1237</v>
      </c>
      <c r="G811" s="67" t="s">
        <v>1260</v>
      </c>
      <c r="H811" s="70" t="s">
        <v>176</v>
      </c>
    </row>
    <row r="812" spans="1:8" ht="24">
      <c r="A812" s="65" t="s">
        <v>32</v>
      </c>
      <c r="B812" s="66" t="s">
        <v>247</v>
      </c>
      <c r="C812" s="66" t="s">
        <v>323</v>
      </c>
      <c r="D812" s="85" t="s">
        <v>247</v>
      </c>
      <c r="E812" s="76"/>
      <c r="F812" s="69" t="s">
        <v>337</v>
      </c>
      <c r="G812" s="67" t="s">
        <v>381</v>
      </c>
      <c r="H812" s="70" t="s">
        <v>365</v>
      </c>
    </row>
    <row r="813" spans="1:8" ht="36">
      <c r="A813" s="65" t="s">
        <v>1206</v>
      </c>
      <c r="B813" s="66" t="s">
        <v>1328</v>
      </c>
      <c r="C813" s="66" t="s">
        <v>1328</v>
      </c>
      <c r="D813" s="66" t="s">
        <v>470</v>
      </c>
      <c r="E813" s="78"/>
      <c r="F813" s="69" t="s">
        <v>1237</v>
      </c>
      <c r="G813" s="67" t="s">
        <v>1346</v>
      </c>
      <c r="H813" s="70" t="s">
        <v>176</v>
      </c>
    </row>
    <row r="814" spans="1:8" ht="24">
      <c r="A814" s="65" t="s">
        <v>32</v>
      </c>
      <c r="B814" s="66" t="s">
        <v>470</v>
      </c>
      <c r="C814" s="66" t="s">
        <v>534</v>
      </c>
      <c r="D814" s="66" t="s">
        <v>470</v>
      </c>
      <c r="E814" s="78"/>
      <c r="F814" s="69" t="s">
        <v>283</v>
      </c>
      <c r="G814" s="67" t="s">
        <v>545</v>
      </c>
      <c r="H814" s="70" t="s">
        <v>176</v>
      </c>
    </row>
    <row r="815" spans="1:8" ht="24">
      <c r="A815" s="65" t="s">
        <v>795</v>
      </c>
      <c r="B815" s="66" t="s">
        <v>795</v>
      </c>
      <c r="C815" s="66" t="s">
        <v>796</v>
      </c>
      <c r="D815" s="66" t="s">
        <v>177</v>
      </c>
      <c r="E815" s="78" t="s">
        <v>466</v>
      </c>
      <c r="F815" s="69" t="s">
        <v>47</v>
      </c>
      <c r="G815" s="67" t="s">
        <v>812</v>
      </c>
      <c r="H815" s="70" t="s">
        <v>210</v>
      </c>
    </row>
    <row r="816" spans="1:8" ht="24">
      <c r="A816" s="65" t="s">
        <v>839</v>
      </c>
      <c r="B816" s="66" t="s">
        <v>871</v>
      </c>
      <c r="C816" s="66" t="s">
        <v>871</v>
      </c>
      <c r="D816" s="66" t="s">
        <v>822</v>
      </c>
      <c r="E816" s="78"/>
      <c r="F816" s="69" t="s">
        <v>47</v>
      </c>
      <c r="G816" s="67" t="s">
        <v>874</v>
      </c>
      <c r="H816" s="70" t="s">
        <v>843</v>
      </c>
    </row>
    <row r="817" spans="1:8" ht="24">
      <c r="A817" s="65" t="s">
        <v>32</v>
      </c>
      <c r="B817" s="66" t="s">
        <v>247</v>
      </c>
      <c r="C817" s="66" t="s">
        <v>383</v>
      </c>
      <c r="D817" s="85" t="s">
        <v>247</v>
      </c>
      <c r="E817" s="76"/>
      <c r="F817" s="69" t="s">
        <v>44</v>
      </c>
      <c r="G817" s="67" t="s">
        <v>404</v>
      </c>
      <c r="H817" s="70" t="s">
        <v>176</v>
      </c>
    </row>
    <row r="818" spans="1:8" ht="24">
      <c r="A818" s="65" t="s">
        <v>603</v>
      </c>
      <c r="B818" s="66" t="s">
        <v>672</v>
      </c>
      <c r="C818" s="66" t="s">
        <v>682</v>
      </c>
      <c r="D818" s="66" t="s">
        <v>603</v>
      </c>
      <c r="E818" s="78"/>
      <c r="F818" s="69" t="s">
        <v>48</v>
      </c>
      <c r="G818" s="67" t="s">
        <v>683</v>
      </c>
      <c r="H818" s="70" t="s">
        <v>210</v>
      </c>
    </row>
    <row r="819" spans="1:8" ht="24">
      <c r="A819" s="65" t="s">
        <v>603</v>
      </c>
      <c r="B819" s="66" t="s">
        <v>610</v>
      </c>
      <c r="C819" s="66" t="s">
        <v>613</v>
      </c>
      <c r="D819" s="95" t="s">
        <v>603</v>
      </c>
      <c r="E819" s="76"/>
      <c r="F819" s="69" t="s">
        <v>48</v>
      </c>
      <c r="G819" s="67" t="s">
        <v>614</v>
      </c>
      <c r="H819" s="70" t="s">
        <v>176</v>
      </c>
    </row>
    <row r="820" spans="1:8" ht="24">
      <c r="A820" s="65" t="s">
        <v>32</v>
      </c>
      <c r="B820" s="66" t="s">
        <v>470</v>
      </c>
      <c r="C820" s="66" t="s">
        <v>588</v>
      </c>
      <c r="D820" s="66" t="s">
        <v>177</v>
      </c>
      <c r="E820" s="78" t="s">
        <v>566</v>
      </c>
      <c r="F820" s="69" t="s">
        <v>46</v>
      </c>
      <c r="G820" s="67" t="s">
        <v>601</v>
      </c>
      <c r="H820" s="70" t="s">
        <v>176</v>
      </c>
    </row>
    <row r="821" spans="1:8">
      <c r="A821" s="65" t="s">
        <v>32</v>
      </c>
      <c r="B821" s="66" t="s">
        <v>247</v>
      </c>
      <c r="C821" s="66" t="s">
        <v>268</v>
      </c>
      <c r="D821" s="85" t="s">
        <v>177</v>
      </c>
      <c r="E821" s="76" t="s">
        <v>248</v>
      </c>
      <c r="F821" s="69" t="s">
        <v>44</v>
      </c>
      <c r="G821" s="67" t="s">
        <v>294</v>
      </c>
      <c r="H821" s="70" t="s">
        <v>176</v>
      </c>
    </row>
    <row r="822" spans="1:8" ht="36">
      <c r="A822" s="65" t="s">
        <v>1206</v>
      </c>
      <c r="B822" s="66" t="s">
        <v>1303</v>
      </c>
      <c r="C822" s="66" t="s">
        <v>1303</v>
      </c>
      <c r="D822" s="66" t="s">
        <v>177</v>
      </c>
      <c r="E822" s="78" t="s">
        <v>1116</v>
      </c>
      <c r="F822" s="69" t="s">
        <v>514</v>
      </c>
      <c r="G822" s="67" t="s">
        <v>1308</v>
      </c>
      <c r="H822" s="70" t="s">
        <v>176</v>
      </c>
    </row>
    <row r="823" spans="1:8">
      <c r="A823" s="65" t="s">
        <v>603</v>
      </c>
      <c r="B823" s="66" t="s">
        <v>672</v>
      </c>
      <c r="C823" s="66" t="s">
        <v>679</v>
      </c>
      <c r="D823" s="66" t="s">
        <v>603</v>
      </c>
      <c r="E823" s="78"/>
      <c r="F823" s="69" t="s">
        <v>47</v>
      </c>
      <c r="G823" s="67" t="s">
        <v>681</v>
      </c>
      <c r="H823" s="70" t="s">
        <v>210</v>
      </c>
    </row>
    <row r="824" spans="1:8" ht="24">
      <c r="A824" s="65" t="s">
        <v>32</v>
      </c>
      <c r="B824" s="66" t="s">
        <v>247</v>
      </c>
      <c r="C824" s="66" t="s">
        <v>323</v>
      </c>
      <c r="D824" s="85" t="s">
        <v>247</v>
      </c>
      <c r="E824" s="76"/>
      <c r="F824" s="69" t="s">
        <v>40</v>
      </c>
      <c r="G824" s="67" t="s">
        <v>370</v>
      </c>
      <c r="H824" s="70" t="s">
        <v>365</v>
      </c>
    </row>
    <row r="825" spans="1:8">
      <c r="A825" s="65" t="s">
        <v>908</v>
      </c>
      <c r="B825" s="66" t="s">
        <v>964</v>
      </c>
      <c r="C825" s="66" t="s">
        <v>964</v>
      </c>
      <c r="D825" s="66" t="s">
        <v>603</v>
      </c>
      <c r="E825" s="78"/>
      <c r="F825" s="69" t="s">
        <v>47</v>
      </c>
      <c r="G825" s="67" t="s">
        <v>967</v>
      </c>
      <c r="H825" s="70" t="s">
        <v>910</v>
      </c>
    </row>
    <row r="826" spans="1:8" ht="24">
      <c r="A826" s="65" t="s">
        <v>839</v>
      </c>
      <c r="B826" s="66" t="s">
        <v>871</v>
      </c>
      <c r="C826" s="66" t="s">
        <v>871</v>
      </c>
      <c r="D826" s="66" t="s">
        <v>603</v>
      </c>
      <c r="E826" s="78"/>
      <c r="F826" s="69" t="s">
        <v>695</v>
      </c>
      <c r="G826" s="67" t="s">
        <v>881</v>
      </c>
      <c r="H826" s="70" t="s">
        <v>843</v>
      </c>
    </row>
    <row r="827" spans="1:8" ht="24">
      <c r="A827" s="65" t="s">
        <v>32</v>
      </c>
      <c r="B827" s="66" t="s">
        <v>470</v>
      </c>
      <c r="C827" s="66" t="s">
        <v>473</v>
      </c>
      <c r="D827" s="66" t="s">
        <v>177</v>
      </c>
      <c r="E827" s="78" t="s">
        <v>485</v>
      </c>
      <c r="F827" s="69" t="s">
        <v>44</v>
      </c>
      <c r="G827" s="67" t="s">
        <v>486</v>
      </c>
      <c r="H827" s="70" t="s">
        <v>176</v>
      </c>
    </row>
    <row r="828" spans="1:8" ht="36">
      <c r="A828" s="65" t="s">
        <v>1363</v>
      </c>
      <c r="B828" s="66" t="s">
        <v>1364</v>
      </c>
      <c r="C828" s="66" t="s">
        <v>1384</v>
      </c>
      <c r="D828" s="66" t="s">
        <v>1366</v>
      </c>
      <c r="E828" s="78"/>
      <c r="F828" s="69" t="s">
        <v>48</v>
      </c>
      <c r="G828" s="67" t="s">
        <v>1391</v>
      </c>
      <c r="H828" s="70" t="s">
        <v>176</v>
      </c>
    </row>
    <row r="829" spans="1:8" ht="36">
      <c r="A829" s="65" t="s">
        <v>839</v>
      </c>
      <c r="B829" s="66" t="s">
        <v>840</v>
      </c>
      <c r="C829" s="66" t="s">
        <v>840</v>
      </c>
      <c r="D829" s="66" t="s">
        <v>603</v>
      </c>
      <c r="E829" s="78"/>
      <c r="F829" s="69" t="s">
        <v>848</v>
      </c>
      <c r="G829" s="67" t="s">
        <v>849</v>
      </c>
      <c r="H829" s="70" t="s">
        <v>843</v>
      </c>
    </row>
    <row r="830" spans="1:8" ht="36">
      <c r="A830" s="65" t="s">
        <v>1206</v>
      </c>
      <c r="B830" s="66" t="s">
        <v>1328</v>
      </c>
      <c r="C830" s="66" t="s">
        <v>1328</v>
      </c>
      <c r="D830" s="66" t="s">
        <v>177</v>
      </c>
      <c r="E830" s="78" t="s">
        <v>466</v>
      </c>
      <c r="F830" s="69" t="s">
        <v>198</v>
      </c>
      <c r="G830" s="67" t="s">
        <v>1341</v>
      </c>
      <c r="H830" s="70" t="s">
        <v>176</v>
      </c>
    </row>
    <row r="831" spans="1:8" ht="24">
      <c r="A831" s="65" t="s">
        <v>699</v>
      </c>
      <c r="B831" s="66" t="s">
        <v>720</v>
      </c>
      <c r="C831" s="66" t="s">
        <v>756</v>
      </c>
      <c r="D831" s="66" t="s">
        <v>739</v>
      </c>
      <c r="E831" s="78" t="s">
        <v>740</v>
      </c>
      <c r="F831" s="69" t="s">
        <v>48</v>
      </c>
      <c r="G831" s="67" t="s">
        <v>764</v>
      </c>
      <c r="H831" s="70" t="s">
        <v>176</v>
      </c>
    </row>
    <row r="832" spans="1:8" ht="36">
      <c r="A832" s="65" t="s">
        <v>931</v>
      </c>
      <c r="B832" s="66" t="s">
        <v>932</v>
      </c>
      <c r="C832" s="66" t="s">
        <v>1160</v>
      </c>
      <c r="D832" s="95" t="s">
        <v>935</v>
      </c>
      <c r="E832" s="107" t="s">
        <v>936</v>
      </c>
      <c r="F832" s="69" t="s">
        <v>283</v>
      </c>
      <c r="G832" s="67" t="s">
        <v>1163</v>
      </c>
      <c r="H832" s="70" t="s">
        <v>176</v>
      </c>
    </row>
    <row r="833" spans="1:8" ht="36">
      <c r="A833" s="65" t="s">
        <v>699</v>
      </c>
      <c r="B833" s="66" t="s">
        <v>703</v>
      </c>
      <c r="C833" s="66" t="s">
        <v>778</v>
      </c>
      <c r="D833" s="95" t="s">
        <v>703</v>
      </c>
      <c r="E833" s="78"/>
      <c r="F833" s="69" t="s">
        <v>51</v>
      </c>
      <c r="G833" s="67" t="s">
        <v>779</v>
      </c>
      <c r="H833" s="70" t="s">
        <v>176</v>
      </c>
    </row>
    <row r="834" spans="1:8" ht="24">
      <c r="A834" s="65" t="s">
        <v>32</v>
      </c>
      <c r="B834" s="66" t="s">
        <v>470</v>
      </c>
      <c r="C834" s="66" t="s">
        <v>557</v>
      </c>
      <c r="D834" s="66" t="s">
        <v>470</v>
      </c>
      <c r="E834" s="78"/>
      <c r="F834" s="69" t="s">
        <v>47</v>
      </c>
      <c r="G834" s="67" t="s">
        <v>560</v>
      </c>
      <c r="H834" s="70" t="s">
        <v>210</v>
      </c>
    </row>
    <row r="835" spans="1:8" ht="36">
      <c r="A835" s="65" t="s">
        <v>32</v>
      </c>
      <c r="B835" s="66" t="s">
        <v>408</v>
      </c>
      <c r="C835" s="66" t="s">
        <v>432</v>
      </c>
      <c r="D835" s="66" t="s">
        <v>410</v>
      </c>
      <c r="E835" s="78"/>
      <c r="F835" s="69" t="s">
        <v>43</v>
      </c>
      <c r="G835" s="67" t="s">
        <v>439</v>
      </c>
      <c r="H835" s="70" t="s">
        <v>176</v>
      </c>
    </row>
    <row r="836" spans="1:8" ht="24">
      <c r="A836" s="65" t="s">
        <v>32</v>
      </c>
      <c r="B836" s="66" t="s">
        <v>470</v>
      </c>
      <c r="C836" s="66" t="s">
        <v>534</v>
      </c>
      <c r="D836" s="66" t="s">
        <v>470</v>
      </c>
      <c r="E836" s="78"/>
      <c r="F836" s="69" t="s">
        <v>48</v>
      </c>
      <c r="G836" s="67" t="s">
        <v>550</v>
      </c>
      <c r="H836" s="70" t="s">
        <v>176</v>
      </c>
    </row>
    <row r="837" spans="1:8" ht="36">
      <c r="A837" s="65" t="s">
        <v>1413</v>
      </c>
      <c r="B837" s="66" t="s">
        <v>1413</v>
      </c>
      <c r="C837" s="66" t="s">
        <v>1427</v>
      </c>
      <c r="D837" s="95" t="s">
        <v>177</v>
      </c>
      <c r="E837" s="107" t="s">
        <v>1108</v>
      </c>
      <c r="F837" s="69" t="s">
        <v>233</v>
      </c>
      <c r="G837" s="67" t="s">
        <v>1435</v>
      </c>
      <c r="H837" s="70" t="s">
        <v>243</v>
      </c>
    </row>
    <row r="838" spans="1:8" ht="48">
      <c r="A838" s="65" t="s">
        <v>931</v>
      </c>
      <c r="B838" s="66" t="s">
        <v>923</v>
      </c>
      <c r="C838" s="66" t="s">
        <v>1152</v>
      </c>
      <c r="D838" s="66" t="s">
        <v>62</v>
      </c>
      <c r="E838" s="78"/>
      <c r="F838" s="69" t="s">
        <v>174</v>
      </c>
      <c r="G838" s="67" t="s">
        <v>1153</v>
      </c>
      <c r="H838" s="70" t="s">
        <v>176</v>
      </c>
    </row>
    <row r="839" spans="1:8" ht="24">
      <c r="A839" s="65" t="s">
        <v>795</v>
      </c>
      <c r="B839" s="66" t="s">
        <v>795</v>
      </c>
      <c r="C839" s="66" t="s">
        <v>796</v>
      </c>
      <c r="D839" s="66" t="s">
        <v>177</v>
      </c>
      <c r="E839" s="78" t="s">
        <v>466</v>
      </c>
      <c r="F839" s="69" t="s">
        <v>47</v>
      </c>
      <c r="G839" s="67" t="s">
        <v>810</v>
      </c>
      <c r="H839" s="70" t="s">
        <v>210</v>
      </c>
    </row>
    <row r="840" spans="1:8">
      <c r="A840" s="65" t="s">
        <v>603</v>
      </c>
      <c r="B840" s="66" t="s">
        <v>647</v>
      </c>
      <c r="C840" s="66" t="s">
        <v>666</v>
      </c>
      <c r="D840" s="66" t="s">
        <v>603</v>
      </c>
      <c r="E840" s="78"/>
      <c r="F840" s="69" t="s">
        <v>48</v>
      </c>
      <c r="G840" s="67" t="s">
        <v>668</v>
      </c>
      <c r="H840" s="70" t="s">
        <v>210</v>
      </c>
    </row>
    <row r="841" spans="1:8" ht="24">
      <c r="A841" s="65" t="s">
        <v>32</v>
      </c>
      <c r="B841" s="66" t="s">
        <v>247</v>
      </c>
      <c r="C841" s="66" t="s">
        <v>310</v>
      </c>
      <c r="D841" s="85" t="s">
        <v>177</v>
      </c>
      <c r="E841" s="76" t="s">
        <v>250</v>
      </c>
      <c r="F841" s="69" t="s">
        <v>44</v>
      </c>
      <c r="G841" s="67" t="s">
        <v>312</v>
      </c>
      <c r="H841" s="70" t="s">
        <v>176</v>
      </c>
    </row>
    <row r="842" spans="1:8">
      <c r="A842" s="65" t="s">
        <v>32</v>
      </c>
      <c r="B842" s="66" t="s">
        <v>247</v>
      </c>
      <c r="C842" s="66" t="s">
        <v>310</v>
      </c>
      <c r="D842" s="77" t="s">
        <v>177</v>
      </c>
      <c r="E842" s="68" t="s">
        <v>250</v>
      </c>
      <c r="F842" s="69" t="s">
        <v>51</v>
      </c>
      <c r="G842" s="67" t="s">
        <v>311</v>
      </c>
      <c r="H842" s="70" t="s">
        <v>176</v>
      </c>
    </row>
    <row r="843" spans="1:8">
      <c r="A843" s="65" t="s">
        <v>32</v>
      </c>
      <c r="B843" s="66" t="s">
        <v>219</v>
      </c>
      <c r="C843" s="66" t="s">
        <v>219</v>
      </c>
      <c r="D843" s="69" t="s">
        <v>219</v>
      </c>
      <c r="E843" s="68"/>
      <c r="F843" s="69" t="s">
        <v>46</v>
      </c>
      <c r="G843" s="67" t="s">
        <v>237</v>
      </c>
      <c r="H843" s="70" t="s">
        <v>210</v>
      </c>
    </row>
    <row r="844" spans="1:8" ht="24">
      <c r="A844" s="65" t="s">
        <v>795</v>
      </c>
      <c r="B844" s="66" t="s">
        <v>795</v>
      </c>
      <c r="C844" s="66" t="s">
        <v>796</v>
      </c>
      <c r="D844" s="81" t="s">
        <v>177</v>
      </c>
      <c r="E844" s="78" t="s">
        <v>466</v>
      </c>
      <c r="F844" s="69" t="s">
        <v>538</v>
      </c>
      <c r="G844" s="67" t="s">
        <v>800</v>
      </c>
      <c r="H844" s="70" t="s">
        <v>210</v>
      </c>
    </row>
    <row r="845" spans="1:8" ht="36">
      <c r="A845" s="65" t="s">
        <v>1206</v>
      </c>
      <c r="B845" s="66" t="s">
        <v>1254</v>
      </c>
      <c r="C845" s="66" t="s">
        <v>1254</v>
      </c>
      <c r="D845" s="67" t="s">
        <v>177</v>
      </c>
      <c r="E845" s="78" t="s">
        <v>248</v>
      </c>
      <c r="F845" s="69" t="s">
        <v>1281</v>
      </c>
      <c r="G845" s="67" t="s">
        <v>1282</v>
      </c>
      <c r="H845" s="70" t="s">
        <v>176</v>
      </c>
    </row>
    <row r="846" spans="1:8" ht="24">
      <c r="A846" s="65" t="s">
        <v>32</v>
      </c>
      <c r="B846" s="66" t="s">
        <v>470</v>
      </c>
      <c r="C846" s="66" t="s">
        <v>519</v>
      </c>
      <c r="D846" s="67" t="s">
        <v>470</v>
      </c>
      <c r="E846" s="78"/>
      <c r="F846" s="69" t="s">
        <v>518</v>
      </c>
      <c r="G846" s="67" t="s">
        <v>522</v>
      </c>
      <c r="H846" s="70" t="s">
        <v>176</v>
      </c>
    </row>
    <row r="847" spans="1:8" ht="36">
      <c r="A847" s="65" t="s">
        <v>1206</v>
      </c>
      <c r="B847" s="66" t="s">
        <v>1328</v>
      </c>
      <c r="C847" s="66" t="s">
        <v>1328</v>
      </c>
      <c r="D847" s="69" t="s">
        <v>177</v>
      </c>
      <c r="E847" s="78" t="s">
        <v>466</v>
      </c>
      <c r="F847" s="69" t="s">
        <v>181</v>
      </c>
      <c r="G847" s="67" t="s">
        <v>1361</v>
      </c>
      <c r="H847" s="70" t="s">
        <v>176</v>
      </c>
    </row>
    <row r="848" spans="1:8" ht="36">
      <c r="A848" s="65" t="s">
        <v>1206</v>
      </c>
      <c r="B848" s="66" t="s">
        <v>1254</v>
      </c>
      <c r="C848" s="66" t="s">
        <v>1254</v>
      </c>
      <c r="D848" s="69" t="s">
        <v>177</v>
      </c>
      <c r="E848" s="78" t="s">
        <v>248</v>
      </c>
      <c r="F848" s="69" t="s">
        <v>1250</v>
      </c>
      <c r="G848" s="67" t="s">
        <v>1280</v>
      </c>
      <c r="H848" s="70" t="s">
        <v>176</v>
      </c>
    </row>
    <row r="849" spans="1:8" ht="24">
      <c r="A849" s="65" t="s">
        <v>972</v>
      </c>
      <c r="B849" s="66" t="s">
        <v>1041</v>
      </c>
      <c r="C849" s="66" t="s">
        <v>1064</v>
      </c>
      <c r="D849" s="90" t="s">
        <v>468</v>
      </c>
      <c r="E849" s="78"/>
      <c r="F849" s="69" t="s">
        <v>51</v>
      </c>
      <c r="G849" s="67" t="s">
        <v>1065</v>
      </c>
      <c r="H849" s="70" t="s">
        <v>176</v>
      </c>
    </row>
    <row r="850" spans="1:8" ht="36">
      <c r="A850" s="65" t="s">
        <v>1206</v>
      </c>
      <c r="B850" s="66" t="s">
        <v>1209</v>
      </c>
      <c r="C850" s="66" t="s">
        <v>1209</v>
      </c>
      <c r="D850" s="67" t="s">
        <v>739</v>
      </c>
      <c r="E850" s="83" t="s">
        <v>740</v>
      </c>
      <c r="F850" s="69" t="s">
        <v>222</v>
      </c>
      <c r="G850" s="67" t="s">
        <v>1213</v>
      </c>
      <c r="H850" s="70" t="s">
        <v>176</v>
      </c>
    </row>
    <row r="851" spans="1:8">
      <c r="A851" s="65" t="s">
        <v>603</v>
      </c>
      <c r="B851" s="66" t="s">
        <v>634</v>
      </c>
      <c r="C851" s="66" t="s">
        <v>635</v>
      </c>
      <c r="D851" s="67" t="s">
        <v>177</v>
      </c>
      <c r="E851" s="83" t="s">
        <v>466</v>
      </c>
      <c r="F851" s="69" t="s">
        <v>48</v>
      </c>
      <c r="G851" s="67" t="s">
        <v>637</v>
      </c>
      <c r="H851" s="70" t="s">
        <v>210</v>
      </c>
    </row>
    <row r="852" spans="1:8" ht="36">
      <c r="A852" s="65" t="s">
        <v>1206</v>
      </c>
      <c r="B852" s="66" t="s">
        <v>1328</v>
      </c>
      <c r="C852" s="66" t="s">
        <v>1328</v>
      </c>
      <c r="D852" s="69" t="s">
        <v>177</v>
      </c>
      <c r="E852" s="80" t="s">
        <v>248</v>
      </c>
      <c r="F852" s="69" t="s">
        <v>43</v>
      </c>
      <c r="G852" s="67" t="s">
        <v>1339</v>
      </c>
      <c r="H852" s="70" t="s">
        <v>176</v>
      </c>
    </row>
    <row r="853" spans="1:8" ht="24">
      <c r="A853" s="65" t="s">
        <v>32</v>
      </c>
      <c r="B853" s="66" t="s">
        <v>247</v>
      </c>
      <c r="C853" s="66" t="s">
        <v>383</v>
      </c>
      <c r="D853" s="79" t="s">
        <v>247</v>
      </c>
      <c r="E853" s="76"/>
      <c r="F853" s="69" t="s">
        <v>183</v>
      </c>
      <c r="G853" s="67" t="s">
        <v>400</v>
      </c>
      <c r="H853" s="70" t="s">
        <v>176</v>
      </c>
    </row>
    <row r="854" spans="1:8" ht="24">
      <c r="A854" s="65" t="s">
        <v>32</v>
      </c>
      <c r="B854" s="66" t="s">
        <v>247</v>
      </c>
      <c r="C854" s="66" t="s">
        <v>323</v>
      </c>
      <c r="D854" s="77" t="s">
        <v>247</v>
      </c>
      <c r="E854" s="76"/>
      <c r="F854" s="69" t="s">
        <v>337</v>
      </c>
      <c r="G854" s="67" t="s">
        <v>338</v>
      </c>
      <c r="H854" s="70" t="s">
        <v>176</v>
      </c>
    </row>
    <row r="855" spans="1:8" ht="36">
      <c r="A855" s="65" t="s">
        <v>795</v>
      </c>
      <c r="B855" s="66" t="s">
        <v>795</v>
      </c>
      <c r="C855" s="66" t="s">
        <v>796</v>
      </c>
      <c r="D855" s="90" t="s">
        <v>177</v>
      </c>
      <c r="E855" s="78" t="s">
        <v>466</v>
      </c>
      <c r="F855" s="69" t="s">
        <v>797</v>
      </c>
      <c r="G855" s="67" t="s">
        <v>798</v>
      </c>
      <c r="H855" s="70" t="s">
        <v>210</v>
      </c>
    </row>
    <row r="856" spans="1:8" ht="24">
      <c r="A856" s="65" t="s">
        <v>32</v>
      </c>
      <c r="B856" s="66" t="s">
        <v>247</v>
      </c>
      <c r="C856" s="66" t="s">
        <v>268</v>
      </c>
      <c r="D856" s="77" t="s">
        <v>247</v>
      </c>
      <c r="E856" s="73"/>
      <c r="F856" s="69" t="s">
        <v>45</v>
      </c>
      <c r="G856" s="67" t="s">
        <v>270</v>
      </c>
      <c r="H856" s="70" t="s">
        <v>176</v>
      </c>
    </row>
    <row r="857" spans="1:8">
      <c r="A857" s="65" t="s">
        <v>908</v>
      </c>
      <c r="B857" s="66" t="s">
        <v>964</v>
      </c>
      <c r="C857" s="66" t="s">
        <v>964</v>
      </c>
      <c r="D857" s="69" t="s">
        <v>603</v>
      </c>
      <c r="E857" s="83"/>
      <c r="F857" s="69" t="s">
        <v>50</v>
      </c>
      <c r="G857" s="67" t="s">
        <v>971</v>
      </c>
      <c r="H857" s="70" t="s">
        <v>910</v>
      </c>
    </row>
    <row r="858" spans="1:8" ht="24">
      <c r="A858" s="65" t="s">
        <v>32</v>
      </c>
      <c r="B858" s="66" t="s">
        <v>247</v>
      </c>
      <c r="C858" s="66" t="s">
        <v>268</v>
      </c>
      <c r="D858" s="79" t="s">
        <v>247</v>
      </c>
      <c r="E858" s="68"/>
      <c r="F858" s="69" t="s">
        <v>43</v>
      </c>
      <c r="G858" s="67" t="s">
        <v>272</v>
      </c>
      <c r="H858" s="70" t="s">
        <v>176</v>
      </c>
    </row>
    <row r="859" spans="1:8" ht="24">
      <c r="A859" s="65" t="s">
        <v>32</v>
      </c>
      <c r="B859" s="66" t="s">
        <v>247</v>
      </c>
      <c r="C859" s="66" t="s">
        <v>300</v>
      </c>
      <c r="D859" s="79" t="s">
        <v>247</v>
      </c>
      <c r="E859" s="68"/>
      <c r="F859" s="69" t="s">
        <v>183</v>
      </c>
      <c r="G859" s="67" t="s">
        <v>304</v>
      </c>
      <c r="H859" s="70" t="s">
        <v>176</v>
      </c>
    </row>
    <row r="860" spans="1:8" ht="36">
      <c r="A860" s="65" t="s">
        <v>1206</v>
      </c>
      <c r="B860" s="66" t="s">
        <v>1254</v>
      </c>
      <c r="C860" s="66" t="s">
        <v>1254</v>
      </c>
      <c r="D860" s="67" t="s">
        <v>177</v>
      </c>
      <c r="E860" s="80" t="s">
        <v>478</v>
      </c>
      <c r="F860" s="69" t="s">
        <v>1237</v>
      </c>
      <c r="G860" s="67" t="s">
        <v>1276</v>
      </c>
      <c r="H860" s="70" t="s">
        <v>176</v>
      </c>
    </row>
    <row r="861" spans="1:8" ht="36">
      <c r="A861" s="65" t="s">
        <v>972</v>
      </c>
      <c r="B861" s="66" t="s">
        <v>1041</v>
      </c>
      <c r="C861" s="66" t="s">
        <v>1079</v>
      </c>
      <c r="D861" s="90" t="s">
        <v>468</v>
      </c>
      <c r="E861" s="80"/>
      <c r="F861" s="69" t="s">
        <v>48</v>
      </c>
      <c r="G861" s="67" t="s">
        <v>1084</v>
      </c>
      <c r="H861" s="70" t="s">
        <v>210</v>
      </c>
    </row>
    <row r="862" spans="1:8" ht="24">
      <c r="A862" s="65" t="s">
        <v>32</v>
      </c>
      <c r="B862" s="66" t="s">
        <v>172</v>
      </c>
      <c r="C862" s="66" t="s">
        <v>173</v>
      </c>
      <c r="D862" s="67" t="s">
        <v>177</v>
      </c>
      <c r="E862" s="68" t="s">
        <v>178</v>
      </c>
      <c r="F862" s="69" t="s">
        <v>183</v>
      </c>
      <c r="G862" s="67" t="s">
        <v>192</v>
      </c>
      <c r="H862" s="70" t="s">
        <v>176</v>
      </c>
    </row>
    <row r="863" spans="1:8" ht="36">
      <c r="A863" s="65" t="s">
        <v>931</v>
      </c>
      <c r="B863" s="66" t="s">
        <v>932</v>
      </c>
      <c r="C863" s="66" t="s">
        <v>1200</v>
      </c>
      <c r="D863" s="67" t="s">
        <v>1201</v>
      </c>
      <c r="E863" s="82"/>
      <c r="F863" s="69" t="s">
        <v>1169</v>
      </c>
      <c r="G863" s="67" t="s">
        <v>1202</v>
      </c>
      <c r="H863" s="70" t="s">
        <v>176</v>
      </c>
    </row>
    <row r="864" spans="1:8">
      <c r="A864" s="65" t="s">
        <v>32</v>
      </c>
      <c r="B864" s="66" t="s">
        <v>247</v>
      </c>
      <c r="C864" s="66" t="s">
        <v>268</v>
      </c>
      <c r="D864" s="79" t="s">
        <v>177</v>
      </c>
      <c r="E864" s="68" t="s">
        <v>248</v>
      </c>
      <c r="F864" s="69" t="s">
        <v>43</v>
      </c>
      <c r="G864" s="67" t="s">
        <v>282</v>
      </c>
      <c r="H864" s="70" t="s">
        <v>176</v>
      </c>
    </row>
    <row r="865" spans="1:8" ht="24">
      <c r="A865" s="65" t="s">
        <v>972</v>
      </c>
      <c r="B865" s="66" t="s">
        <v>1041</v>
      </c>
      <c r="C865" s="66" t="s">
        <v>1042</v>
      </c>
      <c r="D865" s="79" t="s">
        <v>247</v>
      </c>
      <c r="E865" s="80"/>
      <c r="F865" s="69" t="s">
        <v>50</v>
      </c>
      <c r="G865" s="67" t="s">
        <v>1053</v>
      </c>
      <c r="H865" s="70" t="s">
        <v>210</v>
      </c>
    </row>
    <row r="866" spans="1:8" ht="24">
      <c r="A866" s="65" t="s">
        <v>32</v>
      </c>
      <c r="B866" s="66" t="s">
        <v>247</v>
      </c>
      <c r="C866" s="66" t="s">
        <v>323</v>
      </c>
      <c r="D866" s="79" t="s">
        <v>177</v>
      </c>
      <c r="E866" s="68" t="s">
        <v>250</v>
      </c>
      <c r="F866" s="69" t="s">
        <v>337</v>
      </c>
      <c r="G866" s="67" t="s">
        <v>354</v>
      </c>
      <c r="H866" s="70" t="s">
        <v>176</v>
      </c>
    </row>
    <row r="867" spans="1:8" ht="24">
      <c r="A867" s="65" t="s">
        <v>32</v>
      </c>
      <c r="B867" s="66" t="s">
        <v>247</v>
      </c>
      <c r="C867" s="66" t="s">
        <v>323</v>
      </c>
      <c r="D867" s="79" t="s">
        <v>247</v>
      </c>
      <c r="E867" s="68"/>
      <c r="F867" s="69" t="s">
        <v>43</v>
      </c>
      <c r="G867" s="67" t="s">
        <v>369</v>
      </c>
      <c r="H867" s="70" t="s">
        <v>365</v>
      </c>
    </row>
    <row r="868" spans="1:8" ht="36">
      <c r="A868" s="65" t="s">
        <v>1206</v>
      </c>
      <c r="B868" s="66" t="s">
        <v>1303</v>
      </c>
      <c r="C868" s="66" t="s">
        <v>1303</v>
      </c>
      <c r="D868" s="67" t="s">
        <v>177</v>
      </c>
      <c r="E868" s="80" t="s">
        <v>1106</v>
      </c>
      <c r="F868" s="69" t="s">
        <v>514</v>
      </c>
      <c r="G868" s="67" t="s">
        <v>1323</v>
      </c>
      <c r="H868" s="70" t="s">
        <v>176</v>
      </c>
    </row>
    <row r="869" spans="1:8" ht="24">
      <c r="A869" s="65" t="s">
        <v>32</v>
      </c>
      <c r="B869" s="66" t="s">
        <v>470</v>
      </c>
      <c r="C869" s="66" t="s">
        <v>534</v>
      </c>
      <c r="D869" s="67" t="s">
        <v>470</v>
      </c>
      <c r="E869" s="80"/>
      <c r="F869" s="69" t="s">
        <v>283</v>
      </c>
      <c r="G869" s="67" t="s">
        <v>544</v>
      </c>
      <c r="H869" s="70" t="s">
        <v>176</v>
      </c>
    </row>
    <row r="870" spans="1:8" ht="24">
      <c r="A870" s="65" t="s">
        <v>32</v>
      </c>
      <c r="B870" s="66" t="s">
        <v>470</v>
      </c>
      <c r="C870" s="66" t="s">
        <v>557</v>
      </c>
      <c r="D870" s="67" t="s">
        <v>470</v>
      </c>
      <c r="E870" s="80"/>
      <c r="F870" s="69" t="s">
        <v>47</v>
      </c>
      <c r="G870" s="67" t="s">
        <v>565</v>
      </c>
      <c r="H870" s="70" t="s">
        <v>210</v>
      </c>
    </row>
    <row r="871" spans="1:8" ht="24">
      <c r="A871" s="65" t="s">
        <v>972</v>
      </c>
      <c r="B871" s="66" t="s">
        <v>996</v>
      </c>
      <c r="C871" s="66" t="s">
        <v>1003</v>
      </c>
      <c r="D871" s="67" t="s">
        <v>468</v>
      </c>
      <c r="E871" s="80"/>
      <c r="F871" s="69" t="s">
        <v>50</v>
      </c>
      <c r="G871" s="67" t="s">
        <v>1009</v>
      </c>
      <c r="H871" s="70" t="s">
        <v>210</v>
      </c>
    </row>
    <row r="872" spans="1:8" ht="24">
      <c r="A872" s="65" t="s">
        <v>972</v>
      </c>
      <c r="B872" s="66" t="s">
        <v>983</v>
      </c>
      <c r="C872" s="66" t="s">
        <v>983</v>
      </c>
      <c r="D872" s="90" t="s">
        <v>468</v>
      </c>
      <c r="E872" s="80"/>
      <c r="F872" s="69" t="s">
        <v>986</v>
      </c>
      <c r="G872" s="67" t="s">
        <v>987</v>
      </c>
      <c r="H872" s="70" t="s">
        <v>243</v>
      </c>
    </row>
    <row r="873" spans="1:8">
      <c r="A873" s="65" t="s">
        <v>699</v>
      </c>
      <c r="B873" s="66" t="s">
        <v>720</v>
      </c>
      <c r="C873" s="66" t="s">
        <v>756</v>
      </c>
      <c r="D873" s="67" t="s">
        <v>177</v>
      </c>
      <c r="E873" s="80" t="s">
        <v>751</v>
      </c>
      <c r="F873" s="69" t="s">
        <v>48</v>
      </c>
      <c r="G873" s="67" t="s">
        <v>763</v>
      </c>
      <c r="H873" s="70" t="s">
        <v>176</v>
      </c>
    </row>
    <row r="874" spans="1:8" ht="36">
      <c r="A874" s="65" t="s">
        <v>1363</v>
      </c>
      <c r="B874" s="66" t="s">
        <v>1364</v>
      </c>
      <c r="C874" s="66" t="s">
        <v>1369</v>
      </c>
      <c r="D874" s="67" t="s">
        <v>739</v>
      </c>
      <c r="E874" s="80" t="s">
        <v>740</v>
      </c>
      <c r="F874" s="69" t="s">
        <v>48</v>
      </c>
      <c r="G874" s="67" t="s">
        <v>1373</v>
      </c>
      <c r="H874" s="70" t="s">
        <v>176</v>
      </c>
    </row>
    <row r="875" spans="1:8" ht="36">
      <c r="A875" s="65" t="s">
        <v>1206</v>
      </c>
      <c r="B875" s="66" t="s">
        <v>1303</v>
      </c>
      <c r="C875" s="66" t="s">
        <v>1303</v>
      </c>
      <c r="D875" s="67" t="s">
        <v>739</v>
      </c>
      <c r="E875" s="80" t="s">
        <v>740</v>
      </c>
      <c r="F875" s="69" t="s">
        <v>514</v>
      </c>
      <c r="G875" s="67" t="s">
        <v>1311</v>
      </c>
      <c r="H875" s="70" t="s">
        <v>176</v>
      </c>
    </row>
    <row r="876" spans="1:8">
      <c r="A876" s="65" t="s">
        <v>32</v>
      </c>
      <c r="B876" s="66" t="s">
        <v>219</v>
      </c>
      <c r="C876" s="66" t="s">
        <v>219</v>
      </c>
      <c r="D876" s="79" t="s">
        <v>219</v>
      </c>
      <c r="E876" s="68"/>
      <c r="F876" s="69" t="s">
        <v>183</v>
      </c>
      <c r="G876" s="67" t="s">
        <v>228</v>
      </c>
      <c r="H876" s="70" t="s">
        <v>176</v>
      </c>
    </row>
    <row r="877" spans="1:8">
      <c r="A877" s="65" t="s">
        <v>972</v>
      </c>
      <c r="B877" s="66" t="s">
        <v>1041</v>
      </c>
      <c r="C877" s="66" t="s">
        <v>1042</v>
      </c>
      <c r="D877" s="90" t="s">
        <v>219</v>
      </c>
      <c r="E877" s="80"/>
      <c r="F877" s="69" t="s">
        <v>47</v>
      </c>
      <c r="G877" s="67" t="s">
        <v>1044</v>
      </c>
      <c r="H877" s="70" t="s">
        <v>210</v>
      </c>
    </row>
    <row r="878" spans="1:8" ht="24">
      <c r="A878" s="65" t="s">
        <v>32</v>
      </c>
      <c r="B878" s="66" t="s">
        <v>172</v>
      </c>
      <c r="C878" s="66" t="s">
        <v>202</v>
      </c>
      <c r="D878" s="67" t="s">
        <v>172</v>
      </c>
      <c r="E878" s="68"/>
      <c r="F878" s="69" t="s">
        <v>50</v>
      </c>
      <c r="G878" s="67" t="s">
        <v>218</v>
      </c>
      <c r="H878" s="70" t="s">
        <v>210</v>
      </c>
    </row>
    <row r="879" spans="1:8">
      <c r="A879" s="65" t="s">
        <v>32</v>
      </c>
      <c r="B879" s="66" t="s">
        <v>247</v>
      </c>
      <c r="C879" s="66" t="s">
        <v>268</v>
      </c>
      <c r="D879" s="79" t="s">
        <v>177</v>
      </c>
      <c r="E879" s="68" t="s">
        <v>250</v>
      </c>
      <c r="F879" s="69" t="s">
        <v>181</v>
      </c>
      <c r="G879" s="67" t="s">
        <v>278</v>
      </c>
      <c r="H879" s="70" t="s">
        <v>176</v>
      </c>
    </row>
    <row r="880" spans="1:8">
      <c r="A880" s="65" t="s">
        <v>32</v>
      </c>
      <c r="B880" s="66" t="s">
        <v>247</v>
      </c>
      <c r="C880" s="66" t="s">
        <v>310</v>
      </c>
      <c r="D880" s="79" t="s">
        <v>177</v>
      </c>
      <c r="E880" s="68" t="s">
        <v>248</v>
      </c>
      <c r="F880" s="69" t="s">
        <v>183</v>
      </c>
      <c r="G880" s="67" t="s">
        <v>314</v>
      </c>
      <c r="H880" s="70" t="s">
        <v>176</v>
      </c>
    </row>
    <row r="881" spans="1:8" ht="36">
      <c r="A881" s="65" t="s">
        <v>931</v>
      </c>
      <c r="B881" s="66" t="s">
        <v>909</v>
      </c>
      <c r="C881" s="66" t="s">
        <v>1122</v>
      </c>
      <c r="D881" s="67" t="s">
        <v>909</v>
      </c>
      <c r="E881" s="80"/>
      <c r="F881" s="69" t="s">
        <v>181</v>
      </c>
      <c r="G881" s="67" t="s">
        <v>1126</v>
      </c>
      <c r="H881" s="70" t="s">
        <v>1123</v>
      </c>
    </row>
    <row r="882" spans="1:8" ht="24">
      <c r="A882" s="65" t="s">
        <v>908</v>
      </c>
      <c r="B882" s="66" t="s">
        <v>964</v>
      </c>
      <c r="C882" s="66" t="s">
        <v>964</v>
      </c>
      <c r="D882" s="67" t="s">
        <v>603</v>
      </c>
      <c r="E882" s="80"/>
      <c r="F882" s="69" t="s">
        <v>48</v>
      </c>
      <c r="G882" s="67" t="s">
        <v>968</v>
      </c>
      <c r="H882" s="70" t="s">
        <v>910</v>
      </c>
    </row>
    <row r="883" spans="1:8" ht="36">
      <c r="A883" s="65" t="s">
        <v>1206</v>
      </c>
      <c r="B883" s="66" t="s">
        <v>1328</v>
      </c>
      <c r="C883" s="66" t="s">
        <v>1328</v>
      </c>
      <c r="D883" s="67" t="s">
        <v>177</v>
      </c>
      <c r="E883" s="80" t="s">
        <v>1196</v>
      </c>
      <c r="F883" s="69" t="s">
        <v>44</v>
      </c>
      <c r="G883" s="67" t="s">
        <v>1337</v>
      </c>
      <c r="H883" s="70" t="s">
        <v>176</v>
      </c>
    </row>
    <row r="884" spans="1:8" ht="36">
      <c r="A884" s="65" t="s">
        <v>699</v>
      </c>
      <c r="B884" s="66" t="s">
        <v>703</v>
      </c>
      <c r="C884" s="66" t="s">
        <v>776</v>
      </c>
      <c r="D884" s="67" t="s">
        <v>703</v>
      </c>
      <c r="E884" s="80"/>
      <c r="F884" s="69" t="s">
        <v>51</v>
      </c>
      <c r="G884" s="67" t="s">
        <v>777</v>
      </c>
      <c r="H884" s="70" t="s">
        <v>176</v>
      </c>
    </row>
    <row r="885" spans="1:8" ht="24">
      <c r="A885" s="65" t="s">
        <v>32</v>
      </c>
      <c r="B885" s="66" t="s">
        <v>470</v>
      </c>
      <c r="C885" s="66" t="s">
        <v>473</v>
      </c>
      <c r="D885" s="67" t="s">
        <v>470</v>
      </c>
      <c r="E885" s="80"/>
      <c r="F885" s="69" t="s">
        <v>43</v>
      </c>
      <c r="G885" s="67" t="s">
        <v>508</v>
      </c>
      <c r="H885" s="70" t="s">
        <v>176</v>
      </c>
    </row>
    <row r="886" spans="1:8" ht="24">
      <c r="A886" s="65" t="s">
        <v>32</v>
      </c>
      <c r="B886" s="66" t="s">
        <v>470</v>
      </c>
      <c r="C886" s="66" t="s">
        <v>534</v>
      </c>
      <c r="D886" s="67" t="s">
        <v>177</v>
      </c>
      <c r="E886" s="80" t="s">
        <v>250</v>
      </c>
      <c r="F886" s="69" t="s">
        <v>51</v>
      </c>
      <c r="G886" s="67" t="s">
        <v>535</v>
      </c>
      <c r="H886" s="70" t="s">
        <v>176</v>
      </c>
    </row>
    <row r="887" spans="1:8" ht="24">
      <c r="A887" s="65" t="s">
        <v>32</v>
      </c>
      <c r="B887" s="66" t="s">
        <v>247</v>
      </c>
      <c r="C887" s="66" t="s">
        <v>323</v>
      </c>
      <c r="D887" s="79" t="s">
        <v>247</v>
      </c>
      <c r="E887" s="68"/>
      <c r="F887" s="69" t="s">
        <v>337</v>
      </c>
      <c r="G887" s="67" t="s">
        <v>378</v>
      </c>
      <c r="H887" s="70" t="s">
        <v>365</v>
      </c>
    </row>
    <row r="888" spans="1:8" ht="24">
      <c r="A888" s="65" t="s">
        <v>972</v>
      </c>
      <c r="B888" s="66" t="s">
        <v>996</v>
      </c>
      <c r="C888" s="66" t="s">
        <v>1011</v>
      </c>
      <c r="D888" s="67" t="s">
        <v>996</v>
      </c>
      <c r="E888" s="80"/>
      <c r="F888" s="69" t="s">
        <v>50</v>
      </c>
      <c r="G888" s="67" t="s">
        <v>1032</v>
      </c>
      <c r="H888" s="70" t="s">
        <v>210</v>
      </c>
    </row>
    <row r="889" spans="1:8" ht="24">
      <c r="A889" s="65" t="s">
        <v>699</v>
      </c>
      <c r="B889" s="66" t="s">
        <v>720</v>
      </c>
      <c r="C889" s="66" t="s">
        <v>736</v>
      </c>
      <c r="D889" s="67" t="s">
        <v>720</v>
      </c>
      <c r="E889" s="80"/>
      <c r="F889" s="69" t="s">
        <v>51</v>
      </c>
      <c r="G889" s="67" t="s">
        <v>737</v>
      </c>
      <c r="H889" s="70" t="s">
        <v>176</v>
      </c>
    </row>
    <row r="890" spans="1:8" ht="24">
      <c r="A890" s="65" t="s">
        <v>32</v>
      </c>
      <c r="B890" s="66" t="s">
        <v>470</v>
      </c>
      <c r="C890" s="66" t="s">
        <v>557</v>
      </c>
      <c r="D890" s="67" t="s">
        <v>470</v>
      </c>
      <c r="E890" s="80"/>
      <c r="F890" s="69" t="s">
        <v>518</v>
      </c>
      <c r="G890" s="67" t="s">
        <v>578</v>
      </c>
      <c r="H890" s="70" t="s">
        <v>210</v>
      </c>
    </row>
    <row r="891" spans="1:8" ht="24">
      <c r="A891" s="65" t="s">
        <v>603</v>
      </c>
      <c r="B891" s="66" t="s">
        <v>672</v>
      </c>
      <c r="C891" s="66" t="s">
        <v>682</v>
      </c>
      <c r="D891" s="67" t="s">
        <v>603</v>
      </c>
      <c r="E891" s="80"/>
      <c r="F891" s="69" t="s">
        <v>48</v>
      </c>
      <c r="G891" s="67" t="s">
        <v>684</v>
      </c>
      <c r="H891" s="70" t="s">
        <v>210</v>
      </c>
    </row>
    <row r="892" spans="1:8">
      <c r="A892" s="65" t="s">
        <v>603</v>
      </c>
      <c r="B892" s="66" t="s">
        <v>647</v>
      </c>
      <c r="C892" s="66" t="s">
        <v>658</v>
      </c>
      <c r="D892" s="67" t="s">
        <v>603</v>
      </c>
      <c r="E892" s="80"/>
      <c r="F892" s="69" t="s">
        <v>48</v>
      </c>
      <c r="G892" s="67" t="s">
        <v>662</v>
      </c>
      <c r="H892" s="70" t="s">
        <v>210</v>
      </c>
    </row>
    <row r="893" spans="1:8" ht="24">
      <c r="A893" s="65" t="s">
        <v>32</v>
      </c>
      <c r="B893" s="66" t="s">
        <v>470</v>
      </c>
      <c r="C893" s="66" t="s">
        <v>588</v>
      </c>
      <c r="D893" s="67" t="s">
        <v>177</v>
      </c>
      <c r="E893" s="80" t="s">
        <v>566</v>
      </c>
      <c r="F893" s="69" t="s">
        <v>47</v>
      </c>
      <c r="G893" s="67" t="s">
        <v>589</v>
      </c>
      <c r="H893" s="70" t="s">
        <v>176</v>
      </c>
    </row>
    <row r="894" spans="1:8">
      <c r="A894" s="65" t="s">
        <v>32</v>
      </c>
      <c r="B894" s="66" t="s">
        <v>247</v>
      </c>
      <c r="C894" s="66" t="s">
        <v>251</v>
      </c>
      <c r="D894" s="79" t="s">
        <v>177</v>
      </c>
      <c r="E894" s="68" t="s">
        <v>261</v>
      </c>
      <c r="F894" s="69" t="s">
        <v>183</v>
      </c>
      <c r="G894" s="67" t="s">
        <v>263</v>
      </c>
      <c r="H894" s="70" t="s">
        <v>176</v>
      </c>
    </row>
    <row r="895" spans="1:8" ht="36">
      <c r="A895" s="65" t="s">
        <v>32</v>
      </c>
      <c r="B895" s="66" t="s">
        <v>408</v>
      </c>
      <c r="C895" s="66" t="s">
        <v>413</v>
      </c>
      <c r="D895" s="79" t="s">
        <v>410</v>
      </c>
      <c r="E895" s="68"/>
      <c r="F895" s="69" t="s">
        <v>48</v>
      </c>
      <c r="G895" s="67" t="s">
        <v>421</v>
      </c>
      <c r="H895" s="70" t="s">
        <v>176</v>
      </c>
    </row>
    <row r="896" spans="1:8" ht="36">
      <c r="A896" s="65" t="s">
        <v>1206</v>
      </c>
      <c r="B896" s="66" t="s">
        <v>1328</v>
      </c>
      <c r="C896" s="66" t="s">
        <v>1328</v>
      </c>
      <c r="D896" s="67" t="s">
        <v>177</v>
      </c>
      <c r="E896" s="80" t="s">
        <v>466</v>
      </c>
      <c r="F896" s="69" t="s">
        <v>43</v>
      </c>
      <c r="G896" s="67" t="s">
        <v>1358</v>
      </c>
      <c r="H896" s="70" t="s">
        <v>176</v>
      </c>
    </row>
    <row r="897" spans="1:8" ht="24">
      <c r="A897" s="65" t="s">
        <v>795</v>
      </c>
      <c r="B897" s="66" t="s">
        <v>795</v>
      </c>
      <c r="C897" s="66" t="s">
        <v>796</v>
      </c>
      <c r="D897" s="67" t="s">
        <v>177</v>
      </c>
      <c r="E897" s="80" t="s">
        <v>466</v>
      </c>
      <c r="F897" s="69" t="s">
        <v>50</v>
      </c>
      <c r="G897" s="67" t="s">
        <v>820</v>
      </c>
      <c r="H897" s="70" t="s">
        <v>210</v>
      </c>
    </row>
    <row r="898" spans="1:8" ht="24">
      <c r="A898" s="65" t="s">
        <v>972</v>
      </c>
      <c r="B898" s="66" t="s">
        <v>996</v>
      </c>
      <c r="C898" s="66" t="s">
        <v>1011</v>
      </c>
      <c r="D898" s="67" t="s">
        <v>996</v>
      </c>
      <c r="E898" s="80"/>
      <c r="F898" s="69" t="s">
        <v>50</v>
      </c>
      <c r="G898" s="67" t="s">
        <v>1018</v>
      </c>
      <c r="H898" s="70" t="s">
        <v>176</v>
      </c>
    </row>
    <row r="899" spans="1:8" ht="24">
      <c r="A899" s="65" t="s">
        <v>603</v>
      </c>
      <c r="B899" s="66" t="s">
        <v>672</v>
      </c>
      <c r="C899" s="66" t="s">
        <v>673</v>
      </c>
      <c r="D899" s="67" t="s">
        <v>177</v>
      </c>
      <c r="E899" s="80" t="s">
        <v>466</v>
      </c>
      <c r="F899" s="69" t="s">
        <v>51</v>
      </c>
      <c r="G899" s="67" t="s">
        <v>674</v>
      </c>
      <c r="H899" s="70" t="s">
        <v>210</v>
      </c>
    </row>
    <row r="900" spans="1:8">
      <c r="A900" s="65" t="s">
        <v>603</v>
      </c>
      <c r="B900" s="66" t="s">
        <v>647</v>
      </c>
      <c r="C900" s="66" t="s">
        <v>666</v>
      </c>
      <c r="D900" s="67" t="s">
        <v>177</v>
      </c>
      <c r="E900" s="80" t="s">
        <v>466</v>
      </c>
      <c r="F900" s="69" t="s">
        <v>48</v>
      </c>
      <c r="G900" s="67" t="s">
        <v>669</v>
      </c>
      <c r="H900" s="70" t="s">
        <v>210</v>
      </c>
    </row>
    <row r="901" spans="1:8" ht="24">
      <c r="A901" s="65" t="s">
        <v>931</v>
      </c>
      <c r="B901" s="66" t="s">
        <v>909</v>
      </c>
      <c r="C901" s="66" t="s">
        <v>1098</v>
      </c>
      <c r="D901" s="96" t="s">
        <v>177</v>
      </c>
      <c r="E901" s="92" t="s">
        <v>1105</v>
      </c>
      <c r="F901" s="69" t="s">
        <v>1101</v>
      </c>
      <c r="G901" s="67" t="s">
        <v>1121</v>
      </c>
      <c r="H901" s="70" t="s">
        <v>176</v>
      </c>
    </row>
    <row r="902" spans="1:8" ht="24">
      <c r="A902" s="65" t="s">
        <v>32</v>
      </c>
      <c r="B902" s="66" t="s">
        <v>247</v>
      </c>
      <c r="C902" s="66" t="s">
        <v>323</v>
      </c>
      <c r="D902" s="79" t="s">
        <v>247</v>
      </c>
      <c r="E902" s="68"/>
      <c r="F902" s="69" t="s">
        <v>40</v>
      </c>
      <c r="G902" s="67" t="s">
        <v>364</v>
      </c>
      <c r="H902" s="70" t="s">
        <v>210</v>
      </c>
    </row>
    <row r="903" spans="1:8" ht="24">
      <c r="A903" s="65" t="s">
        <v>795</v>
      </c>
      <c r="B903" s="66" t="s">
        <v>795</v>
      </c>
      <c r="C903" s="66" t="s">
        <v>796</v>
      </c>
      <c r="D903" s="90" t="s">
        <v>468</v>
      </c>
      <c r="E903" s="80"/>
      <c r="F903" s="69" t="s">
        <v>48</v>
      </c>
      <c r="G903" s="67" t="s">
        <v>801</v>
      </c>
      <c r="H903" s="70" t="s">
        <v>210</v>
      </c>
    </row>
    <row r="904" spans="1:8" ht="24">
      <c r="A904" s="65" t="s">
        <v>32</v>
      </c>
      <c r="B904" s="66" t="s">
        <v>470</v>
      </c>
      <c r="C904" s="66" t="s">
        <v>473</v>
      </c>
      <c r="D904" s="67" t="s">
        <v>177</v>
      </c>
      <c r="E904" s="80" t="s">
        <v>478</v>
      </c>
      <c r="F904" s="69" t="s">
        <v>183</v>
      </c>
      <c r="G904" s="67" t="s">
        <v>492</v>
      </c>
      <c r="H904" s="70" t="s">
        <v>176</v>
      </c>
    </row>
    <row r="905" spans="1:8" ht="36">
      <c r="A905" s="65" t="s">
        <v>1206</v>
      </c>
      <c r="B905" s="66" t="s">
        <v>1328</v>
      </c>
      <c r="C905" s="66" t="s">
        <v>1328</v>
      </c>
      <c r="D905" s="67" t="s">
        <v>177</v>
      </c>
      <c r="E905" s="80" t="s">
        <v>248</v>
      </c>
      <c r="F905" s="69" t="s">
        <v>43</v>
      </c>
      <c r="G905" s="67" t="s">
        <v>1350</v>
      </c>
      <c r="H905" s="70" t="s">
        <v>176</v>
      </c>
    </row>
    <row r="906" spans="1:8" ht="36">
      <c r="A906" s="65" t="s">
        <v>1206</v>
      </c>
      <c r="B906" s="66" t="s">
        <v>1254</v>
      </c>
      <c r="C906" s="66" t="s">
        <v>1254</v>
      </c>
      <c r="D906" s="67" t="s">
        <v>177</v>
      </c>
      <c r="E906" s="80" t="s">
        <v>566</v>
      </c>
      <c r="F906" s="69" t="s">
        <v>1237</v>
      </c>
      <c r="G906" s="67" t="s">
        <v>1264</v>
      </c>
      <c r="H906" s="70" t="s">
        <v>176</v>
      </c>
    </row>
    <row r="907" spans="1:8" ht="24">
      <c r="A907" s="65" t="s">
        <v>32</v>
      </c>
      <c r="B907" s="66" t="s">
        <v>172</v>
      </c>
      <c r="C907" s="66" t="s">
        <v>202</v>
      </c>
      <c r="D907" s="67" t="s">
        <v>172</v>
      </c>
      <c r="E907" s="68"/>
      <c r="F907" s="69" t="s">
        <v>50</v>
      </c>
      <c r="G907" s="67" t="s">
        <v>217</v>
      </c>
      <c r="H907" s="70" t="s">
        <v>210</v>
      </c>
    </row>
    <row r="908" spans="1:8" ht="36">
      <c r="A908" s="65" t="s">
        <v>1363</v>
      </c>
      <c r="B908" s="66" t="s">
        <v>1364</v>
      </c>
      <c r="C908" s="66" t="s">
        <v>1369</v>
      </c>
      <c r="D908" s="67" t="s">
        <v>739</v>
      </c>
      <c r="E908" s="80" t="s">
        <v>740</v>
      </c>
      <c r="F908" s="69" t="s">
        <v>48</v>
      </c>
      <c r="G908" s="67" t="s">
        <v>1375</v>
      </c>
      <c r="H908" s="70" t="s">
        <v>176</v>
      </c>
    </row>
    <row r="909" spans="1:8" ht="24">
      <c r="A909" s="65" t="s">
        <v>972</v>
      </c>
      <c r="B909" s="66" t="s">
        <v>996</v>
      </c>
      <c r="C909" s="66" t="s">
        <v>1011</v>
      </c>
      <c r="D909" s="67" t="s">
        <v>468</v>
      </c>
      <c r="E909" s="80"/>
      <c r="F909" s="69" t="s">
        <v>283</v>
      </c>
      <c r="G909" s="67" t="s">
        <v>1025</v>
      </c>
      <c r="H909" s="70" t="s">
        <v>210</v>
      </c>
    </row>
    <row r="910" spans="1:8" ht="24">
      <c r="A910" s="65" t="s">
        <v>32</v>
      </c>
      <c r="B910" s="66" t="s">
        <v>172</v>
      </c>
      <c r="C910" s="66" t="s">
        <v>173</v>
      </c>
      <c r="D910" s="67" t="s">
        <v>177</v>
      </c>
      <c r="E910" s="68" t="s">
        <v>178</v>
      </c>
      <c r="F910" s="69" t="s">
        <v>181</v>
      </c>
      <c r="G910" s="67" t="s">
        <v>182</v>
      </c>
      <c r="H910" s="70" t="s">
        <v>176</v>
      </c>
    </row>
    <row r="911" spans="1:8" ht="24">
      <c r="A911" s="65" t="s">
        <v>972</v>
      </c>
      <c r="B911" s="66" t="s">
        <v>996</v>
      </c>
      <c r="C911" s="66" t="s">
        <v>1003</v>
      </c>
      <c r="D911" s="67" t="s">
        <v>996</v>
      </c>
      <c r="E911" s="80"/>
      <c r="F911" s="69" t="s">
        <v>181</v>
      </c>
      <c r="G911" s="67" t="s">
        <v>1006</v>
      </c>
      <c r="H911" s="70" t="s">
        <v>176</v>
      </c>
    </row>
    <row r="912" spans="1:8">
      <c r="A912" s="65" t="s">
        <v>32</v>
      </c>
      <c r="B912" s="66" t="s">
        <v>247</v>
      </c>
      <c r="C912" s="66" t="s">
        <v>268</v>
      </c>
      <c r="D912" s="79" t="s">
        <v>177</v>
      </c>
      <c r="E912" s="68" t="s">
        <v>250</v>
      </c>
      <c r="F912" s="69" t="s">
        <v>43</v>
      </c>
      <c r="G912" s="67" t="s">
        <v>299</v>
      </c>
      <c r="H912" s="70" t="s">
        <v>176</v>
      </c>
    </row>
    <row r="913" spans="1:8" ht="24">
      <c r="A913" s="65" t="s">
        <v>603</v>
      </c>
      <c r="B913" s="66" t="s">
        <v>610</v>
      </c>
      <c r="C913" s="66" t="s">
        <v>613</v>
      </c>
      <c r="D913" s="90" t="s">
        <v>603</v>
      </c>
      <c r="E913" s="68"/>
      <c r="F913" s="69" t="s">
        <v>48</v>
      </c>
      <c r="G913" s="67" t="s">
        <v>616</v>
      </c>
      <c r="H913" s="70" t="s">
        <v>176</v>
      </c>
    </row>
    <row r="914" spans="1:8">
      <c r="A914" s="65" t="s">
        <v>603</v>
      </c>
      <c r="B914" s="66" t="s">
        <v>617</v>
      </c>
      <c r="C914" s="66" t="s">
        <v>618</v>
      </c>
      <c r="D914" s="67" t="s">
        <v>177</v>
      </c>
      <c r="E914" s="80" t="s">
        <v>466</v>
      </c>
      <c r="F914" s="69" t="s">
        <v>47</v>
      </c>
      <c r="G914" s="67" t="s">
        <v>620</v>
      </c>
      <c r="H914" s="70" t="s">
        <v>210</v>
      </c>
    </row>
    <row r="915" spans="1:8" ht="36">
      <c r="A915" s="65" t="s">
        <v>1363</v>
      </c>
      <c r="B915" s="66" t="s">
        <v>1364</v>
      </c>
      <c r="C915" s="66" t="s">
        <v>1384</v>
      </c>
      <c r="D915" s="67" t="s">
        <v>1366</v>
      </c>
      <c r="E915" s="80"/>
      <c r="F915" s="69" t="s">
        <v>48</v>
      </c>
      <c r="G915" s="67" t="s">
        <v>1392</v>
      </c>
      <c r="H915" s="70" t="s">
        <v>176</v>
      </c>
    </row>
    <row r="916" spans="1:8" ht="24">
      <c r="A916" s="65" t="s">
        <v>32</v>
      </c>
      <c r="B916" s="66" t="s">
        <v>470</v>
      </c>
      <c r="C916" s="66" t="s">
        <v>588</v>
      </c>
      <c r="D916" s="67" t="s">
        <v>177</v>
      </c>
      <c r="E916" s="80" t="s">
        <v>566</v>
      </c>
      <c r="F916" s="69" t="s">
        <v>183</v>
      </c>
      <c r="G916" s="67" t="s">
        <v>597</v>
      </c>
      <c r="H916" s="70" t="s">
        <v>176</v>
      </c>
    </row>
    <row r="917" spans="1:8">
      <c r="A917" s="65" t="s">
        <v>32</v>
      </c>
      <c r="B917" s="66" t="s">
        <v>247</v>
      </c>
      <c r="C917" s="66" t="s">
        <v>251</v>
      </c>
      <c r="D917" s="79" t="s">
        <v>177</v>
      </c>
      <c r="E917" s="68" t="s">
        <v>250</v>
      </c>
      <c r="F917" s="69" t="s">
        <v>44</v>
      </c>
      <c r="G917" s="67" t="s">
        <v>255</v>
      </c>
      <c r="H917" s="70" t="s">
        <v>176</v>
      </c>
    </row>
    <row r="918" spans="1:8" ht="24">
      <c r="A918" s="65" t="s">
        <v>699</v>
      </c>
      <c r="B918" s="66" t="s">
        <v>700</v>
      </c>
      <c r="C918" s="66" t="s">
        <v>701</v>
      </c>
      <c r="D918" s="67" t="s">
        <v>700</v>
      </c>
      <c r="E918" s="80"/>
      <c r="F918" s="69" t="s">
        <v>48</v>
      </c>
      <c r="G918" s="67" t="s">
        <v>704</v>
      </c>
      <c r="H918" s="70" t="s">
        <v>176</v>
      </c>
    </row>
    <row r="919" spans="1:8" ht="24">
      <c r="A919" s="65" t="s">
        <v>32</v>
      </c>
      <c r="B919" s="66" t="s">
        <v>470</v>
      </c>
      <c r="C919" s="66" t="s">
        <v>473</v>
      </c>
      <c r="D919" s="67" t="s">
        <v>177</v>
      </c>
      <c r="E919" s="80" t="s">
        <v>474</v>
      </c>
      <c r="F919" s="69" t="s">
        <v>48</v>
      </c>
      <c r="G919" s="67" t="s">
        <v>517</v>
      </c>
      <c r="H919" s="70" t="s">
        <v>210</v>
      </c>
    </row>
    <row r="920" spans="1:8" ht="24">
      <c r="A920" s="65" t="s">
        <v>32</v>
      </c>
      <c r="B920" s="66" t="s">
        <v>172</v>
      </c>
      <c r="C920" s="66" t="s">
        <v>202</v>
      </c>
      <c r="D920" s="67" t="s">
        <v>172</v>
      </c>
      <c r="E920" s="68"/>
      <c r="F920" s="69" t="s">
        <v>183</v>
      </c>
      <c r="G920" s="67" t="s">
        <v>206</v>
      </c>
      <c r="H920" s="70" t="s">
        <v>176</v>
      </c>
    </row>
    <row r="921" spans="1:8">
      <c r="A921" s="65" t="s">
        <v>603</v>
      </c>
      <c r="B921" s="66" t="s">
        <v>634</v>
      </c>
      <c r="C921" s="66" t="s">
        <v>634</v>
      </c>
      <c r="D921" s="67" t="s">
        <v>603</v>
      </c>
      <c r="E921" s="80"/>
      <c r="F921" s="69" t="s">
        <v>48</v>
      </c>
      <c r="G921" s="67" t="s">
        <v>640</v>
      </c>
      <c r="H921" s="70" t="s">
        <v>210</v>
      </c>
    </row>
    <row r="922" spans="1:8" ht="24">
      <c r="A922" s="65" t="s">
        <v>972</v>
      </c>
      <c r="B922" s="66" t="s">
        <v>983</v>
      </c>
      <c r="C922" s="66" t="s">
        <v>983</v>
      </c>
      <c r="D922" s="90" t="s">
        <v>974</v>
      </c>
      <c r="E922" s="80"/>
      <c r="F922" s="69" t="s">
        <v>50</v>
      </c>
      <c r="G922" s="67" t="s">
        <v>995</v>
      </c>
      <c r="H922" s="70" t="s">
        <v>210</v>
      </c>
    </row>
    <row r="923" spans="1:8" ht="36">
      <c r="A923" s="65" t="s">
        <v>1413</v>
      </c>
      <c r="B923" s="66" t="s">
        <v>1413</v>
      </c>
      <c r="C923" s="66" t="s">
        <v>1418</v>
      </c>
      <c r="D923" s="90" t="s">
        <v>177</v>
      </c>
      <c r="E923" s="80" t="s">
        <v>1415</v>
      </c>
      <c r="F923" s="69" t="s">
        <v>46</v>
      </c>
      <c r="G923" s="67" t="s">
        <v>1425</v>
      </c>
      <c r="H923" s="70" t="s">
        <v>176</v>
      </c>
    </row>
    <row r="924" spans="1:8" ht="24">
      <c r="A924" s="65" t="s">
        <v>795</v>
      </c>
      <c r="B924" s="66" t="s">
        <v>795</v>
      </c>
      <c r="C924" s="66" t="s">
        <v>796</v>
      </c>
      <c r="D924" s="67" t="s">
        <v>177</v>
      </c>
      <c r="E924" s="80" t="s">
        <v>466</v>
      </c>
      <c r="F924" s="69" t="s">
        <v>47</v>
      </c>
      <c r="G924" s="67" t="s">
        <v>814</v>
      </c>
      <c r="H924" s="70" t="s">
        <v>210</v>
      </c>
    </row>
    <row r="925" spans="1:8" ht="24">
      <c r="A925" s="65" t="s">
        <v>32</v>
      </c>
      <c r="B925" s="66" t="s">
        <v>247</v>
      </c>
      <c r="C925" s="66" t="s">
        <v>323</v>
      </c>
      <c r="D925" s="79" t="s">
        <v>247</v>
      </c>
      <c r="E925" s="68"/>
      <c r="F925" s="69" t="s">
        <v>40</v>
      </c>
      <c r="G925" s="67" t="s">
        <v>339</v>
      </c>
      <c r="H925" s="70" t="s">
        <v>176</v>
      </c>
    </row>
    <row r="926" spans="1:8" ht="36">
      <c r="A926" s="65" t="s">
        <v>1413</v>
      </c>
      <c r="B926" s="66" t="s">
        <v>1413</v>
      </c>
      <c r="C926" s="66" t="s">
        <v>1427</v>
      </c>
      <c r="D926" s="90" t="s">
        <v>177</v>
      </c>
      <c r="E926" s="82" t="s">
        <v>1108</v>
      </c>
      <c r="F926" s="69" t="s">
        <v>233</v>
      </c>
      <c r="G926" s="67" t="s">
        <v>1434</v>
      </c>
      <c r="H926" s="70" t="s">
        <v>243</v>
      </c>
    </row>
    <row r="927" spans="1:8" ht="36">
      <c r="A927" s="65" t="s">
        <v>1206</v>
      </c>
      <c r="B927" s="66" t="s">
        <v>1254</v>
      </c>
      <c r="C927" s="66" t="s">
        <v>1254</v>
      </c>
      <c r="D927" s="67" t="s">
        <v>177</v>
      </c>
      <c r="E927" s="80" t="s">
        <v>476</v>
      </c>
      <c r="F927" s="69" t="s">
        <v>1237</v>
      </c>
      <c r="G927" s="67" t="s">
        <v>1258</v>
      </c>
      <c r="H927" s="70" t="s">
        <v>176</v>
      </c>
    </row>
    <row r="928" spans="1:8" ht="24">
      <c r="A928" s="65" t="s">
        <v>699</v>
      </c>
      <c r="B928" s="66" t="s">
        <v>700</v>
      </c>
      <c r="C928" s="66" t="s">
        <v>701</v>
      </c>
      <c r="D928" s="67" t="s">
        <v>700</v>
      </c>
      <c r="E928" s="80"/>
      <c r="F928" s="69" t="s">
        <v>48</v>
      </c>
      <c r="G928" s="67" t="s">
        <v>707</v>
      </c>
      <c r="H928" s="70" t="s">
        <v>176</v>
      </c>
    </row>
    <row r="929" spans="1:8" ht="24">
      <c r="A929" s="65" t="s">
        <v>32</v>
      </c>
      <c r="B929" s="66" t="s">
        <v>470</v>
      </c>
      <c r="C929" s="66" t="s">
        <v>519</v>
      </c>
      <c r="D929" s="67" t="s">
        <v>470</v>
      </c>
      <c r="E929" s="80"/>
      <c r="F929" s="69" t="s">
        <v>48</v>
      </c>
      <c r="G929" s="67" t="s">
        <v>523</v>
      </c>
      <c r="H929" s="70" t="s">
        <v>176</v>
      </c>
    </row>
    <row r="930" spans="1:8" ht="24">
      <c r="A930" s="65" t="s">
        <v>32</v>
      </c>
      <c r="B930" s="66" t="s">
        <v>247</v>
      </c>
      <c r="C930" s="66" t="s">
        <v>323</v>
      </c>
      <c r="D930" s="79" t="s">
        <v>247</v>
      </c>
      <c r="E930" s="68"/>
      <c r="F930" s="69" t="s">
        <v>337</v>
      </c>
      <c r="G930" s="67" t="s">
        <v>351</v>
      </c>
      <c r="H930" s="70" t="s">
        <v>176</v>
      </c>
    </row>
    <row r="931" spans="1:8" ht="36">
      <c r="A931" s="65" t="s">
        <v>1363</v>
      </c>
      <c r="B931" s="66" t="s">
        <v>1364</v>
      </c>
      <c r="C931" s="66" t="s">
        <v>1384</v>
      </c>
      <c r="D931" s="67" t="s">
        <v>1366</v>
      </c>
      <c r="E931" s="80"/>
      <c r="F931" s="69" t="s">
        <v>48</v>
      </c>
      <c r="G931" s="67" t="s">
        <v>1393</v>
      </c>
      <c r="H931" s="70" t="s">
        <v>176</v>
      </c>
    </row>
    <row r="932" spans="1:8" ht="24">
      <c r="A932" s="65" t="s">
        <v>839</v>
      </c>
      <c r="B932" s="66" t="s">
        <v>871</v>
      </c>
      <c r="C932" s="66" t="s">
        <v>871</v>
      </c>
      <c r="D932" s="67" t="s">
        <v>603</v>
      </c>
      <c r="E932" s="80"/>
      <c r="F932" s="69" t="s">
        <v>50</v>
      </c>
      <c r="G932" s="67" t="s">
        <v>875</v>
      </c>
      <c r="H932" s="70" t="s">
        <v>843</v>
      </c>
    </row>
    <row r="933" spans="1:8" ht="24">
      <c r="A933" s="65" t="s">
        <v>972</v>
      </c>
      <c r="B933" s="66" t="s">
        <v>996</v>
      </c>
      <c r="C933" s="66" t="s">
        <v>1011</v>
      </c>
      <c r="D933" s="67" t="s">
        <v>468</v>
      </c>
      <c r="E933" s="80"/>
      <c r="F933" s="69" t="s">
        <v>50</v>
      </c>
      <c r="G933" s="67" t="s">
        <v>1031</v>
      </c>
      <c r="H933" s="70" t="s">
        <v>210</v>
      </c>
    </row>
    <row r="934" spans="1:8" ht="24">
      <c r="A934" s="65" t="s">
        <v>32</v>
      </c>
      <c r="B934" s="66" t="s">
        <v>247</v>
      </c>
      <c r="C934" s="66" t="s">
        <v>323</v>
      </c>
      <c r="D934" s="79" t="s">
        <v>177</v>
      </c>
      <c r="E934" s="68" t="s">
        <v>250</v>
      </c>
      <c r="F934" s="69" t="s">
        <v>337</v>
      </c>
      <c r="G934" s="67" t="s">
        <v>350</v>
      </c>
      <c r="H934" s="70" t="s">
        <v>176</v>
      </c>
    </row>
    <row r="935" spans="1:8" ht="24">
      <c r="A935" s="65" t="s">
        <v>972</v>
      </c>
      <c r="B935" s="66" t="s">
        <v>983</v>
      </c>
      <c r="C935" s="66" t="s">
        <v>983</v>
      </c>
      <c r="D935" s="90" t="s">
        <v>468</v>
      </c>
      <c r="E935" s="80"/>
      <c r="F935" s="69" t="s">
        <v>48</v>
      </c>
      <c r="G935" s="67" t="s">
        <v>988</v>
      </c>
      <c r="H935" s="70" t="s">
        <v>243</v>
      </c>
    </row>
    <row r="936" spans="1:8">
      <c r="A936" s="65" t="s">
        <v>931</v>
      </c>
      <c r="B936" s="66" t="s">
        <v>36</v>
      </c>
      <c r="C936" s="66" t="s">
        <v>1146</v>
      </c>
      <c r="D936" s="67" t="s">
        <v>36</v>
      </c>
      <c r="E936" s="80"/>
      <c r="F936" s="69" t="s">
        <v>51</v>
      </c>
      <c r="G936" s="67" t="s">
        <v>1147</v>
      </c>
      <c r="H936" s="70" t="s">
        <v>176</v>
      </c>
    </row>
    <row r="937" spans="1:8" ht="24">
      <c r="A937" s="65" t="s">
        <v>839</v>
      </c>
      <c r="B937" s="66" t="s">
        <v>871</v>
      </c>
      <c r="C937" s="66" t="s">
        <v>871</v>
      </c>
      <c r="D937" s="67" t="s">
        <v>822</v>
      </c>
      <c r="E937" s="80"/>
      <c r="F937" s="69" t="s">
        <v>47</v>
      </c>
      <c r="G937" s="67" t="s">
        <v>879</v>
      </c>
      <c r="H937" s="70" t="s">
        <v>843</v>
      </c>
    </row>
    <row r="938" spans="1:8">
      <c r="A938" s="65" t="s">
        <v>839</v>
      </c>
      <c r="B938" s="66" t="s">
        <v>694</v>
      </c>
      <c r="C938" s="66" t="s">
        <v>694</v>
      </c>
      <c r="D938" s="67" t="s">
        <v>603</v>
      </c>
      <c r="E938" s="80"/>
      <c r="F938" s="69" t="s">
        <v>48</v>
      </c>
      <c r="G938" s="67" t="s">
        <v>855</v>
      </c>
      <c r="H938" s="70" t="s">
        <v>843</v>
      </c>
    </row>
    <row r="939" spans="1:8" ht="36">
      <c r="A939" s="65" t="s">
        <v>32</v>
      </c>
      <c r="B939" s="66" t="s">
        <v>408</v>
      </c>
      <c r="C939" s="66" t="s">
        <v>432</v>
      </c>
      <c r="D939" s="67" t="s">
        <v>177</v>
      </c>
      <c r="E939" s="80" t="s">
        <v>415</v>
      </c>
      <c r="F939" s="69" t="s">
        <v>434</v>
      </c>
      <c r="G939" s="67" t="s">
        <v>435</v>
      </c>
      <c r="H939" s="70" t="s">
        <v>176</v>
      </c>
    </row>
    <row r="940" spans="1:8" ht="24">
      <c r="A940" s="65" t="s">
        <v>972</v>
      </c>
      <c r="B940" s="66" t="s">
        <v>1041</v>
      </c>
      <c r="C940" s="66" t="s">
        <v>1042</v>
      </c>
      <c r="D940" s="90" t="s">
        <v>470</v>
      </c>
      <c r="E940" s="80"/>
      <c r="F940" s="69" t="s">
        <v>50</v>
      </c>
      <c r="G940" s="67" t="s">
        <v>1045</v>
      </c>
      <c r="H940" s="70" t="s">
        <v>210</v>
      </c>
    </row>
    <row r="941" spans="1:8" ht="24">
      <c r="A941" s="65" t="s">
        <v>32</v>
      </c>
      <c r="B941" s="66" t="s">
        <v>247</v>
      </c>
      <c r="C941" s="66" t="s">
        <v>383</v>
      </c>
      <c r="D941" s="79" t="s">
        <v>247</v>
      </c>
      <c r="E941" s="68"/>
      <c r="F941" s="69" t="s">
        <v>183</v>
      </c>
      <c r="G941" s="67" t="s">
        <v>396</v>
      </c>
      <c r="H941" s="70" t="s">
        <v>176</v>
      </c>
    </row>
    <row r="942" spans="1:8" ht="24">
      <c r="A942" s="65" t="s">
        <v>32</v>
      </c>
      <c r="B942" s="66" t="s">
        <v>470</v>
      </c>
      <c r="C942" s="66" t="s">
        <v>473</v>
      </c>
      <c r="D942" s="67" t="s">
        <v>470</v>
      </c>
      <c r="E942" s="80"/>
      <c r="F942" s="69" t="s">
        <v>183</v>
      </c>
      <c r="G942" s="67" t="s">
        <v>497</v>
      </c>
      <c r="H942" s="70" t="s">
        <v>176</v>
      </c>
    </row>
    <row r="943" spans="1:8">
      <c r="A943" s="65" t="s">
        <v>32</v>
      </c>
      <c r="B943" s="66" t="s">
        <v>247</v>
      </c>
      <c r="C943" s="66" t="s">
        <v>251</v>
      </c>
      <c r="D943" s="79" t="s">
        <v>177</v>
      </c>
      <c r="E943" s="68" t="s">
        <v>250</v>
      </c>
      <c r="F943" s="69" t="s">
        <v>44</v>
      </c>
      <c r="G943" s="67" t="s">
        <v>256</v>
      </c>
      <c r="H943" s="70" t="s">
        <v>176</v>
      </c>
    </row>
    <row r="944" spans="1:8" ht="24">
      <c r="A944" s="65" t="s">
        <v>931</v>
      </c>
      <c r="B944" s="66" t="s">
        <v>909</v>
      </c>
      <c r="C944" s="66" t="s">
        <v>1098</v>
      </c>
      <c r="D944" s="96" t="s">
        <v>177</v>
      </c>
      <c r="E944" s="92" t="s">
        <v>1110</v>
      </c>
      <c r="F944" s="69" t="s">
        <v>1101</v>
      </c>
      <c r="G944" s="67" t="s">
        <v>1111</v>
      </c>
      <c r="H944" s="70" t="s">
        <v>176</v>
      </c>
    </row>
    <row r="945" spans="1:8">
      <c r="A945" s="65" t="s">
        <v>699</v>
      </c>
      <c r="B945" s="66" t="s">
        <v>720</v>
      </c>
      <c r="C945" s="66" t="s">
        <v>723</v>
      </c>
      <c r="D945" s="67" t="s">
        <v>720</v>
      </c>
      <c r="E945" s="80"/>
      <c r="F945" s="69" t="s">
        <v>47</v>
      </c>
      <c r="G945" s="67" t="s">
        <v>728</v>
      </c>
      <c r="H945" s="70" t="s">
        <v>176</v>
      </c>
    </row>
    <row r="946" spans="1:8" ht="36">
      <c r="A946" s="65" t="s">
        <v>32</v>
      </c>
      <c r="B946" s="66" t="s">
        <v>408</v>
      </c>
      <c r="C946" s="66" t="s">
        <v>413</v>
      </c>
      <c r="D946" s="67" t="s">
        <v>410</v>
      </c>
      <c r="E946" s="80"/>
      <c r="F946" s="69" t="s">
        <v>46</v>
      </c>
      <c r="G946" s="67" t="s">
        <v>426</v>
      </c>
      <c r="H946" s="70" t="s">
        <v>176</v>
      </c>
    </row>
    <row r="947" spans="1:8">
      <c r="A947" s="65" t="s">
        <v>972</v>
      </c>
      <c r="B947" s="66" t="s">
        <v>1041</v>
      </c>
      <c r="C947" s="66" t="s">
        <v>1041</v>
      </c>
      <c r="D947" s="90" t="s">
        <v>468</v>
      </c>
      <c r="E947" s="80"/>
      <c r="F947" s="69" t="s">
        <v>51</v>
      </c>
      <c r="G947" s="67" t="s">
        <v>1066</v>
      </c>
      <c r="H947" s="70" t="s">
        <v>176</v>
      </c>
    </row>
    <row r="948" spans="1:8" ht="24">
      <c r="A948" s="65" t="s">
        <v>839</v>
      </c>
      <c r="B948" s="66" t="s">
        <v>861</v>
      </c>
      <c r="C948" s="66" t="s">
        <v>861</v>
      </c>
      <c r="D948" s="67" t="s">
        <v>451</v>
      </c>
      <c r="E948" s="80"/>
      <c r="F948" s="69" t="s">
        <v>47</v>
      </c>
      <c r="G948" s="67" t="s">
        <v>863</v>
      </c>
      <c r="H948" s="70" t="s">
        <v>843</v>
      </c>
    </row>
    <row r="949" spans="1:8" ht="24">
      <c r="A949" s="65" t="s">
        <v>32</v>
      </c>
      <c r="B949" s="66" t="s">
        <v>470</v>
      </c>
      <c r="C949" s="66" t="s">
        <v>473</v>
      </c>
      <c r="D949" s="67" t="s">
        <v>172</v>
      </c>
      <c r="E949" s="80"/>
      <c r="F949" s="69" t="s">
        <v>480</v>
      </c>
      <c r="G949" s="67" t="s">
        <v>484</v>
      </c>
      <c r="H949" s="70" t="s">
        <v>176</v>
      </c>
    </row>
    <row r="950" spans="1:8" ht="24">
      <c r="A950" s="65" t="s">
        <v>32</v>
      </c>
      <c r="B950" s="66" t="s">
        <v>470</v>
      </c>
      <c r="C950" s="66" t="s">
        <v>534</v>
      </c>
      <c r="D950" s="67" t="s">
        <v>470</v>
      </c>
      <c r="E950" s="80"/>
      <c r="F950" s="69" t="s">
        <v>47</v>
      </c>
      <c r="G950" s="67" t="s">
        <v>553</v>
      </c>
      <c r="H950" s="70" t="s">
        <v>176</v>
      </c>
    </row>
    <row r="951" spans="1:8" ht="36">
      <c r="A951" s="65" t="s">
        <v>1206</v>
      </c>
      <c r="B951" s="66" t="s">
        <v>1303</v>
      </c>
      <c r="C951" s="66" t="s">
        <v>1303</v>
      </c>
      <c r="D951" s="105" t="s">
        <v>177</v>
      </c>
      <c r="E951" s="92" t="s">
        <v>1134</v>
      </c>
      <c r="F951" s="69" t="s">
        <v>514</v>
      </c>
      <c r="G951" s="67" t="s">
        <v>1314</v>
      </c>
      <c r="H951" s="70" t="s">
        <v>176</v>
      </c>
    </row>
    <row r="952" spans="1:8" ht="36">
      <c r="A952" s="65" t="s">
        <v>1363</v>
      </c>
      <c r="B952" s="66" t="s">
        <v>1364</v>
      </c>
      <c r="C952" s="66" t="s">
        <v>1369</v>
      </c>
      <c r="D952" s="66" t="s">
        <v>739</v>
      </c>
      <c r="E952" s="80" t="s">
        <v>740</v>
      </c>
      <c r="F952" s="69" t="s">
        <v>48</v>
      </c>
      <c r="G952" s="67" t="s">
        <v>1374</v>
      </c>
      <c r="H952" s="70" t="s">
        <v>176</v>
      </c>
    </row>
    <row r="953" spans="1:8" ht="36">
      <c r="A953" s="65" t="s">
        <v>32</v>
      </c>
      <c r="B953" s="66" t="s">
        <v>408</v>
      </c>
      <c r="C953" s="66" t="s">
        <v>413</v>
      </c>
      <c r="D953" s="67" t="s">
        <v>410</v>
      </c>
      <c r="E953" s="80"/>
      <c r="F953" s="69" t="s">
        <v>43</v>
      </c>
      <c r="G953" s="67" t="s">
        <v>427</v>
      </c>
      <c r="H953" s="70" t="s">
        <v>210</v>
      </c>
    </row>
    <row r="954" spans="1:8">
      <c r="A954"/>
      <c r="B954"/>
      <c r="C954"/>
      <c r="D954"/>
      <c r="E954"/>
      <c r="F954"/>
      <c r="G954"/>
      <c r="H954"/>
    </row>
    <row r="955" spans="1:8">
      <c r="A955"/>
      <c r="B955"/>
      <c r="C955"/>
      <c r="D955"/>
      <c r="E955"/>
      <c r="F955"/>
      <c r="G955"/>
      <c r="H955"/>
    </row>
    <row r="956" spans="1:8">
      <c r="A956"/>
      <c r="B956"/>
      <c r="C956"/>
      <c r="D956"/>
      <c r="E956"/>
      <c r="F956"/>
      <c r="G956"/>
      <c r="H956"/>
    </row>
    <row r="957" spans="1:8">
      <c r="A957"/>
      <c r="B957"/>
      <c r="C957"/>
      <c r="D957"/>
      <c r="E957"/>
      <c r="F957"/>
      <c r="G957"/>
      <c r="H957"/>
    </row>
    <row r="958" spans="1:8">
      <c r="A958"/>
      <c r="B958"/>
      <c r="C958"/>
      <c r="D958"/>
      <c r="E958"/>
      <c r="F958"/>
      <c r="G958"/>
      <c r="H958"/>
    </row>
    <row r="959" spans="1:8">
      <c r="A959"/>
      <c r="B959"/>
      <c r="C959"/>
      <c r="D959"/>
      <c r="E959"/>
      <c r="F959"/>
      <c r="G959"/>
      <c r="H959"/>
    </row>
    <row r="960" spans="1:8">
      <c r="A960"/>
      <c r="B960"/>
      <c r="C960"/>
      <c r="D960"/>
      <c r="E960"/>
      <c r="F960"/>
      <c r="G960"/>
      <c r="H960"/>
    </row>
    <row r="961" spans="1:8">
      <c r="A961"/>
      <c r="B961"/>
      <c r="C961"/>
      <c r="D961"/>
      <c r="E961"/>
      <c r="F961"/>
      <c r="G961"/>
      <c r="H961"/>
    </row>
    <row r="962" spans="1:8">
      <c r="A962"/>
      <c r="B962"/>
      <c r="C962"/>
      <c r="D962"/>
      <c r="E962"/>
      <c r="F962"/>
      <c r="G962"/>
      <c r="H962"/>
    </row>
    <row r="963" spans="1:8">
      <c r="A963"/>
      <c r="B963"/>
      <c r="C963"/>
      <c r="D963"/>
      <c r="E963"/>
      <c r="F963"/>
      <c r="G963"/>
      <c r="H963"/>
    </row>
    <row r="964" spans="1:8">
      <c r="A964"/>
      <c r="B964"/>
      <c r="C964"/>
      <c r="D964"/>
      <c r="E964"/>
      <c r="F964"/>
      <c r="G964"/>
      <c r="H964"/>
    </row>
    <row r="965" spans="1:8">
      <c r="A965"/>
      <c r="B965"/>
      <c r="C965"/>
      <c r="D965"/>
      <c r="E965"/>
      <c r="F965"/>
      <c r="G965"/>
      <c r="H965"/>
    </row>
    <row r="966" spans="1:8">
      <c r="A966"/>
      <c r="B966"/>
      <c r="C966"/>
      <c r="D966"/>
      <c r="E966"/>
      <c r="F966"/>
      <c r="G966"/>
      <c r="H966"/>
    </row>
    <row r="967" spans="1:8">
      <c r="A967"/>
      <c r="B967"/>
      <c r="C967"/>
      <c r="D967"/>
      <c r="E967"/>
      <c r="F967"/>
      <c r="G967"/>
      <c r="H967"/>
    </row>
    <row r="968" spans="1:8">
      <c r="A968"/>
      <c r="B968"/>
      <c r="C968"/>
      <c r="D968"/>
      <c r="E968"/>
      <c r="F968"/>
      <c r="G968"/>
      <c r="H968"/>
    </row>
    <row r="969" spans="1:8">
      <c r="A969"/>
      <c r="B969"/>
      <c r="C969"/>
      <c r="D969"/>
      <c r="E969"/>
      <c r="F969"/>
      <c r="G969"/>
      <c r="H969"/>
    </row>
    <row r="970" spans="1:8">
      <c r="A970"/>
      <c r="B970"/>
      <c r="C970"/>
      <c r="D970"/>
      <c r="E970"/>
      <c r="F970"/>
      <c r="G970"/>
      <c r="H970"/>
    </row>
    <row r="971" spans="1:8">
      <c r="A971"/>
      <c r="B971"/>
      <c r="C971"/>
      <c r="D971"/>
      <c r="E971"/>
      <c r="F971"/>
      <c r="G971"/>
      <c r="H971"/>
    </row>
    <row r="972" spans="1:8">
      <c r="A972"/>
      <c r="B972"/>
      <c r="C972"/>
      <c r="D972"/>
      <c r="E972"/>
      <c r="F972"/>
      <c r="G972"/>
      <c r="H972"/>
    </row>
    <row r="973" spans="1:8">
      <c r="A973"/>
      <c r="B973"/>
      <c r="C973"/>
      <c r="D973"/>
      <c r="E973"/>
      <c r="F973"/>
      <c r="G973"/>
      <c r="H973"/>
    </row>
    <row r="974" spans="1:8">
      <c r="A974"/>
      <c r="B974"/>
      <c r="C974"/>
      <c r="D974"/>
      <c r="E974"/>
      <c r="F974"/>
      <c r="G974"/>
      <c r="H974"/>
    </row>
    <row r="975" spans="1:8">
      <c r="A975"/>
      <c r="B975"/>
      <c r="C975"/>
      <c r="D975"/>
      <c r="E975"/>
      <c r="F975"/>
      <c r="G975"/>
      <c r="H975"/>
    </row>
    <row r="976" spans="1:8">
      <c r="A976"/>
      <c r="B976"/>
      <c r="C976"/>
      <c r="D976"/>
      <c r="E976"/>
      <c r="F976"/>
      <c r="G976"/>
      <c r="H976"/>
    </row>
    <row r="977" spans="1:8">
      <c r="A977"/>
      <c r="B977"/>
      <c r="C977"/>
      <c r="D977"/>
      <c r="E977"/>
      <c r="F977"/>
      <c r="G977"/>
      <c r="H977"/>
    </row>
    <row r="978" spans="1:8">
      <c r="A978"/>
      <c r="B978"/>
      <c r="C978"/>
      <c r="D978"/>
      <c r="E978"/>
      <c r="F978"/>
      <c r="G978"/>
      <c r="H978"/>
    </row>
    <row r="979" spans="1:8">
      <c r="A979"/>
      <c r="B979"/>
      <c r="C979"/>
      <c r="D979"/>
      <c r="E979"/>
      <c r="F979"/>
      <c r="G979"/>
      <c r="H979"/>
    </row>
    <row r="980" spans="1:8">
      <c r="A980"/>
      <c r="B980"/>
      <c r="C980"/>
      <c r="D980"/>
      <c r="E980"/>
      <c r="F980"/>
      <c r="G980"/>
      <c r="H980"/>
    </row>
    <row r="981" spans="1:8">
      <c r="A981"/>
      <c r="B981"/>
      <c r="C981"/>
      <c r="D981"/>
      <c r="E981"/>
      <c r="F981"/>
      <c r="G981"/>
      <c r="H981"/>
    </row>
    <row r="982" spans="1:8">
      <c r="A982"/>
      <c r="B982"/>
      <c r="C982"/>
      <c r="D982"/>
      <c r="E982"/>
      <c r="F982"/>
      <c r="G982"/>
      <c r="H982"/>
    </row>
    <row r="983" spans="1:8">
      <c r="A983"/>
      <c r="B983"/>
      <c r="C983"/>
      <c r="D983"/>
      <c r="E983"/>
      <c r="F983"/>
      <c r="G983"/>
      <c r="H983"/>
    </row>
    <row r="984" spans="1:8">
      <c r="A984"/>
      <c r="B984"/>
      <c r="C984"/>
      <c r="D984"/>
      <c r="E984"/>
      <c r="F984"/>
      <c r="G984"/>
      <c r="H984"/>
    </row>
    <row r="985" spans="1:8">
      <c r="A985"/>
      <c r="B985"/>
      <c r="C985"/>
      <c r="D985"/>
      <c r="E985"/>
      <c r="F985"/>
      <c r="G985"/>
      <c r="H985"/>
    </row>
    <row r="986" spans="1:8">
      <c r="A986"/>
      <c r="B986"/>
      <c r="C986"/>
      <c r="D986"/>
      <c r="E986"/>
      <c r="F986"/>
      <c r="G986"/>
      <c r="H986"/>
    </row>
    <row r="987" spans="1:8">
      <c r="A987"/>
      <c r="B987"/>
      <c r="C987"/>
      <c r="D987"/>
      <c r="E987"/>
      <c r="F987"/>
      <c r="G987"/>
      <c r="H987"/>
    </row>
    <row r="988" spans="1:8">
      <c r="A988"/>
      <c r="B988"/>
      <c r="C988"/>
      <c r="D988"/>
      <c r="E988"/>
      <c r="F988"/>
      <c r="G988"/>
      <c r="H988"/>
    </row>
    <row r="989" spans="1:8">
      <c r="A989"/>
      <c r="B989"/>
      <c r="C989"/>
      <c r="D989"/>
      <c r="E989"/>
      <c r="F989"/>
      <c r="G989"/>
      <c r="H989"/>
    </row>
    <row r="990" spans="1:8">
      <c r="A990"/>
      <c r="B990"/>
      <c r="C990"/>
      <c r="D990"/>
      <c r="E990"/>
      <c r="F990"/>
      <c r="G990"/>
      <c r="H990"/>
    </row>
    <row r="991" spans="1:8">
      <c r="A991"/>
      <c r="B991"/>
      <c r="C991"/>
      <c r="D991"/>
      <c r="E991"/>
      <c r="F991"/>
      <c r="G991"/>
      <c r="H991"/>
    </row>
    <row r="992" spans="1:8">
      <c r="A992"/>
      <c r="B992"/>
      <c r="C992"/>
      <c r="D992"/>
      <c r="E992"/>
      <c r="F992"/>
      <c r="G992"/>
      <c r="H992"/>
    </row>
    <row r="993" spans="1:8">
      <c r="A993"/>
      <c r="B993"/>
      <c r="C993"/>
      <c r="D993"/>
      <c r="E993"/>
      <c r="F993"/>
      <c r="G993"/>
      <c r="H993"/>
    </row>
    <row r="994" spans="1:8">
      <c r="A994"/>
      <c r="B994"/>
      <c r="C994"/>
      <c r="D994"/>
      <c r="E994"/>
      <c r="F994"/>
      <c r="G994"/>
      <c r="H994"/>
    </row>
    <row r="995" spans="1:8">
      <c r="A995"/>
      <c r="B995"/>
      <c r="C995"/>
      <c r="D995"/>
      <c r="E995"/>
      <c r="F995"/>
      <c r="G995"/>
      <c r="H995"/>
    </row>
    <row r="996" spans="1:8">
      <c r="A996"/>
      <c r="B996"/>
      <c r="C996"/>
      <c r="D996"/>
      <c r="E996"/>
      <c r="F996"/>
      <c r="G996"/>
      <c r="H996"/>
    </row>
    <row r="997" spans="1:8">
      <c r="A997"/>
      <c r="B997"/>
      <c r="C997"/>
      <c r="D997"/>
      <c r="E997"/>
      <c r="F997"/>
      <c r="G997"/>
      <c r="H997"/>
    </row>
    <row r="998" spans="1:8">
      <c r="A998"/>
      <c r="B998"/>
      <c r="C998"/>
      <c r="D998"/>
      <c r="E998"/>
      <c r="F998"/>
      <c r="G998"/>
      <c r="H998"/>
    </row>
    <row r="999" spans="1:8">
      <c r="A999"/>
      <c r="B999"/>
      <c r="C999"/>
      <c r="D999"/>
      <c r="E999"/>
      <c r="F999"/>
      <c r="G999"/>
      <c r="H999"/>
    </row>
    <row r="1000" spans="1:8">
      <c r="A1000"/>
      <c r="B1000"/>
      <c r="C1000"/>
      <c r="D1000"/>
      <c r="E1000"/>
      <c r="F1000"/>
      <c r="G1000"/>
      <c r="H1000"/>
    </row>
    <row r="1001" spans="1:8">
      <c r="A1001"/>
      <c r="B1001"/>
      <c r="C1001"/>
      <c r="D1001"/>
      <c r="E1001"/>
      <c r="F1001"/>
      <c r="G1001"/>
      <c r="H1001"/>
    </row>
    <row r="1002" spans="1:8">
      <c r="A1002"/>
      <c r="B1002"/>
      <c r="C1002"/>
      <c r="D1002"/>
      <c r="E1002"/>
      <c r="F1002"/>
      <c r="G1002"/>
      <c r="H1002"/>
    </row>
    <row r="1003" spans="1:8">
      <c r="A1003"/>
      <c r="B1003"/>
      <c r="C1003"/>
      <c r="D1003"/>
      <c r="E1003"/>
      <c r="F1003"/>
      <c r="G1003"/>
      <c r="H1003"/>
    </row>
    <row r="1004" spans="1:8">
      <c r="A1004"/>
      <c r="B1004"/>
      <c r="C1004"/>
      <c r="D1004"/>
      <c r="E1004"/>
      <c r="F1004"/>
      <c r="G1004"/>
      <c r="H1004"/>
    </row>
    <row r="1005" spans="1:8">
      <c r="A1005"/>
      <c r="B1005"/>
      <c r="C1005"/>
      <c r="D1005"/>
      <c r="E1005"/>
      <c r="F1005"/>
      <c r="G1005"/>
      <c r="H1005"/>
    </row>
    <row r="1006" spans="1:8">
      <c r="A1006"/>
      <c r="B1006"/>
      <c r="C1006"/>
      <c r="D1006"/>
      <c r="E1006"/>
      <c r="F1006"/>
      <c r="G1006"/>
      <c r="H1006"/>
    </row>
    <row r="1007" spans="1:8">
      <c r="A1007"/>
      <c r="B1007"/>
      <c r="C1007"/>
      <c r="D1007"/>
      <c r="E1007"/>
      <c r="F1007"/>
      <c r="G1007"/>
      <c r="H1007"/>
    </row>
    <row r="1008" spans="1:8">
      <c r="A1008"/>
      <c r="B1008"/>
      <c r="C1008"/>
      <c r="D1008"/>
      <c r="E1008"/>
      <c r="F1008"/>
      <c r="G1008"/>
      <c r="H1008"/>
    </row>
    <row r="1009" spans="1:8">
      <c r="A1009"/>
      <c r="B1009"/>
      <c r="C1009"/>
      <c r="D1009"/>
      <c r="E1009"/>
      <c r="F1009"/>
      <c r="G1009"/>
      <c r="H1009"/>
    </row>
    <row r="1010" spans="1:8">
      <c r="A1010"/>
      <c r="B1010"/>
      <c r="C1010"/>
      <c r="D1010"/>
      <c r="E1010"/>
      <c r="F1010"/>
      <c r="G1010"/>
      <c r="H1010"/>
    </row>
    <row r="1011" spans="1:8">
      <c r="A1011"/>
      <c r="B1011"/>
      <c r="C1011"/>
      <c r="D1011"/>
      <c r="E1011"/>
      <c r="F1011"/>
      <c r="G1011"/>
      <c r="H1011"/>
    </row>
    <row r="1012" spans="1:8">
      <c r="A1012"/>
      <c r="B1012"/>
      <c r="C1012"/>
      <c r="D1012"/>
      <c r="E1012"/>
      <c r="F1012"/>
      <c r="G1012"/>
      <c r="H1012"/>
    </row>
    <row r="1013" spans="1:8">
      <c r="A1013"/>
      <c r="B1013"/>
      <c r="C1013"/>
      <c r="D1013"/>
      <c r="E1013"/>
      <c r="F1013"/>
      <c r="G1013"/>
      <c r="H1013"/>
    </row>
    <row r="1014" spans="1:8">
      <c r="A1014"/>
      <c r="B1014"/>
      <c r="C1014"/>
      <c r="D1014"/>
      <c r="E1014"/>
      <c r="F1014"/>
      <c r="G1014"/>
      <c r="H1014"/>
    </row>
    <row r="1015" spans="1:8">
      <c r="A1015"/>
      <c r="B1015"/>
      <c r="C1015"/>
      <c r="D1015"/>
      <c r="E1015"/>
      <c r="F1015"/>
      <c r="G1015"/>
      <c r="H1015"/>
    </row>
    <row r="1016" spans="1:8">
      <c r="A1016"/>
      <c r="B1016"/>
      <c r="C1016"/>
      <c r="D1016"/>
      <c r="E1016"/>
      <c r="F1016"/>
      <c r="G1016"/>
      <c r="H1016"/>
    </row>
    <row r="1017" spans="1:8">
      <c r="A1017"/>
      <c r="B1017"/>
      <c r="C1017"/>
      <c r="D1017"/>
      <c r="E1017"/>
      <c r="F1017"/>
      <c r="G1017"/>
      <c r="H1017"/>
    </row>
    <row r="1018" spans="1:8">
      <c r="A1018"/>
      <c r="B1018"/>
      <c r="C1018"/>
      <c r="D1018"/>
      <c r="E1018"/>
      <c r="F1018"/>
      <c r="G1018"/>
      <c r="H1018"/>
    </row>
    <row r="1019" spans="1:8">
      <c r="A1019"/>
      <c r="B1019"/>
      <c r="C1019"/>
      <c r="D1019"/>
      <c r="E1019"/>
      <c r="F1019"/>
      <c r="G1019"/>
      <c r="H1019"/>
    </row>
    <row r="1020" spans="1:8">
      <c r="A1020"/>
      <c r="B1020"/>
      <c r="C1020"/>
      <c r="D1020"/>
      <c r="E1020"/>
      <c r="F1020"/>
      <c r="G1020"/>
      <c r="H1020"/>
    </row>
    <row r="1021" spans="1:8">
      <c r="A1021"/>
      <c r="B1021"/>
      <c r="C1021"/>
      <c r="D1021"/>
      <c r="E1021"/>
      <c r="F1021"/>
      <c r="G1021"/>
      <c r="H1021"/>
    </row>
    <row r="1022" spans="1:8">
      <c r="A1022"/>
      <c r="B1022"/>
      <c r="C1022"/>
      <c r="D1022"/>
      <c r="E1022"/>
      <c r="F1022"/>
      <c r="G1022"/>
      <c r="H1022"/>
    </row>
    <row r="1023" spans="1:8">
      <c r="A1023"/>
      <c r="B1023"/>
      <c r="C1023"/>
      <c r="D1023"/>
      <c r="E1023"/>
      <c r="F1023"/>
      <c r="G1023"/>
      <c r="H1023"/>
    </row>
    <row r="1024" spans="1:8">
      <c r="A1024"/>
      <c r="B1024"/>
      <c r="C1024"/>
      <c r="D1024"/>
      <c r="E1024"/>
      <c r="F1024"/>
      <c r="G1024"/>
      <c r="H1024"/>
    </row>
    <row r="1025" spans="1:8">
      <c r="A1025"/>
      <c r="B1025"/>
      <c r="C1025"/>
      <c r="D1025"/>
      <c r="E1025"/>
      <c r="F1025"/>
      <c r="G1025"/>
      <c r="H1025"/>
    </row>
    <row r="1026" spans="1:8">
      <c r="A1026"/>
      <c r="B1026"/>
      <c r="C1026"/>
      <c r="D1026"/>
      <c r="E1026"/>
      <c r="F1026"/>
      <c r="G1026"/>
      <c r="H1026"/>
    </row>
    <row r="1027" spans="1:8">
      <c r="A1027"/>
      <c r="B1027"/>
      <c r="C1027"/>
      <c r="D1027"/>
      <c r="E1027"/>
      <c r="F1027"/>
      <c r="G1027"/>
      <c r="H1027"/>
    </row>
    <row r="1028" spans="1:8">
      <c r="A1028"/>
      <c r="B1028"/>
      <c r="C1028"/>
      <c r="D1028"/>
      <c r="E1028"/>
      <c r="F1028"/>
      <c r="G1028"/>
      <c r="H1028"/>
    </row>
    <row r="1029" spans="1:8">
      <c r="A1029"/>
      <c r="B1029"/>
      <c r="C1029"/>
      <c r="D1029"/>
      <c r="E1029"/>
      <c r="F1029"/>
      <c r="G1029"/>
      <c r="H1029"/>
    </row>
    <row r="1030" spans="1:8">
      <c r="A1030"/>
      <c r="B1030"/>
      <c r="C1030"/>
      <c r="D1030"/>
      <c r="E1030"/>
      <c r="F1030"/>
      <c r="G1030"/>
      <c r="H1030"/>
    </row>
    <row r="1031" spans="1:8">
      <c r="A1031"/>
      <c r="B1031"/>
      <c r="C1031"/>
      <c r="D1031"/>
      <c r="E1031"/>
      <c r="F1031"/>
      <c r="G1031"/>
      <c r="H1031"/>
    </row>
    <row r="1032" spans="1:8">
      <c r="A1032"/>
      <c r="B1032"/>
      <c r="C1032"/>
      <c r="D1032"/>
      <c r="E1032"/>
      <c r="F1032"/>
      <c r="G1032"/>
      <c r="H1032"/>
    </row>
    <row r="1033" spans="1:8">
      <c r="A1033"/>
      <c r="B1033"/>
      <c r="C1033"/>
      <c r="D1033"/>
      <c r="E1033"/>
      <c r="F1033"/>
      <c r="G1033"/>
      <c r="H1033"/>
    </row>
    <row r="1034" spans="1:8">
      <c r="A1034"/>
      <c r="B1034"/>
      <c r="C1034"/>
      <c r="D1034"/>
      <c r="E1034"/>
      <c r="F1034"/>
      <c r="G1034"/>
      <c r="H1034"/>
    </row>
    <row r="1035" spans="1:8">
      <c r="A1035"/>
      <c r="B1035"/>
      <c r="C1035"/>
      <c r="D1035"/>
      <c r="E1035"/>
      <c r="F1035"/>
      <c r="G1035"/>
      <c r="H1035"/>
    </row>
    <row r="1036" spans="1:8">
      <c r="A1036"/>
      <c r="B1036"/>
      <c r="C1036"/>
      <c r="D1036"/>
      <c r="E1036"/>
      <c r="F1036"/>
      <c r="G1036"/>
      <c r="H1036"/>
    </row>
    <row r="1037" spans="1:8">
      <c r="A1037"/>
      <c r="B1037"/>
      <c r="C1037"/>
      <c r="D1037"/>
      <c r="E1037"/>
      <c r="F1037"/>
      <c r="G1037"/>
      <c r="H1037"/>
    </row>
    <row r="1038" spans="1:8">
      <c r="A1038"/>
      <c r="B1038"/>
      <c r="C1038"/>
      <c r="D1038"/>
      <c r="E1038"/>
      <c r="F1038"/>
      <c r="G1038"/>
      <c r="H1038"/>
    </row>
    <row r="1039" spans="1:8">
      <c r="A1039"/>
      <c r="B1039"/>
      <c r="C1039"/>
      <c r="D1039"/>
      <c r="E1039"/>
      <c r="F1039"/>
      <c r="G1039"/>
      <c r="H1039"/>
    </row>
    <row r="1040" spans="1:8">
      <c r="A1040"/>
      <c r="B1040"/>
      <c r="C1040"/>
      <c r="D1040"/>
      <c r="E1040"/>
      <c r="F1040"/>
      <c r="G1040"/>
      <c r="H1040"/>
    </row>
    <row r="1041" spans="1:8">
      <c r="A1041"/>
      <c r="B1041"/>
      <c r="C1041"/>
      <c r="D1041"/>
      <c r="E1041"/>
      <c r="F1041"/>
      <c r="G1041"/>
      <c r="H1041"/>
    </row>
    <row r="1042" spans="1:8">
      <c r="A1042"/>
      <c r="B1042"/>
      <c r="C1042"/>
      <c r="D1042"/>
      <c r="E1042"/>
      <c r="F1042"/>
      <c r="G1042"/>
      <c r="H1042"/>
    </row>
    <row r="1043" spans="1:8">
      <c r="A1043"/>
      <c r="B1043"/>
      <c r="C1043"/>
      <c r="D1043"/>
      <c r="E1043"/>
      <c r="F1043"/>
      <c r="G1043"/>
      <c r="H1043"/>
    </row>
    <row r="1044" spans="1:8">
      <c r="A1044"/>
      <c r="B1044"/>
      <c r="C1044"/>
      <c r="D1044"/>
      <c r="E1044"/>
      <c r="F1044"/>
      <c r="G1044"/>
      <c r="H1044"/>
    </row>
    <row r="1045" spans="1:8">
      <c r="A1045"/>
      <c r="B1045"/>
      <c r="C1045"/>
      <c r="D1045"/>
      <c r="E1045"/>
      <c r="F1045"/>
      <c r="G1045"/>
      <c r="H1045"/>
    </row>
    <row r="1046" spans="1:8">
      <c r="A1046"/>
      <c r="B1046"/>
      <c r="C1046"/>
      <c r="D1046"/>
      <c r="E1046"/>
      <c r="F1046"/>
      <c r="G1046"/>
      <c r="H1046"/>
    </row>
    <row r="1047" spans="1:8">
      <c r="A1047"/>
      <c r="B1047"/>
      <c r="C1047"/>
      <c r="D1047"/>
      <c r="E1047"/>
      <c r="F1047"/>
      <c r="G1047"/>
      <c r="H1047"/>
    </row>
    <row r="1048" spans="1:8">
      <c r="A1048"/>
      <c r="B1048"/>
      <c r="C1048"/>
      <c r="D1048"/>
      <c r="E1048"/>
      <c r="F1048"/>
      <c r="G1048"/>
      <c r="H1048"/>
    </row>
    <row r="1049" spans="1:8">
      <c r="A1049"/>
      <c r="B1049"/>
      <c r="C1049"/>
      <c r="D1049"/>
      <c r="E1049"/>
      <c r="F1049"/>
      <c r="G1049"/>
      <c r="H1049"/>
    </row>
    <row r="1050" spans="1:8">
      <c r="A1050"/>
      <c r="B1050"/>
      <c r="C1050"/>
      <c r="D1050"/>
      <c r="E1050"/>
      <c r="F1050"/>
      <c r="G1050"/>
      <c r="H1050"/>
    </row>
    <row r="1051" spans="1:8">
      <c r="A1051"/>
      <c r="B1051"/>
      <c r="C1051"/>
      <c r="D1051"/>
      <c r="E1051"/>
      <c r="F1051"/>
      <c r="G1051"/>
      <c r="H1051"/>
    </row>
    <row r="1052" spans="1:8">
      <c r="A1052"/>
      <c r="B1052"/>
      <c r="C1052"/>
      <c r="D1052"/>
      <c r="E1052"/>
      <c r="F1052"/>
      <c r="G1052"/>
      <c r="H1052"/>
    </row>
    <row r="1053" spans="1:8">
      <c r="A1053"/>
      <c r="B1053"/>
      <c r="C1053"/>
      <c r="D1053"/>
      <c r="E1053"/>
      <c r="F1053"/>
      <c r="G1053"/>
      <c r="H1053"/>
    </row>
    <row r="1054" spans="1:8">
      <c r="A1054"/>
      <c r="B1054"/>
      <c r="C1054"/>
      <c r="D1054"/>
      <c r="E1054"/>
      <c r="F1054"/>
      <c r="G1054"/>
      <c r="H1054"/>
    </row>
    <row r="1055" spans="1:8">
      <c r="A1055"/>
      <c r="B1055"/>
      <c r="C1055"/>
      <c r="D1055"/>
      <c r="E1055"/>
      <c r="F1055"/>
      <c r="G1055"/>
      <c r="H1055"/>
    </row>
    <row r="1056" spans="1:8">
      <c r="A1056"/>
      <c r="B1056"/>
      <c r="C1056"/>
      <c r="D1056"/>
      <c r="E1056"/>
      <c r="F1056"/>
      <c r="G1056"/>
      <c r="H1056"/>
    </row>
    <row r="1057" spans="1:8">
      <c r="A1057"/>
      <c r="B1057"/>
      <c r="C1057"/>
      <c r="D1057"/>
      <c r="E1057"/>
      <c r="F1057"/>
      <c r="G1057"/>
      <c r="H1057"/>
    </row>
    <row r="1058" spans="1:8">
      <c r="A1058"/>
      <c r="B1058"/>
      <c r="C1058"/>
      <c r="D1058"/>
      <c r="E1058"/>
      <c r="F1058"/>
      <c r="G1058"/>
      <c r="H1058"/>
    </row>
    <row r="1059" spans="1:8">
      <c r="A1059"/>
      <c r="B1059"/>
      <c r="C1059"/>
      <c r="D1059"/>
      <c r="E1059"/>
      <c r="F1059"/>
      <c r="G1059"/>
      <c r="H1059"/>
    </row>
    <row r="1060" spans="1:8">
      <c r="A1060"/>
      <c r="B1060"/>
      <c r="C1060"/>
      <c r="D1060"/>
      <c r="E1060"/>
      <c r="F1060"/>
      <c r="G1060"/>
      <c r="H1060"/>
    </row>
    <row r="1061" spans="1:8">
      <c r="A1061"/>
      <c r="B1061"/>
      <c r="C1061"/>
      <c r="D1061"/>
      <c r="E1061"/>
      <c r="F1061"/>
      <c r="G1061"/>
      <c r="H1061"/>
    </row>
    <row r="1062" spans="1:8">
      <c r="A1062"/>
      <c r="B1062"/>
      <c r="C1062"/>
      <c r="D1062"/>
      <c r="E1062"/>
      <c r="F1062"/>
      <c r="G1062"/>
      <c r="H1062"/>
    </row>
    <row r="1063" spans="1:8">
      <c r="A1063"/>
      <c r="B1063"/>
      <c r="C1063"/>
      <c r="D1063"/>
      <c r="E1063"/>
      <c r="F1063"/>
      <c r="G1063"/>
      <c r="H1063"/>
    </row>
    <row r="1064" spans="1:8">
      <c r="A1064"/>
      <c r="B1064"/>
      <c r="C1064"/>
      <c r="D1064"/>
      <c r="E1064"/>
      <c r="F1064"/>
      <c r="G1064"/>
      <c r="H1064"/>
    </row>
    <row r="1065" spans="1:8">
      <c r="A1065"/>
      <c r="B1065"/>
      <c r="C1065"/>
      <c r="D1065"/>
      <c r="E1065"/>
      <c r="F1065"/>
      <c r="G1065"/>
      <c r="H1065"/>
    </row>
    <row r="1066" spans="1:8">
      <c r="A1066"/>
      <c r="B1066"/>
      <c r="C1066"/>
      <c r="D1066"/>
      <c r="E1066"/>
      <c r="F1066"/>
      <c r="G1066"/>
      <c r="H1066"/>
    </row>
    <row r="1067" spans="1:8">
      <c r="A1067"/>
      <c r="B1067"/>
      <c r="C1067"/>
      <c r="D1067"/>
      <c r="E1067"/>
      <c r="F1067"/>
      <c r="G1067"/>
      <c r="H1067"/>
    </row>
    <row r="1068" spans="1:8">
      <c r="A1068"/>
      <c r="B1068"/>
      <c r="C1068"/>
      <c r="D1068"/>
      <c r="E1068"/>
      <c r="F1068"/>
      <c r="G1068"/>
      <c r="H1068"/>
    </row>
    <row r="1069" spans="1:8">
      <c r="A1069"/>
      <c r="B1069"/>
      <c r="C1069"/>
      <c r="D1069"/>
      <c r="E1069"/>
      <c r="F1069"/>
      <c r="G1069"/>
      <c r="H1069"/>
    </row>
    <row r="1070" spans="1:8">
      <c r="A1070"/>
      <c r="B1070"/>
      <c r="C1070"/>
      <c r="D1070"/>
      <c r="E1070"/>
      <c r="F1070"/>
      <c r="G1070"/>
      <c r="H1070"/>
    </row>
    <row r="1071" spans="1:8">
      <c r="A1071"/>
      <c r="B1071"/>
      <c r="C1071"/>
      <c r="D1071"/>
      <c r="E1071"/>
      <c r="F1071"/>
      <c r="G1071"/>
      <c r="H1071"/>
    </row>
    <row r="1072" spans="1:8">
      <c r="A1072"/>
      <c r="B1072"/>
      <c r="C1072"/>
      <c r="D1072"/>
      <c r="E1072"/>
      <c r="F1072"/>
      <c r="G1072"/>
      <c r="H1072"/>
    </row>
    <row r="1073" spans="1:8">
      <c r="A1073"/>
      <c r="B1073"/>
      <c r="C1073"/>
      <c r="D1073"/>
      <c r="E1073"/>
      <c r="F1073"/>
      <c r="G1073"/>
      <c r="H1073"/>
    </row>
    <row r="1074" spans="1:8">
      <c r="A1074"/>
      <c r="B1074"/>
      <c r="C1074"/>
      <c r="D1074"/>
      <c r="E1074"/>
      <c r="F1074"/>
      <c r="G1074"/>
      <c r="H1074"/>
    </row>
    <row r="1075" spans="1:8">
      <c r="A1075"/>
      <c r="B1075"/>
      <c r="C1075"/>
      <c r="D1075"/>
      <c r="E1075"/>
      <c r="F1075"/>
      <c r="G1075"/>
      <c r="H1075"/>
    </row>
    <row r="1076" spans="1:8">
      <c r="A1076"/>
      <c r="B1076"/>
      <c r="C1076"/>
      <c r="D1076"/>
      <c r="E1076"/>
      <c r="F1076"/>
      <c r="G1076"/>
      <c r="H1076"/>
    </row>
    <row r="1077" spans="1:8">
      <c r="A1077"/>
      <c r="B1077"/>
      <c r="C1077"/>
      <c r="D1077"/>
      <c r="E1077"/>
      <c r="F1077"/>
      <c r="G1077"/>
      <c r="H1077"/>
    </row>
    <row r="1078" spans="1:8">
      <c r="A1078"/>
      <c r="B1078"/>
      <c r="C1078"/>
      <c r="D1078"/>
      <c r="E1078"/>
      <c r="F1078"/>
      <c r="G1078"/>
      <c r="H1078"/>
    </row>
    <row r="1079" spans="1:8">
      <c r="A1079"/>
      <c r="B1079"/>
      <c r="C1079"/>
      <c r="D1079"/>
      <c r="E1079"/>
      <c r="F1079"/>
      <c r="G1079"/>
      <c r="H1079"/>
    </row>
    <row r="1080" spans="1:8">
      <c r="A1080"/>
      <c r="B1080"/>
      <c r="C1080"/>
      <c r="D1080"/>
      <c r="E1080"/>
      <c r="F1080"/>
      <c r="G1080"/>
      <c r="H1080"/>
    </row>
    <row r="1081" spans="1:8">
      <c r="A1081"/>
      <c r="B1081"/>
      <c r="C1081"/>
      <c r="D1081"/>
      <c r="E1081"/>
      <c r="F1081"/>
      <c r="G1081"/>
      <c r="H1081"/>
    </row>
    <row r="1082" spans="1:8">
      <c r="A1082"/>
      <c r="B1082"/>
      <c r="C1082"/>
      <c r="D1082"/>
      <c r="E1082"/>
      <c r="F1082"/>
      <c r="G1082"/>
      <c r="H1082"/>
    </row>
    <row r="1083" spans="1:8">
      <c r="A1083"/>
      <c r="B1083"/>
      <c r="C1083"/>
      <c r="D1083"/>
      <c r="E1083"/>
      <c r="F1083"/>
      <c r="G1083"/>
      <c r="H1083"/>
    </row>
    <row r="1084" spans="1:8">
      <c r="A1084"/>
      <c r="B1084"/>
      <c r="C1084"/>
      <c r="D1084"/>
      <c r="E1084"/>
      <c r="F1084"/>
      <c r="G1084"/>
      <c r="H1084"/>
    </row>
    <row r="1085" spans="1:8">
      <c r="A1085"/>
      <c r="B1085"/>
      <c r="C1085"/>
      <c r="D1085"/>
      <c r="E1085"/>
      <c r="F1085"/>
      <c r="G1085"/>
      <c r="H1085"/>
    </row>
    <row r="1086" spans="1:8">
      <c r="A1086"/>
      <c r="B1086"/>
      <c r="C1086"/>
      <c r="D1086"/>
      <c r="E1086"/>
      <c r="F1086"/>
      <c r="G1086"/>
      <c r="H1086"/>
    </row>
    <row r="1087" spans="1:8">
      <c r="A1087"/>
      <c r="B1087"/>
      <c r="C1087"/>
      <c r="D1087"/>
      <c r="E1087"/>
      <c r="F1087"/>
      <c r="G1087"/>
      <c r="H1087"/>
    </row>
    <row r="1088" spans="1:8">
      <c r="A1088"/>
      <c r="B1088"/>
      <c r="C1088"/>
      <c r="D1088"/>
      <c r="E1088"/>
      <c r="F1088"/>
      <c r="G1088"/>
      <c r="H1088"/>
    </row>
    <row r="1089" spans="1:8">
      <c r="A1089"/>
      <c r="B1089"/>
      <c r="C1089"/>
      <c r="D1089"/>
      <c r="E1089"/>
      <c r="F1089"/>
      <c r="G1089"/>
      <c r="H1089"/>
    </row>
    <row r="1090" spans="1:8">
      <c r="A1090"/>
      <c r="B1090"/>
      <c r="C1090"/>
      <c r="D1090"/>
      <c r="E1090"/>
      <c r="F1090"/>
      <c r="G1090"/>
      <c r="H1090"/>
    </row>
    <row r="1091" spans="1:8">
      <c r="A1091"/>
      <c r="B1091"/>
      <c r="C1091"/>
      <c r="D1091"/>
      <c r="E1091"/>
      <c r="F1091"/>
      <c r="G1091"/>
      <c r="H1091"/>
    </row>
    <row r="1092" spans="1:8">
      <c r="A1092"/>
      <c r="B1092"/>
      <c r="C1092"/>
      <c r="D1092"/>
      <c r="E1092"/>
      <c r="F1092"/>
      <c r="G1092"/>
      <c r="H1092"/>
    </row>
    <row r="1093" spans="1:8">
      <c r="A1093"/>
      <c r="B1093"/>
      <c r="C1093"/>
      <c r="D1093"/>
      <c r="E1093"/>
      <c r="F1093"/>
      <c r="G1093"/>
      <c r="H1093"/>
    </row>
    <row r="1094" spans="1:8">
      <c r="A1094"/>
      <c r="B1094"/>
      <c r="C1094"/>
      <c r="D1094"/>
      <c r="E1094"/>
      <c r="F1094"/>
      <c r="G1094"/>
      <c r="H1094"/>
    </row>
    <row r="1095" spans="1:8">
      <c r="A1095"/>
      <c r="B1095"/>
      <c r="C1095"/>
      <c r="D1095"/>
      <c r="E1095"/>
      <c r="F1095"/>
      <c r="G1095"/>
      <c r="H1095"/>
    </row>
    <row r="1096" spans="1:8">
      <c r="A1096"/>
      <c r="B1096"/>
      <c r="C1096"/>
      <c r="D1096"/>
      <c r="E1096"/>
      <c r="F1096"/>
      <c r="G1096"/>
      <c r="H1096"/>
    </row>
    <row r="1097" spans="1:8">
      <c r="A1097"/>
      <c r="B1097"/>
      <c r="C1097"/>
      <c r="D1097"/>
      <c r="E1097"/>
      <c r="F1097"/>
      <c r="G1097"/>
      <c r="H1097"/>
    </row>
    <row r="1098" spans="1:8">
      <c r="A1098"/>
      <c r="B1098"/>
      <c r="C1098"/>
      <c r="D1098"/>
      <c r="E1098"/>
      <c r="F1098"/>
      <c r="G1098"/>
      <c r="H1098"/>
    </row>
    <row r="1099" spans="1:8">
      <c r="A1099"/>
      <c r="B1099"/>
      <c r="C1099"/>
      <c r="D1099"/>
      <c r="E1099"/>
      <c r="F1099"/>
      <c r="G1099"/>
      <c r="H1099"/>
    </row>
    <row r="1100" spans="1:8">
      <c r="A1100"/>
      <c r="B1100"/>
      <c r="C1100"/>
      <c r="D1100"/>
      <c r="E1100"/>
      <c r="F1100"/>
      <c r="G1100"/>
      <c r="H1100"/>
    </row>
    <row r="1101" spans="1:8">
      <c r="A1101"/>
      <c r="B1101"/>
      <c r="C1101"/>
      <c r="D1101"/>
      <c r="E1101"/>
      <c r="F1101"/>
      <c r="G1101"/>
      <c r="H1101"/>
    </row>
    <row r="1102" spans="1:8">
      <c r="A1102"/>
      <c r="B1102"/>
      <c r="C1102"/>
      <c r="D1102"/>
      <c r="E1102"/>
      <c r="F1102"/>
      <c r="G1102"/>
      <c r="H1102"/>
    </row>
    <row r="1103" spans="1:8">
      <c r="A1103"/>
      <c r="B1103"/>
      <c r="C1103"/>
      <c r="D1103"/>
      <c r="E1103"/>
      <c r="F1103"/>
      <c r="G1103"/>
      <c r="H1103"/>
    </row>
    <row r="1104" spans="1:8">
      <c r="A1104"/>
      <c r="B1104"/>
      <c r="C1104"/>
      <c r="D1104"/>
      <c r="E1104"/>
      <c r="F1104"/>
      <c r="G1104"/>
      <c r="H1104"/>
    </row>
    <row r="1105" spans="1:8">
      <c r="A1105"/>
      <c r="B1105"/>
      <c r="C1105"/>
      <c r="D1105"/>
      <c r="E1105"/>
      <c r="F1105"/>
      <c r="G1105"/>
      <c r="H1105"/>
    </row>
    <row r="1106" spans="1:8">
      <c r="A1106"/>
      <c r="B1106"/>
      <c r="C1106"/>
      <c r="D1106"/>
      <c r="E1106"/>
      <c r="F1106"/>
      <c r="G1106"/>
      <c r="H1106"/>
    </row>
    <row r="1107" spans="1:8">
      <c r="A1107"/>
      <c r="B1107"/>
      <c r="C1107"/>
      <c r="D1107"/>
      <c r="E1107"/>
      <c r="F1107"/>
      <c r="G1107"/>
      <c r="H1107"/>
    </row>
    <row r="1108" spans="1:8">
      <c r="A1108"/>
      <c r="B1108"/>
      <c r="C1108"/>
      <c r="D1108"/>
      <c r="E1108"/>
      <c r="F1108"/>
      <c r="G1108"/>
      <c r="H1108"/>
    </row>
    <row r="1109" spans="1:8">
      <c r="A1109"/>
      <c r="B1109"/>
      <c r="C1109"/>
      <c r="D1109"/>
      <c r="E1109"/>
      <c r="F1109"/>
      <c r="G1109"/>
      <c r="H1109"/>
    </row>
    <row r="1110" spans="1:8">
      <c r="A1110"/>
      <c r="B1110"/>
      <c r="C1110"/>
      <c r="D1110"/>
      <c r="E1110"/>
      <c r="F1110"/>
      <c r="G1110"/>
      <c r="H1110"/>
    </row>
    <row r="1111" spans="1:8">
      <c r="A1111"/>
      <c r="B1111"/>
      <c r="C1111"/>
      <c r="D1111"/>
      <c r="E1111"/>
      <c r="F1111"/>
      <c r="G1111"/>
      <c r="H1111"/>
    </row>
    <row r="1112" spans="1:8">
      <c r="A1112"/>
      <c r="B1112"/>
      <c r="C1112"/>
      <c r="D1112"/>
      <c r="E1112"/>
      <c r="F1112"/>
      <c r="G1112"/>
      <c r="H1112"/>
    </row>
    <row r="1113" spans="1:8">
      <c r="A1113"/>
      <c r="B1113"/>
      <c r="C1113"/>
      <c r="D1113"/>
      <c r="E1113"/>
      <c r="F1113"/>
      <c r="G1113"/>
      <c r="H1113"/>
    </row>
    <row r="1114" spans="1:8">
      <c r="A1114"/>
      <c r="B1114"/>
      <c r="C1114"/>
      <c r="D1114"/>
      <c r="E1114"/>
      <c r="F1114"/>
      <c r="G1114"/>
      <c r="H1114"/>
    </row>
    <row r="1115" spans="1:8">
      <c r="A1115"/>
      <c r="B1115"/>
      <c r="C1115"/>
      <c r="D1115"/>
      <c r="E1115"/>
      <c r="F1115"/>
      <c r="G1115"/>
      <c r="H1115"/>
    </row>
    <row r="1116" spans="1:8">
      <c r="A1116"/>
      <c r="B1116"/>
      <c r="C1116"/>
      <c r="D1116"/>
      <c r="E1116"/>
      <c r="F1116"/>
      <c r="G1116"/>
      <c r="H1116"/>
    </row>
    <row r="1117" spans="1:8">
      <c r="A1117"/>
      <c r="B1117"/>
      <c r="C1117"/>
      <c r="D1117"/>
      <c r="E1117"/>
      <c r="F1117"/>
      <c r="G1117"/>
      <c r="H1117"/>
    </row>
    <row r="1118" spans="1:8">
      <c r="A1118"/>
      <c r="B1118"/>
      <c r="C1118"/>
      <c r="D1118"/>
      <c r="E1118"/>
      <c r="F1118"/>
      <c r="G1118"/>
      <c r="H1118"/>
    </row>
    <row r="1119" spans="1:8">
      <c r="A1119"/>
      <c r="B1119"/>
      <c r="C1119"/>
      <c r="D1119"/>
      <c r="E1119"/>
      <c r="F1119"/>
      <c r="G1119"/>
      <c r="H1119"/>
    </row>
    <row r="1120" spans="1:8">
      <c r="A1120"/>
      <c r="B1120"/>
      <c r="C1120"/>
      <c r="D1120"/>
      <c r="E1120"/>
      <c r="F1120"/>
      <c r="G1120"/>
      <c r="H1120"/>
    </row>
    <row r="1121" spans="1:8">
      <c r="A1121"/>
      <c r="B1121"/>
      <c r="C1121"/>
      <c r="D1121"/>
      <c r="E1121"/>
      <c r="F1121"/>
      <c r="G1121"/>
      <c r="H1121"/>
    </row>
    <row r="1122" spans="1:8">
      <c r="A1122"/>
      <c r="B1122"/>
      <c r="C1122"/>
      <c r="D1122"/>
      <c r="E1122"/>
      <c r="F1122"/>
      <c r="G1122"/>
      <c r="H1122"/>
    </row>
    <row r="1123" spans="1:8">
      <c r="A1123"/>
      <c r="B1123"/>
      <c r="C1123"/>
      <c r="D1123"/>
      <c r="E1123"/>
      <c r="F1123"/>
      <c r="G1123"/>
      <c r="H1123"/>
    </row>
    <row r="1124" spans="1:8">
      <c r="A1124"/>
      <c r="B1124"/>
      <c r="C1124"/>
      <c r="D1124"/>
      <c r="E1124"/>
      <c r="F1124"/>
      <c r="G1124"/>
      <c r="H1124"/>
    </row>
    <row r="1125" spans="1:8">
      <c r="A1125"/>
      <c r="B1125"/>
      <c r="C1125"/>
      <c r="D1125"/>
      <c r="E1125"/>
      <c r="F1125"/>
      <c r="G1125"/>
      <c r="H1125"/>
    </row>
    <row r="1126" spans="1:8">
      <c r="A1126"/>
      <c r="B1126"/>
      <c r="C1126"/>
      <c r="D1126"/>
      <c r="E1126"/>
      <c r="F1126"/>
      <c r="G1126"/>
      <c r="H1126"/>
    </row>
    <row r="1127" spans="1:8">
      <c r="A1127"/>
      <c r="B1127"/>
      <c r="C1127"/>
      <c r="D1127"/>
      <c r="E1127"/>
      <c r="F1127"/>
      <c r="G1127"/>
      <c r="H1127"/>
    </row>
    <row r="1128" spans="1:8">
      <c r="A1128"/>
      <c r="B1128"/>
      <c r="C1128"/>
      <c r="D1128"/>
      <c r="E1128"/>
      <c r="F1128"/>
      <c r="G1128"/>
      <c r="H1128"/>
    </row>
    <row r="1129" spans="1:8">
      <c r="A1129"/>
      <c r="B1129"/>
      <c r="C1129"/>
      <c r="D1129"/>
      <c r="E1129"/>
      <c r="F1129"/>
      <c r="G1129"/>
      <c r="H1129"/>
    </row>
    <row r="1130" spans="1:8">
      <c r="A1130"/>
      <c r="B1130"/>
      <c r="C1130"/>
      <c r="D1130"/>
      <c r="E1130"/>
      <c r="F1130"/>
      <c r="G1130"/>
      <c r="H1130"/>
    </row>
    <row r="1131" spans="1:8">
      <c r="A1131"/>
      <c r="B1131"/>
      <c r="C1131"/>
      <c r="D1131"/>
      <c r="E1131"/>
      <c r="F1131"/>
      <c r="G1131"/>
      <c r="H1131"/>
    </row>
    <row r="1132" spans="1:8">
      <c r="A1132"/>
      <c r="B1132"/>
      <c r="C1132"/>
      <c r="D1132"/>
      <c r="E1132"/>
      <c r="F1132"/>
      <c r="G1132"/>
      <c r="H1132"/>
    </row>
    <row r="1133" spans="1:8">
      <c r="A1133"/>
      <c r="B1133"/>
      <c r="C1133"/>
      <c r="D1133"/>
      <c r="E1133"/>
      <c r="F1133"/>
      <c r="G1133"/>
      <c r="H1133"/>
    </row>
    <row r="1134" spans="1:8">
      <c r="A1134"/>
      <c r="B1134"/>
      <c r="C1134"/>
      <c r="D1134"/>
      <c r="E1134"/>
      <c r="F1134"/>
      <c r="G1134"/>
      <c r="H1134"/>
    </row>
    <row r="1135" spans="1:8">
      <c r="A1135"/>
      <c r="B1135"/>
      <c r="C1135"/>
      <c r="D1135"/>
      <c r="E1135"/>
      <c r="F1135"/>
      <c r="G1135"/>
      <c r="H1135"/>
    </row>
    <row r="1136" spans="1:8">
      <c r="A1136"/>
      <c r="B1136"/>
      <c r="C1136"/>
      <c r="D1136"/>
      <c r="E1136"/>
      <c r="F1136"/>
      <c r="G1136"/>
      <c r="H1136"/>
    </row>
    <row r="1137" spans="1:8">
      <c r="A1137"/>
      <c r="B1137"/>
      <c r="C1137"/>
      <c r="D1137"/>
      <c r="E1137"/>
      <c r="F1137"/>
      <c r="G1137"/>
      <c r="H1137"/>
    </row>
    <row r="1138" spans="1:8">
      <c r="A1138"/>
      <c r="B1138"/>
      <c r="C1138"/>
      <c r="D1138"/>
      <c r="E1138"/>
      <c r="F1138"/>
      <c r="G1138"/>
      <c r="H1138"/>
    </row>
    <row r="1139" spans="1:8">
      <c r="A1139"/>
      <c r="B1139"/>
      <c r="C1139"/>
      <c r="D1139"/>
      <c r="E1139"/>
      <c r="F1139"/>
      <c r="G1139"/>
      <c r="H1139"/>
    </row>
    <row r="1140" spans="1:8">
      <c r="A1140"/>
      <c r="B1140"/>
      <c r="C1140"/>
      <c r="D1140"/>
      <c r="E1140"/>
      <c r="F1140"/>
      <c r="G1140"/>
      <c r="H1140"/>
    </row>
    <row r="1141" spans="1:8">
      <c r="A1141"/>
      <c r="B1141"/>
      <c r="C1141"/>
      <c r="D1141"/>
      <c r="E1141"/>
      <c r="F1141"/>
      <c r="G1141"/>
      <c r="H1141"/>
    </row>
    <row r="1142" spans="1:8">
      <c r="A1142"/>
      <c r="B1142"/>
      <c r="C1142"/>
      <c r="D1142"/>
      <c r="E1142"/>
      <c r="F1142"/>
      <c r="G1142"/>
      <c r="H1142"/>
    </row>
    <row r="1143" spans="1:8">
      <c r="A1143"/>
      <c r="B1143"/>
      <c r="C1143"/>
      <c r="D1143"/>
      <c r="E1143"/>
      <c r="F1143"/>
      <c r="G1143"/>
      <c r="H1143"/>
    </row>
    <row r="1144" spans="1:8">
      <c r="A1144"/>
      <c r="B1144"/>
      <c r="C1144"/>
      <c r="D1144"/>
      <c r="E1144"/>
      <c r="F1144"/>
      <c r="G1144"/>
      <c r="H1144"/>
    </row>
    <row r="1145" spans="1:8">
      <c r="A1145"/>
      <c r="B1145"/>
      <c r="C1145"/>
      <c r="D1145"/>
      <c r="E1145"/>
      <c r="F1145"/>
      <c r="G1145"/>
      <c r="H1145"/>
    </row>
    <row r="1146" spans="1:8">
      <c r="A1146"/>
      <c r="B1146"/>
      <c r="C1146"/>
      <c r="D1146"/>
      <c r="E1146"/>
      <c r="F1146"/>
      <c r="G1146"/>
      <c r="H1146"/>
    </row>
    <row r="1147" spans="1:8">
      <c r="A1147"/>
      <c r="B1147"/>
      <c r="C1147"/>
      <c r="D1147"/>
      <c r="E1147"/>
      <c r="F1147"/>
      <c r="G1147"/>
      <c r="H1147"/>
    </row>
    <row r="1148" spans="1:8">
      <c r="A1148"/>
      <c r="B1148"/>
      <c r="C1148"/>
      <c r="D1148"/>
      <c r="E1148"/>
      <c r="F1148"/>
      <c r="G1148"/>
      <c r="H1148"/>
    </row>
    <row r="1149" spans="1:8">
      <c r="A1149"/>
      <c r="B1149"/>
      <c r="C1149"/>
      <c r="D1149"/>
      <c r="E1149"/>
      <c r="F1149"/>
      <c r="G1149"/>
      <c r="H1149"/>
    </row>
    <row r="1150" spans="1:8">
      <c r="A1150"/>
      <c r="B1150"/>
      <c r="C1150"/>
      <c r="D1150"/>
      <c r="E1150"/>
      <c r="F1150"/>
      <c r="G1150"/>
      <c r="H1150"/>
    </row>
    <row r="1151" spans="1:8">
      <c r="A1151"/>
      <c r="B1151"/>
      <c r="C1151"/>
      <c r="D1151"/>
      <c r="E1151"/>
      <c r="F1151"/>
      <c r="G1151"/>
      <c r="H1151"/>
    </row>
    <row r="1152" spans="1:8">
      <c r="A1152"/>
      <c r="B1152"/>
      <c r="C1152"/>
      <c r="D1152"/>
      <c r="E1152"/>
      <c r="F1152"/>
      <c r="G1152"/>
      <c r="H1152"/>
    </row>
    <row r="1153" spans="1:8">
      <c r="A1153"/>
      <c r="B1153"/>
      <c r="C1153"/>
      <c r="D1153"/>
      <c r="E1153"/>
      <c r="F1153"/>
      <c r="G1153"/>
      <c r="H1153"/>
    </row>
    <row r="1154" spans="1:8">
      <c r="A1154"/>
      <c r="B1154"/>
      <c r="C1154"/>
      <c r="D1154"/>
      <c r="E1154"/>
      <c r="F1154"/>
      <c r="G1154"/>
      <c r="H1154"/>
    </row>
    <row r="1155" spans="1:8">
      <c r="A1155"/>
      <c r="B1155"/>
      <c r="C1155"/>
      <c r="D1155"/>
      <c r="E1155"/>
      <c r="F1155"/>
      <c r="G1155"/>
      <c r="H1155"/>
    </row>
    <row r="1156" spans="1:8">
      <c r="A1156"/>
      <c r="B1156"/>
      <c r="C1156"/>
      <c r="D1156"/>
      <c r="E1156"/>
      <c r="F1156"/>
      <c r="G1156"/>
      <c r="H1156"/>
    </row>
    <row r="1157" spans="1:8">
      <c r="A1157"/>
      <c r="B1157"/>
      <c r="C1157"/>
      <c r="D1157"/>
      <c r="E1157"/>
      <c r="F1157"/>
      <c r="G1157"/>
      <c r="H1157"/>
    </row>
    <row r="1158" spans="1:8">
      <c r="A1158"/>
      <c r="B1158"/>
      <c r="C1158"/>
      <c r="D1158"/>
      <c r="E1158"/>
      <c r="F1158"/>
      <c r="G1158"/>
      <c r="H1158"/>
    </row>
    <row r="1159" spans="1:8">
      <c r="A1159"/>
      <c r="B1159"/>
      <c r="C1159"/>
      <c r="D1159"/>
      <c r="E1159"/>
      <c r="F1159"/>
      <c r="G1159"/>
      <c r="H1159"/>
    </row>
    <row r="1160" spans="1:8">
      <c r="A1160"/>
      <c r="B1160"/>
      <c r="C1160"/>
      <c r="D1160"/>
      <c r="E1160"/>
      <c r="F1160"/>
      <c r="G1160"/>
      <c r="H1160"/>
    </row>
    <row r="1161" spans="1:8">
      <c r="A1161"/>
      <c r="B1161"/>
      <c r="C1161"/>
      <c r="D1161"/>
      <c r="E1161"/>
      <c r="F1161"/>
      <c r="G1161"/>
      <c r="H1161"/>
    </row>
    <row r="1162" spans="1:8">
      <c r="A1162"/>
      <c r="B1162"/>
      <c r="C1162"/>
      <c r="D1162"/>
      <c r="E1162"/>
      <c r="F1162"/>
      <c r="G1162"/>
      <c r="H1162"/>
    </row>
    <row r="1163" spans="1:8">
      <c r="A1163"/>
      <c r="B1163"/>
      <c r="C1163"/>
      <c r="D1163"/>
      <c r="E1163"/>
      <c r="F1163"/>
      <c r="G1163"/>
      <c r="H1163"/>
    </row>
    <row r="1164" spans="1:8">
      <c r="A1164"/>
      <c r="B1164"/>
      <c r="C1164"/>
      <c r="D1164"/>
      <c r="E1164"/>
      <c r="F1164"/>
      <c r="G1164"/>
      <c r="H1164"/>
    </row>
    <row r="1165" spans="1:8">
      <c r="A1165"/>
      <c r="B1165"/>
      <c r="C1165"/>
      <c r="D1165"/>
      <c r="E1165"/>
      <c r="F1165"/>
      <c r="G1165"/>
      <c r="H1165"/>
    </row>
    <row r="1166" spans="1:8">
      <c r="A1166"/>
      <c r="B1166"/>
      <c r="C1166"/>
      <c r="D1166"/>
      <c r="E1166"/>
      <c r="F1166"/>
      <c r="G1166"/>
      <c r="H1166"/>
    </row>
    <row r="1167" spans="1:8">
      <c r="A1167"/>
      <c r="B1167"/>
      <c r="C1167"/>
      <c r="D1167"/>
      <c r="E1167"/>
      <c r="F1167"/>
      <c r="G1167"/>
      <c r="H1167"/>
    </row>
    <row r="1168" spans="1:8">
      <c r="A1168"/>
      <c r="B1168"/>
      <c r="C1168"/>
      <c r="D1168"/>
      <c r="E1168"/>
      <c r="F1168"/>
      <c r="G1168"/>
      <c r="H1168"/>
    </row>
    <row r="1169" spans="1:8">
      <c r="A1169"/>
      <c r="B1169"/>
      <c r="C1169"/>
      <c r="D1169"/>
      <c r="E1169"/>
      <c r="F1169"/>
      <c r="G1169"/>
      <c r="H1169"/>
    </row>
    <row r="1170" spans="1:8">
      <c r="A1170"/>
      <c r="B1170"/>
      <c r="C1170"/>
      <c r="D1170"/>
      <c r="E1170"/>
      <c r="F1170"/>
      <c r="G1170"/>
      <c r="H1170"/>
    </row>
    <row r="1171" spans="1:8">
      <c r="A1171"/>
      <c r="B1171"/>
      <c r="C1171"/>
      <c r="D1171"/>
      <c r="E1171"/>
      <c r="F1171"/>
      <c r="G1171"/>
      <c r="H1171"/>
    </row>
    <row r="1172" spans="1:8">
      <c r="A1172"/>
      <c r="B1172"/>
      <c r="C1172"/>
      <c r="D1172"/>
      <c r="E1172"/>
      <c r="F1172"/>
      <c r="G1172"/>
      <c r="H1172"/>
    </row>
    <row r="1173" spans="1:8">
      <c r="A1173"/>
      <c r="B1173"/>
      <c r="C1173"/>
      <c r="D1173"/>
      <c r="E1173"/>
      <c r="F1173"/>
      <c r="G1173"/>
      <c r="H1173"/>
    </row>
    <row r="1174" spans="1:8">
      <c r="A1174"/>
      <c r="B1174"/>
      <c r="C1174"/>
      <c r="D1174"/>
      <c r="E1174"/>
      <c r="F1174"/>
      <c r="G1174"/>
      <c r="H1174"/>
    </row>
    <row r="1175" spans="1:8">
      <c r="A1175"/>
      <c r="B1175"/>
      <c r="C1175"/>
      <c r="D1175"/>
      <c r="E1175"/>
      <c r="F1175"/>
      <c r="G1175"/>
      <c r="H1175"/>
    </row>
    <row r="1176" spans="1:8">
      <c r="A1176"/>
      <c r="B1176"/>
      <c r="C1176"/>
      <c r="D1176"/>
      <c r="E1176"/>
      <c r="F1176"/>
      <c r="G1176"/>
      <c r="H1176"/>
    </row>
    <row r="1177" spans="1:8">
      <c r="A1177"/>
      <c r="B1177"/>
      <c r="C1177"/>
      <c r="D1177"/>
      <c r="E1177"/>
      <c r="F1177"/>
      <c r="G1177"/>
      <c r="H1177"/>
    </row>
    <row r="1178" spans="1:8">
      <c r="A1178"/>
      <c r="B1178"/>
      <c r="C1178"/>
      <c r="D1178"/>
      <c r="E1178"/>
      <c r="F1178"/>
      <c r="G1178"/>
      <c r="H1178"/>
    </row>
    <row r="1179" spans="1:8">
      <c r="A1179"/>
      <c r="B1179"/>
      <c r="C1179"/>
      <c r="D1179"/>
      <c r="E1179"/>
      <c r="F1179"/>
      <c r="G1179"/>
      <c r="H1179"/>
    </row>
    <row r="1180" spans="1:8">
      <c r="A1180"/>
      <c r="B1180"/>
      <c r="C1180"/>
      <c r="D1180"/>
      <c r="E1180"/>
      <c r="F1180"/>
      <c r="G1180"/>
      <c r="H1180"/>
    </row>
    <row r="1181" spans="1:8">
      <c r="A1181"/>
      <c r="B1181"/>
      <c r="C1181"/>
      <c r="D1181"/>
      <c r="E1181"/>
      <c r="F1181"/>
      <c r="G1181"/>
      <c r="H1181"/>
    </row>
    <row r="1182" spans="1:8">
      <c r="A1182"/>
      <c r="B1182"/>
      <c r="C1182"/>
      <c r="D1182"/>
      <c r="E1182"/>
      <c r="F1182"/>
      <c r="G1182"/>
      <c r="H1182"/>
    </row>
    <row r="1183" spans="1:8">
      <c r="A1183"/>
      <c r="B1183"/>
      <c r="C1183"/>
      <c r="D1183"/>
      <c r="E1183"/>
      <c r="F1183"/>
      <c r="G1183"/>
      <c r="H1183"/>
    </row>
    <row r="1184" spans="1:8">
      <c r="A1184"/>
      <c r="B1184"/>
      <c r="C1184"/>
      <c r="D1184"/>
      <c r="E1184"/>
      <c r="F1184"/>
      <c r="G1184"/>
      <c r="H1184"/>
    </row>
    <row r="1185" spans="1:8">
      <c r="A1185"/>
      <c r="B1185"/>
      <c r="C1185"/>
      <c r="D1185"/>
      <c r="E1185"/>
      <c r="F1185"/>
      <c r="G1185"/>
      <c r="H1185"/>
    </row>
    <row r="1186" spans="1:8">
      <c r="A1186"/>
      <c r="B1186"/>
      <c r="C1186"/>
      <c r="D1186"/>
      <c r="E1186"/>
      <c r="F1186"/>
      <c r="G1186"/>
      <c r="H1186"/>
    </row>
    <row r="1187" spans="1:8">
      <c r="A1187"/>
      <c r="B1187"/>
      <c r="C1187"/>
      <c r="D1187"/>
      <c r="E1187"/>
      <c r="F1187"/>
      <c r="G1187"/>
      <c r="H1187"/>
    </row>
    <row r="1188" spans="1:8">
      <c r="A1188"/>
      <c r="B1188"/>
      <c r="C1188"/>
      <c r="D1188"/>
      <c r="E1188"/>
      <c r="F1188"/>
      <c r="G1188"/>
      <c r="H1188"/>
    </row>
    <row r="1189" spans="1:8">
      <c r="A1189"/>
      <c r="B1189"/>
      <c r="C1189"/>
      <c r="D1189"/>
      <c r="E1189"/>
      <c r="F1189"/>
      <c r="G1189"/>
      <c r="H1189"/>
    </row>
    <row r="1190" spans="1:8">
      <c r="A1190"/>
      <c r="B1190"/>
      <c r="C1190"/>
      <c r="D1190"/>
      <c r="E1190"/>
      <c r="F1190"/>
      <c r="G1190"/>
      <c r="H1190"/>
    </row>
    <row r="1191" spans="1:8">
      <c r="A1191"/>
      <c r="B1191"/>
      <c r="C1191"/>
      <c r="D1191"/>
      <c r="E1191"/>
      <c r="F1191"/>
      <c r="G1191"/>
      <c r="H1191"/>
    </row>
    <row r="1192" spans="1:8">
      <c r="A1192"/>
      <c r="B1192"/>
      <c r="C1192"/>
      <c r="D1192"/>
      <c r="E1192"/>
      <c r="F1192"/>
      <c r="G1192"/>
      <c r="H1192"/>
    </row>
    <row r="1193" spans="1:8">
      <c r="A1193"/>
      <c r="B1193"/>
      <c r="C1193"/>
      <c r="D1193"/>
      <c r="E1193"/>
      <c r="F1193"/>
      <c r="G1193"/>
      <c r="H1193"/>
    </row>
    <row r="1194" spans="1:8">
      <c r="A1194"/>
      <c r="B1194"/>
      <c r="C1194"/>
      <c r="D1194"/>
      <c r="E1194"/>
      <c r="F1194"/>
      <c r="G1194"/>
      <c r="H1194"/>
    </row>
    <row r="1195" spans="1:8">
      <c r="A1195"/>
      <c r="B1195"/>
      <c r="C1195"/>
      <c r="D1195"/>
      <c r="E1195"/>
      <c r="F1195"/>
      <c r="G1195"/>
      <c r="H1195"/>
    </row>
    <row r="1196" spans="1:8">
      <c r="A1196"/>
      <c r="B1196"/>
      <c r="C1196"/>
      <c r="D1196"/>
      <c r="E1196"/>
      <c r="F1196"/>
      <c r="G1196"/>
      <c r="H1196"/>
    </row>
    <row r="1197" spans="1:8">
      <c r="A1197"/>
      <c r="B1197"/>
      <c r="C1197"/>
      <c r="D1197"/>
      <c r="E1197"/>
      <c r="F1197"/>
      <c r="G1197"/>
      <c r="H1197"/>
    </row>
    <row r="1198" spans="1:8">
      <c r="A1198"/>
      <c r="B1198"/>
      <c r="C1198"/>
      <c r="D1198"/>
      <c r="E1198"/>
      <c r="F1198"/>
      <c r="G1198"/>
      <c r="H1198"/>
    </row>
    <row r="1199" spans="1:8">
      <c r="A1199"/>
      <c r="B1199"/>
      <c r="C1199"/>
      <c r="D1199"/>
      <c r="E1199"/>
      <c r="F1199"/>
      <c r="G1199"/>
      <c r="H1199"/>
    </row>
    <row r="1200" spans="1:8">
      <c r="A1200"/>
      <c r="B1200"/>
      <c r="C1200"/>
      <c r="D1200"/>
      <c r="E1200"/>
      <c r="F1200"/>
      <c r="G1200"/>
      <c r="H1200"/>
    </row>
    <row r="1201" spans="1:8">
      <c r="A1201"/>
      <c r="B1201"/>
      <c r="C1201"/>
      <c r="D1201"/>
      <c r="E1201"/>
      <c r="F1201"/>
      <c r="G1201"/>
      <c r="H1201"/>
    </row>
    <row r="1202" spans="1:8">
      <c r="A1202"/>
      <c r="B1202"/>
      <c r="C1202"/>
      <c r="D1202"/>
      <c r="E1202"/>
      <c r="F1202"/>
      <c r="G1202"/>
      <c r="H1202"/>
    </row>
    <row r="1203" spans="1:8">
      <c r="A1203"/>
      <c r="B1203"/>
      <c r="C1203"/>
      <c r="D1203"/>
      <c r="E1203"/>
      <c r="F1203"/>
      <c r="G1203"/>
      <c r="H1203"/>
    </row>
    <row r="1204" spans="1:8">
      <c r="A1204"/>
      <c r="B1204"/>
      <c r="C1204"/>
      <c r="D1204"/>
      <c r="E1204"/>
      <c r="F1204"/>
      <c r="G1204"/>
      <c r="H1204"/>
    </row>
    <row r="1205" spans="1:8">
      <c r="A1205"/>
      <c r="B1205"/>
      <c r="C1205"/>
      <c r="D1205"/>
      <c r="E1205"/>
      <c r="F1205"/>
      <c r="G1205"/>
      <c r="H1205"/>
    </row>
    <row r="1206" spans="1:8">
      <c r="A1206"/>
      <c r="B1206"/>
      <c r="C1206"/>
      <c r="D1206"/>
      <c r="E1206"/>
      <c r="F1206"/>
      <c r="G1206"/>
      <c r="H1206"/>
    </row>
    <row r="1207" spans="1:8">
      <c r="A1207"/>
      <c r="B1207"/>
      <c r="C1207"/>
      <c r="D1207"/>
      <c r="E1207"/>
      <c r="F1207"/>
      <c r="G1207"/>
      <c r="H1207"/>
    </row>
    <row r="1208" spans="1:8">
      <c r="A1208"/>
      <c r="B1208"/>
      <c r="C1208"/>
      <c r="D1208"/>
      <c r="E1208"/>
      <c r="F1208"/>
      <c r="G1208"/>
      <c r="H1208"/>
    </row>
    <row r="1209" spans="1:8">
      <c r="A1209"/>
      <c r="B1209"/>
      <c r="C1209"/>
      <c r="D1209"/>
      <c r="E1209"/>
      <c r="F1209"/>
      <c r="G1209"/>
      <c r="H1209"/>
    </row>
    <row r="1210" spans="1:8">
      <c r="A1210"/>
      <c r="B1210"/>
      <c r="C1210"/>
      <c r="D1210"/>
      <c r="E1210"/>
      <c r="F1210"/>
      <c r="G1210"/>
      <c r="H1210"/>
    </row>
    <row r="1211" spans="1:8">
      <c r="A1211"/>
      <c r="B1211"/>
      <c r="C1211"/>
      <c r="D1211"/>
      <c r="E1211"/>
      <c r="F1211"/>
      <c r="G1211"/>
      <c r="H1211"/>
    </row>
    <row r="1212" spans="1:8">
      <c r="A1212"/>
      <c r="B1212"/>
      <c r="C1212"/>
      <c r="D1212"/>
      <c r="E1212"/>
      <c r="F1212"/>
      <c r="G1212"/>
      <c r="H1212"/>
    </row>
    <row r="1213" spans="1:8">
      <c r="A1213"/>
      <c r="B1213"/>
      <c r="C1213"/>
      <c r="D1213"/>
      <c r="E1213"/>
      <c r="F1213"/>
      <c r="G1213"/>
      <c r="H1213"/>
    </row>
    <row r="1214" spans="1:8">
      <c r="A1214"/>
      <c r="B1214"/>
      <c r="C1214"/>
      <c r="D1214"/>
      <c r="E1214"/>
      <c r="F1214"/>
      <c r="G1214"/>
      <c r="H1214"/>
    </row>
    <row r="1215" spans="1:8">
      <c r="A1215"/>
      <c r="B1215"/>
      <c r="C1215"/>
      <c r="D1215"/>
      <c r="E1215"/>
      <c r="F1215"/>
      <c r="G1215"/>
      <c r="H1215"/>
    </row>
    <row r="1216" spans="1:8">
      <c r="A1216"/>
      <c r="B1216"/>
      <c r="C1216"/>
      <c r="D1216"/>
      <c r="E1216"/>
      <c r="F1216"/>
      <c r="G1216"/>
      <c r="H1216"/>
    </row>
    <row r="1217" spans="1:8">
      <c r="A1217"/>
      <c r="B1217"/>
      <c r="C1217"/>
      <c r="D1217"/>
      <c r="E1217"/>
      <c r="F1217"/>
      <c r="G1217"/>
      <c r="H1217"/>
    </row>
    <row r="1218" spans="1:8">
      <c r="A1218"/>
      <c r="B1218"/>
      <c r="C1218"/>
      <c r="D1218"/>
      <c r="E1218"/>
      <c r="F1218"/>
      <c r="G1218"/>
      <c r="H1218"/>
    </row>
    <row r="1219" spans="1:8">
      <c r="A1219"/>
      <c r="B1219"/>
      <c r="C1219"/>
      <c r="D1219"/>
      <c r="E1219"/>
      <c r="F1219"/>
      <c r="G1219"/>
      <c r="H1219"/>
    </row>
    <row r="1220" spans="1:8">
      <c r="A1220"/>
      <c r="B1220"/>
      <c r="C1220"/>
      <c r="D1220"/>
      <c r="E1220"/>
      <c r="F1220"/>
      <c r="G1220"/>
      <c r="H1220"/>
    </row>
    <row r="1221" spans="1:8">
      <c r="A1221"/>
      <c r="B1221"/>
      <c r="C1221"/>
      <c r="D1221"/>
      <c r="E1221"/>
      <c r="F1221"/>
      <c r="G1221"/>
      <c r="H1221"/>
    </row>
    <row r="1222" spans="1:8">
      <c r="A1222"/>
      <c r="B1222"/>
      <c r="C1222"/>
      <c r="D1222"/>
      <c r="E1222"/>
      <c r="F1222"/>
      <c r="G1222"/>
      <c r="H1222"/>
    </row>
    <row r="1223" spans="1:8">
      <c r="A1223"/>
      <c r="B1223"/>
      <c r="C1223"/>
      <c r="D1223"/>
      <c r="E1223"/>
      <c r="F1223"/>
      <c r="G1223"/>
      <c r="H1223"/>
    </row>
    <row r="1224" spans="1:8">
      <c r="A1224"/>
      <c r="B1224"/>
      <c r="C1224"/>
      <c r="D1224"/>
      <c r="E1224"/>
      <c r="F1224"/>
      <c r="G1224"/>
      <c r="H1224"/>
    </row>
    <row r="1225" spans="1:8">
      <c r="A1225"/>
      <c r="B1225"/>
      <c r="C1225"/>
      <c r="D1225"/>
      <c r="E1225"/>
      <c r="F1225"/>
      <c r="G1225"/>
      <c r="H1225"/>
    </row>
    <row r="1226" spans="1:8">
      <c r="A1226"/>
      <c r="B1226"/>
      <c r="C1226"/>
      <c r="D1226"/>
      <c r="E1226"/>
      <c r="F1226"/>
      <c r="G1226"/>
      <c r="H1226"/>
    </row>
    <row r="1227" spans="1:8">
      <c r="A1227"/>
      <c r="B1227"/>
      <c r="C1227"/>
      <c r="D1227"/>
      <c r="E1227"/>
      <c r="F1227"/>
      <c r="G1227"/>
      <c r="H1227"/>
    </row>
    <row r="1228" spans="1:8">
      <c r="A1228"/>
      <c r="B1228"/>
      <c r="C1228"/>
      <c r="D1228"/>
      <c r="E1228"/>
      <c r="F1228"/>
      <c r="G1228"/>
      <c r="H1228"/>
    </row>
    <row r="1229" spans="1:8">
      <c r="A1229"/>
      <c r="B1229"/>
      <c r="C1229"/>
      <c r="D1229"/>
      <c r="E1229"/>
      <c r="F1229"/>
      <c r="G1229"/>
      <c r="H1229"/>
    </row>
    <row r="1230" spans="1:8">
      <c r="A1230"/>
      <c r="B1230"/>
      <c r="C1230"/>
      <c r="D1230"/>
      <c r="E1230"/>
      <c r="F1230"/>
      <c r="G1230"/>
      <c r="H1230"/>
    </row>
    <row r="1231" spans="1:8">
      <c r="A1231"/>
      <c r="B1231"/>
      <c r="C1231"/>
      <c r="D1231"/>
      <c r="E1231"/>
      <c r="F1231"/>
      <c r="G1231"/>
      <c r="H1231"/>
    </row>
    <row r="1232" spans="1:8">
      <c r="A1232"/>
      <c r="B1232"/>
      <c r="C1232"/>
      <c r="D1232"/>
      <c r="E1232"/>
      <c r="F1232"/>
      <c r="G1232"/>
      <c r="H1232"/>
    </row>
    <row r="1233" spans="1:8">
      <c r="A1233"/>
      <c r="B1233"/>
      <c r="C1233"/>
      <c r="D1233"/>
      <c r="E1233"/>
      <c r="F1233"/>
      <c r="G1233"/>
      <c r="H1233"/>
    </row>
    <row r="1234" spans="1:8">
      <c r="A1234"/>
      <c r="B1234"/>
      <c r="C1234"/>
      <c r="D1234"/>
      <c r="E1234"/>
      <c r="F1234"/>
      <c r="G1234"/>
      <c r="H1234"/>
    </row>
    <row r="1235" spans="1:8">
      <c r="A1235"/>
      <c r="B1235"/>
      <c r="C1235"/>
      <c r="D1235"/>
      <c r="E1235"/>
      <c r="F1235"/>
      <c r="G1235"/>
      <c r="H1235"/>
    </row>
    <row r="1236" spans="1:8">
      <c r="A1236"/>
      <c r="B1236"/>
      <c r="C1236"/>
      <c r="D1236"/>
      <c r="E1236"/>
      <c r="F1236"/>
      <c r="G1236"/>
      <c r="H1236"/>
    </row>
    <row r="1237" spans="1:8">
      <c r="A1237"/>
      <c r="B1237"/>
      <c r="C1237"/>
      <c r="D1237"/>
      <c r="E1237"/>
      <c r="F1237"/>
      <c r="G1237"/>
      <c r="H1237"/>
    </row>
    <row r="1238" spans="1:8">
      <c r="A1238"/>
      <c r="B1238"/>
      <c r="C1238"/>
      <c r="D1238"/>
      <c r="E1238"/>
      <c r="F1238"/>
      <c r="G1238"/>
      <c r="H1238"/>
    </row>
    <row r="1239" spans="1:8">
      <c r="A1239"/>
      <c r="B1239"/>
      <c r="C1239"/>
      <c r="D1239"/>
      <c r="E1239"/>
      <c r="F1239"/>
      <c r="G1239"/>
      <c r="H1239"/>
    </row>
    <row r="1240" spans="1:8">
      <c r="A1240"/>
      <c r="B1240"/>
      <c r="C1240"/>
      <c r="D1240"/>
      <c r="E1240"/>
      <c r="F1240"/>
      <c r="G1240"/>
      <c r="H1240"/>
    </row>
    <row r="1241" spans="1:8">
      <c r="A1241"/>
      <c r="B1241"/>
      <c r="C1241"/>
      <c r="D1241"/>
      <c r="E1241"/>
      <c r="F1241"/>
      <c r="G1241"/>
      <c r="H1241"/>
    </row>
    <row r="1242" spans="1:8">
      <c r="A1242"/>
      <c r="B1242"/>
      <c r="C1242"/>
      <c r="D1242"/>
      <c r="E1242"/>
      <c r="F1242"/>
      <c r="G1242"/>
      <c r="H1242"/>
    </row>
    <row r="1243" spans="1:8">
      <c r="A1243"/>
      <c r="B1243"/>
      <c r="C1243"/>
      <c r="D1243"/>
      <c r="E1243"/>
      <c r="F1243"/>
      <c r="G1243"/>
      <c r="H1243"/>
    </row>
    <row r="1244" spans="1:8">
      <c r="A1244"/>
      <c r="B1244"/>
      <c r="C1244"/>
      <c r="D1244"/>
      <c r="E1244"/>
      <c r="F1244"/>
      <c r="G1244"/>
      <c r="H1244"/>
    </row>
    <row r="1245" spans="1:8">
      <c r="A1245"/>
      <c r="B1245"/>
      <c r="C1245"/>
      <c r="D1245"/>
      <c r="E1245"/>
      <c r="F1245"/>
      <c r="G1245"/>
      <c r="H1245"/>
    </row>
    <row r="1246" spans="1:8">
      <c r="A1246"/>
      <c r="B1246"/>
      <c r="C1246"/>
      <c r="D1246"/>
      <c r="E1246"/>
      <c r="F1246"/>
      <c r="G1246"/>
      <c r="H1246"/>
    </row>
    <row r="1247" spans="1:8">
      <c r="A1247"/>
      <c r="B1247"/>
      <c r="C1247"/>
      <c r="D1247"/>
      <c r="E1247"/>
      <c r="F1247"/>
      <c r="G1247"/>
      <c r="H1247"/>
    </row>
    <row r="1248" spans="1:8">
      <c r="A1248"/>
      <c r="B1248"/>
      <c r="C1248"/>
      <c r="D1248"/>
      <c r="E1248"/>
      <c r="F1248"/>
      <c r="G1248"/>
      <c r="H1248"/>
    </row>
    <row r="1249" spans="1:8">
      <c r="A1249"/>
      <c r="B1249"/>
      <c r="C1249"/>
      <c r="D1249"/>
      <c r="E1249"/>
      <c r="F1249"/>
      <c r="G1249"/>
      <c r="H1249"/>
    </row>
    <row r="1250" spans="1:8">
      <c r="A1250"/>
      <c r="B1250"/>
      <c r="C1250"/>
      <c r="D1250"/>
      <c r="E1250"/>
      <c r="F1250"/>
      <c r="G1250"/>
      <c r="H1250"/>
    </row>
    <row r="1251" spans="1:8">
      <c r="A1251"/>
      <c r="B1251"/>
      <c r="C1251"/>
      <c r="D1251"/>
      <c r="E1251"/>
      <c r="F1251"/>
      <c r="G1251"/>
      <c r="H1251"/>
    </row>
    <row r="1252" spans="1:8">
      <c r="A1252"/>
      <c r="B1252"/>
      <c r="C1252"/>
      <c r="D1252"/>
      <c r="E1252"/>
      <c r="F1252"/>
      <c r="G1252"/>
      <c r="H1252"/>
    </row>
    <row r="1253" spans="1:8">
      <c r="A1253"/>
      <c r="B1253"/>
      <c r="C1253"/>
      <c r="D1253"/>
      <c r="E1253"/>
      <c r="F1253"/>
      <c r="G1253"/>
      <c r="H1253"/>
    </row>
    <row r="1254" spans="1:8">
      <c r="A1254"/>
      <c r="B1254"/>
      <c r="C1254"/>
      <c r="D1254"/>
      <c r="E1254"/>
      <c r="F1254"/>
      <c r="G1254"/>
      <c r="H1254"/>
    </row>
    <row r="1255" spans="1:8">
      <c r="A1255"/>
      <c r="B1255"/>
      <c r="C1255"/>
      <c r="D1255"/>
      <c r="E1255"/>
      <c r="F1255"/>
      <c r="G1255"/>
      <c r="H1255"/>
    </row>
    <row r="1256" spans="1:8">
      <c r="A1256"/>
      <c r="B1256"/>
      <c r="C1256"/>
      <c r="D1256"/>
      <c r="E1256"/>
      <c r="F1256"/>
      <c r="G1256"/>
      <c r="H1256"/>
    </row>
    <row r="1257" spans="1:8">
      <c r="A1257"/>
      <c r="B1257"/>
      <c r="C1257"/>
      <c r="D1257"/>
      <c r="E1257"/>
      <c r="F1257"/>
      <c r="G1257"/>
      <c r="H1257"/>
    </row>
    <row r="1258" spans="1:8">
      <c r="A1258"/>
      <c r="B1258"/>
      <c r="C1258"/>
      <c r="D1258"/>
      <c r="E1258"/>
      <c r="F1258"/>
      <c r="G1258"/>
      <c r="H1258"/>
    </row>
    <row r="1259" spans="1:8">
      <c r="A1259"/>
      <c r="B1259"/>
      <c r="C1259"/>
      <c r="D1259"/>
      <c r="E1259"/>
      <c r="F1259"/>
      <c r="G1259"/>
      <c r="H1259"/>
    </row>
    <row r="1260" spans="1:8">
      <c r="A1260"/>
      <c r="B1260"/>
      <c r="C1260"/>
      <c r="D1260"/>
      <c r="E1260"/>
      <c r="F1260"/>
      <c r="G1260"/>
      <c r="H1260"/>
    </row>
    <row r="1261" spans="1:8">
      <c r="A1261"/>
      <c r="B1261"/>
      <c r="C1261"/>
      <c r="D1261"/>
      <c r="E1261"/>
      <c r="F1261"/>
      <c r="G1261"/>
      <c r="H1261"/>
    </row>
    <row r="1262" spans="1:8">
      <c r="A1262"/>
      <c r="B1262"/>
      <c r="C1262"/>
      <c r="D1262"/>
      <c r="E1262"/>
      <c r="F1262"/>
      <c r="G1262"/>
      <c r="H1262"/>
    </row>
    <row r="1263" spans="1:8">
      <c r="A1263"/>
      <c r="B1263"/>
      <c r="C1263"/>
      <c r="D1263"/>
      <c r="E1263"/>
      <c r="F1263"/>
      <c r="G1263"/>
      <c r="H1263"/>
    </row>
    <row r="1264" spans="1:8">
      <c r="A1264"/>
      <c r="B1264"/>
      <c r="C1264"/>
      <c r="D1264"/>
      <c r="E1264"/>
      <c r="F1264"/>
      <c r="G1264"/>
      <c r="H1264"/>
    </row>
    <row r="1265" spans="1:8">
      <c r="A1265"/>
      <c r="B1265"/>
      <c r="C1265"/>
      <c r="D1265"/>
      <c r="E1265"/>
      <c r="F1265"/>
      <c r="G1265"/>
      <c r="H1265"/>
    </row>
    <row r="1266" spans="1:8">
      <c r="A1266"/>
      <c r="B1266"/>
      <c r="C1266"/>
      <c r="D1266"/>
      <c r="E1266"/>
      <c r="F1266"/>
      <c r="G1266"/>
      <c r="H1266"/>
    </row>
    <row r="1267" spans="1:8">
      <c r="A1267"/>
      <c r="B1267"/>
      <c r="C1267"/>
      <c r="D1267"/>
      <c r="E1267"/>
      <c r="F1267"/>
      <c r="G1267"/>
      <c r="H1267"/>
    </row>
    <row r="1268" spans="1:8">
      <c r="A1268"/>
      <c r="B1268"/>
      <c r="C1268"/>
      <c r="D1268"/>
      <c r="E1268"/>
      <c r="F1268"/>
      <c r="G1268"/>
      <c r="H1268"/>
    </row>
    <row r="1269" spans="1:8">
      <c r="A1269"/>
      <c r="B1269"/>
      <c r="C1269"/>
      <c r="D1269"/>
      <c r="E1269"/>
      <c r="F1269"/>
      <c r="G1269"/>
      <c r="H1269"/>
    </row>
    <row r="1270" spans="1:8">
      <c r="A1270"/>
      <c r="B1270"/>
      <c r="C1270"/>
      <c r="D1270"/>
      <c r="E1270"/>
      <c r="F1270"/>
      <c r="G1270"/>
      <c r="H1270"/>
    </row>
    <row r="1271" spans="1:8">
      <c r="A1271"/>
      <c r="B1271"/>
      <c r="C1271"/>
      <c r="D1271"/>
      <c r="E1271"/>
      <c r="F1271"/>
      <c r="G1271"/>
      <c r="H1271"/>
    </row>
    <row r="1272" spans="1:8">
      <c r="A1272"/>
      <c r="B1272"/>
      <c r="C1272"/>
      <c r="D1272"/>
      <c r="E1272"/>
      <c r="F1272"/>
      <c r="G1272"/>
      <c r="H1272"/>
    </row>
    <row r="1273" spans="1:8">
      <c r="A1273"/>
      <c r="B1273"/>
      <c r="C1273"/>
      <c r="D1273"/>
      <c r="E1273"/>
      <c r="F1273"/>
      <c r="G1273"/>
      <c r="H1273"/>
    </row>
    <row r="1274" spans="1:8">
      <c r="A1274"/>
      <c r="B1274"/>
      <c r="C1274"/>
      <c r="D1274"/>
      <c r="E1274"/>
      <c r="F1274"/>
      <c r="G1274"/>
      <c r="H1274"/>
    </row>
    <row r="1275" spans="1:8">
      <c r="A1275"/>
      <c r="B1275"/>
      <c r="C1275"/>
      <c r="D1275"/>
      <c r="E1275"/>
      <c r="F1275"/>
      <c r="G1275"/>
      <c r="H1275"/>
    </row>
    <row r="1276" spans="1:8">
      <c r="A1276"/>
      <c r="B1276"/>
      <c r="C1276"/>
      <c r="D1276"/>
      <c r="E1276"/>
      <c r="F1276"/>
      <c r="G1276"/>
      <c r="H1276"/>
    </row>
    <row r="1277" spans="1:8">
      <c r="A1277"/>
      <c r="B1277"/>
      <c r="C1277"/>
      <c r="D1277"/>
      <c r="E1277"/>
      <c r="F1277"/>
      <c r="G1277"/>
      <c r="H1277"/>
    </row>
    <row r="1278" spans="1:8">
      <c r="A1278"/>
      <c r="B1278"/>
      <c r="C1278"/>
      <c r="D1278"/>
      <c r="E1278"/>
      <c r="F1278"/>
      <c r="G1278"/>
      <c r="H1278"/>
    </row>
    <row r="1279" spans="1:8">
      <c r="A1279"/>
      <c r="B1279"/>
      <c r="C1279"/>
      <c r="D1279"/>
      <c r="E1279"/>
      <c r="F1279"/>
      <c r="G1279"/>
      <c r="H1279"/>
    </row>
    <row r="1280" spans="1:8">
      <c r="A1280"/>
      <c r="B1280"/>
      <c r="C1280"/>
      <c r="D1280"/>
      <c r="E1280"/>
      <c r="F1280"/>
      <c r="G1280"/>
      <c r="H1280"/>
    </row>
    <row r="1281" spans="1:8">
      <c r="A1281"/>
      <c r="B1281"/>
      <c r="C1281"/>
      <c r="D1281"/>
      <c r="E1281"/>
      <c r="F1281"/>
      <c r="G1281"/>
      <c r="H1281"/>
    </row>
    <row r="1282" spans="1:8">
      <c r="A1282"/>
      <c r="B1282"/>
      <c r="C1282"/>
      <c r="D1282"/>
      <c r="E1282"/>
      <c r="F1282"/>
      <c r="G1282"/>
      <c r="H1282"/>
    </row>
    <row r="1283" spans="1:8">
      <c r="A1283"/>
      <c r="B1283"/>
      <c r="C1283"/>
      <c r="D1283"/>
      <c r="E1283"/>
      <c r="F1283"/>
      <c r="G1283"/>
      <c r="H1283"/>
    </row>
    <row r="1284" spans="1:8">
      <c r="A1284"/>
      <c r="B1284"/>
      <c r="C1284"/>
      <c r="D1284"/>
      <c r="E1284"/>
      <c r="F1284"/>
      <c r="G1284"/>
      <c r="H1284"/>
    </row>
    <row r="1285" spans="1:8">
      <c r="A1285"/>
      <c r="B1285"/>
      <c r="C1285"/>
      <c r="D1285"/>
      <c r="E1285"/>
      <c r="F1285"/>
      <c r="G1285"/>
      <c r="H1285"/>
    </row>
    <row r="1286" spans="1:8">
      <c r="A1286"/>
      <c r="B1286"/>
      <c r="C1286"/>
      <c r="D1286"/>
      <c r="E1286"/>
      <c r="F1286"/>
      <c r="G1286"/>
      <c r="H1286"/>
    </row>
    <row r="1287" spans="1:8">
      <c r="A1287"/>
      <c r="B1287"/>
      <c r="C1287"/>
      <c r="D1287"/>
      <c r="E1287"/>
      <c r="F1287"/>
      <c r="G1287"/>
      <c r="H1287"/>
    </row>
    <row r="1288" spans="1:8">
      <c r="A1288"/>
      <c r="B1288"/>
      <c r="C1288"/>
      <c r="D1288"/>
      <c r="E1288"/>
      <c r="F1288"/>
      <c r="G1288"/>
      <c r="H1288"/>
    </row>
    <row r="1289" spans="1:8">
      <c r="A1289"/>
      <c r="B1289"/>
      <c r="C1289"/>
      <c r="D1289"/>
      <c r="E1289"/>
      <c r="F1289"/>
      <c r="G1289"/>
      <c r="H1289"/>
    </row>
    <row r="1290" spans="1:8">
      <c r="A1290"/>
      <c r="B1290"/>
      <c r="C1290"/>
      <c r="D1290"/>
      <c r="E1290"/>
      <c r="F1290"/>
      <c r="G1290"/>
      <c r="H1290"/>
    </row>
    <row r="1291" spans="1:8">
      <c r="A1291"/>
      <c r="B1291"/>
      <c r="C1291"/>
      <c r="D1291"/>
      <c r="E1291"/>
      <c r="F1291"/>
      <c r="G1291"/>
      <c r="H1291"/>
    </row>
    <row r="1292" spans="1:8">
      <c r="A1292"/>
      <c r="B1292"/>
      <c r="C1292"/>
      <c r="D1292"/>
      <c r="E1292"/>
      <c r="F1292"/>
      <c r="G1292"/>
      <c r="H1292"/>
    </row>
    <row r="1293" spans="1:8">
      <c r="A1293"/>
      <c r="B1293"/>
      <c r="C1293"/>
      <c r="D1293"/>
      <c r="E1293"/>
      <c r="F1293"/>
      <c r="G1293"/>
      <c r="H1293"/>
    </row>
    <row r="1294" spans="1:8">
      <c r="A1294"/>
      <c r="B1294"/>
      <c r="C1294"/>
      <c r="D1294"/>
      <c r="E1294"/>
      <c r="F1294"/>
      <c r="G1294"/>
      <c r="H1294"/>
    </row>
    <row r="1295" spans="1:8">
      <c r="A1295"/>
      <c r="B1295"/>
      <c r="C1295"/>
      <c r="D1295"/>
      <c r="E1295"/>
      <c r="F1295"/>
      <c r="G1295"/>
      <c r="H1295"/>
    </row>
    <row r="1296" spans="1:8">
      <c r="A1296"/>
      <c r="B1296"/>
      <c r="C1296"/>
      <c r="D1296"/>
      <c r="E1296"/>
      <c r="F1296"/>
      <c r="G1296"/>
      <c r="H1296"/>
    </row>
    <row r="1297" spans="1:8">
      <c r="A1297"/>
      <c r="B1297"/>
      <c r="C1297"/>
      <c r="D1297"/>
      <c r="E1297"/>
      <c r="F1297"/>
      <c r="G1297"/>
      <c r="H1297"/>
    </row>
    <row r="1298" spans="1:8">
      <c r="A1298"/>
      <c r="B1298"/>
      <c r="C1298"/>
      <c r="D1298"/>
      <c r="E1298"/>
      <c r="F1298"/>
      <c r="G1298"/>
      <c r="H1298"/>
    </row>
    <row r="1299" spans="1:8">
      <c r="A1299"/>
      <c r="B1299"/>
      <c r="C1299"/>
      <c r="D1299"/>
      <c r="E1299"/>
      <c r="F1299"/>
      <c r="G1299"/>
      <c r="H1299"/>
    </row>
    <row r="1300" spans="1:8">
      <c r="A1300"/>
      <c r="B1300"/>
      <c r="C1300"/>
      <c r="D1300"/>
      <c r="E1300"/>
      <c r="F1300"/>
      <c r="G1300"/>
      <c r="H1300"/>
    </row>
    <row r="1301" spans="1:8">
      <c r="A1301"/>
      <c r="B1301"/>
      <c r="C1301"/>
      <c r="D1301"/>
      <c r="E1301"/>
      <c r="F1301"/>
      <c r="G1301"/>
      <c r="H1301"/>
    </row>
    <row r="1302" spans="1:8">
      <c r="A1302"/>
      <c r="B1302"/>
      <c r="C1302"/>
      <c r="D1302"/>
      <c r="E1302"/>
      <c r="F1302"/>
      <c r="G1302"/>
      <c r="H1302"/>
    </row>
    <row r="1303" spans="1:8">
      <c r="A1303"/>
      <c r="B1303"/>
      <c r="C1303"/>
      <c r="D1303"/>
      <c r="E1303"/>
      <c r="F1303"/>
      <c r="G1303"/>
      <c r="H1303"/>
    </row>
    <row r="1304" spans="1:8">
      <c r="A1304"/>
      <c r="B1304"/>
      <c r="C1304"/>
      <c r="D1304"/>
      <c r="E1304"/>
      <c r="F1304"/>
      <c r="G1304"/>
      <c r="H1304"/>
    </row>
    <row r="1305" spans="1:8">
      <c r="A1305"/>
      <c r="B1305"/>
      <c r="C1305"/>
      <c r="D1305"/>
      <c r="E1305"/>
      <c r="F1305"/>
      <c r="G1305"/>
      <c r="H1305"/>
    </row>
    <row r="1306" spans="1:8">
      <c r="A1306"/>
      <c r="B1306"/>
      <c r="C1306"/>
      <c r="D1306"/>
      <c r="E1306"/>
      <c r="F1306"/>
      <c r="G1306"/>
      <c r="H1306"/>
    </row>
    <row r="1307" spans="1:8">
      <c r="A1307"/>
      <c r="B1307"/>
      <c r="C1307"/>
      <c r="D1307"/>
      <c r="E1307"/>
      <c r="F1307"/>
      <c r="G1307"/>
      <c r="H1307"/>
    </row>
    <row r="1308" spans="1:8">
      <c r="A1308"/>
      <c r="B1308"/>
      <c r="C1308"/>
      <c r="D1308"/>
      <c r="E1308"/>
      <c r="F1308"/>
      <c r="G1308"/>
      <c r="H1308"/>
    </row>
    <row r="1309" spans="1:8">
      <c r="A1309"/>
      <c r="B1309"/>
      <c r="C1309"/>
      <c r="D1309"/>
      <c r="E1309"/>
      <c r="F1309"/>
      <c r="G1309"/>
      <c r="H1309"/>
    </row>
    <row r="1310" spans="1:8">
      <c r="A1310"/>
      <c r="B1310"/>
      <c r="C1310"/>
      <c r="D1310"/>
      <c r="E1310"/>
      <c r="F1310"/>
      <c r="G1310"/>
      <c r="H1310"/>
    </row>
    <row r="1311" spans="1:8">
      <c r="A1311"/>
      <c r="B1311"/>
      <c r="C1311"/>
      <c r="D1311"/>
      <c r="E1311"/>
      <c r="F1311"/>
      <c r="G1311"/>
      <c r="H1311"/>
    </row>
    <row r="1312" spans="1:8">
      <c r="A1312"/>
      <c r="B1312"/>
      <c r="C1312"/>
      <c r="D1312"/>
      <c r="E1312"/>
      <c r="F1312"/>
      <c r="G1312"/>
      <c r="H1312"/>
    </row>
    <row r="1313" spans="1:8">
      <c r="A1313"/>
      <c r="B1313"/>
      <c r="C1313"/>
      <c r="D1313"/>
      <c r="E1313"/>
      <c r="F1313"/>
      <c r="G1313"/>
      <c r="H1313"/>
    </row>
    <row r="1314" spans="1:8">
      <c r="A1314"/>
      <c r="B1314"/>
      <c r="C1314"/>
      <c r="D1314"/>
      <c r="E1314"/>
      <c r="F1314"/>
      <c r="G1314"/>
      <c r="H1314"/>
    </row>
    <row r="1315" spans="1:8">
      <c r="A1315"/>
      <c r="B1315"/>
      <c r="C1315"/>
      <c r="D1315"/>
      <c r="E1315"/>
      <c r="F1315"/>
      <c r="G1315"/>
      <c r="H1315"/>
    </row>
    <row r="1316" spans="1:8">
      <c r="A1316"/>
      <c r="B1316"/>
      <c r="C1316"/>
      <c r="D1316"/>
      <c r="E1316"/>
      <c r="F1316"/>
      <c r="G1316"/>
      <c r="H1316"/>
    </row>
    <row r="1317" spans="1:8">
      <c r="A1317"/>
      <c r="B1317"/>
      <c r="C1317"/>
      <c r="D1317"/>
      <c r="E1317"/>
      <c r="F1317"/>
      <c r="G1317"/>
      <c r="H1317"/>
    </row>
    <row r="1318" spans="1:8">
      <c r="A1318"/>
      <c r="B1318"/>
      <c r="C1318"/>
      <c r="D1318"/>
      <c r="E1318"/>
      <c r="F1318"/>
      <c r="G1318"/>
      <c r="H1318"/>
    </row>
    <row r="1319" spans="1:8">
      <c r="A1319"/>
      <c r="B1319"/>
      <c r="C1319"/>
      <c r="D1319"/>
      <c r="E1319"/>
      <c r="F1319"/>
      <c r="G1319"/>
      <c r="H1319"/>
    </row>
    <row r="1320" spans="1:8">
      <c r="A1320"/>
      <c r="B1320"/>
      <c r="C1320"/>
      <c r="D1320"/>
      <c r="E1320"/>
      <c r="F1320"/>
      <c r="G1320"/>
      <c r="H1320"/>
    </row>
    <row r="1321" spans="1:8">
      <c r="A1321"/>
      <c r="B1321"/>
      <c r="C1321"/>
      <c r="D1321"/>
      <c r="E1321"/>
      <c r="F1321"/>
      <c r="G1321"/>
      <c r="H1321"/>
    </row>
    <row r="1322" spans="1:8">
      <c r="A1322"/>
      <c r="B1322"/>
      <c r="C1322"/>
      <c r="D1322"/>
      <c r="E1322"/>
      <c r="F1322"/>
      <c r="G1322"/>
      <c r="H1322"/>
    </row>
    <row r="1323" spans="1:8">
      <c r="A1323"/>
      <c r="B1323"/>
      <c r="C1323"/>
      <c r="D1323"/>
      <c r="E1323"/>
      <c r="F1323"/>
      <c r="G1323"/>
      <c r="H1323"/>
    </row>
    <row r="1324" spans="1:8">
      <c r="A1324"/>
      <c r="B1324"/>
      <c r="C1324"/>
      <c r="D1324"/>
      <c r="E1324"/>
      <c r="F1324"/>
      <c r="G1324"/>
      <c r="H1324"/>
    </row>
    <row r="1325" spans="1:8">
      <c r="A1325"/>
      <c r="B1325"/>
      <c r="C1325"/>
      <c r="D1325"/>
      <c r="E1325"/>
      <c r="F1325"/>
      <c r="G1325"/>
      <c r="H1325"/>
    </row>
    <row r="1326" spans="1:8">
      <c r="A1326"/>
      <c r="B1326"/>
      <c r="C1326"/>
      <c r="D1326"/>
      <c r="E1326"/>
      <c r="F1326"/>
      <c r="G1326"/>
      <c r="H1326"/>
    </row>
    <row r="1327" spans="1:8">
      <c r="A1327"/>
      <c r="B1327"/>
      <c r="C1327"/>
      <c r="D1327"/>
      <c r="E1327"/>
      <c r="F1327"/>
      <c r="G1327"/>
      <c r="H1327"/>
    </row>
    <row r="1328" spans="1:8">
      <c r="A1328"/>
      <c r="B1328"/>
      <c r="C1328"/>
      <c r="D1328"/>
      <c r="E1328"/>
      <c r="F1328"/>
      <c r="G1328"/>
      <c r="H1328"/>
    </row>
    <row r="1329" spans="1:8">
      <c r="A1329"/>
      <c r="B1329"/>
      <c r="C1329"/>
      <c r="D1329"/>
      <c r="E1329"/>
      <c r="F1329"/>
      <c r="G1329"/>
      <c r="H1329"/>
    </row>
    <row r="1330" spans="1:8">
      <c r="A1330"/>
      <c r="B1330"/>
      <c r="C1330"/>
      <c r="D1330"/>
      <c r="E1330"/>
      <c r="F1330"/>
      <c r="G1330"/>
      <c r="H1330"/>
    </row>
    <row r="1331" spans="1:8">
      <c r="A1331"/>
      <c r="B1331"/>
      <c r="C1331"/>
      <c r="D1331"/>
      <c r="E1331"/>
      <c r="F1331"/>
      <c r="G1331"/>
      <c r="H1331"/>
    </row>
    <row r="1332" spans="1:8">
      <c r="A1332"/>
      <c r="B1332"/>
      <c r="C1332"/>
      <c r="D1332"/>
      <c r="E1332"/>
      <c r="F1332"/>
      <c r="G1332"/>
      <c r="H1332"/>
    </row>
    <row r="1333" spans="1:8">
      <c r="A1333"/>
      <c r="B1333"/>
      <c r="C1333"/>
      <c r="D1333"/>
      <c r="E1333"/>
      <c r="F1333"/>
      <c r="G1333"/>
      <c r="H1333"/>
    </row>
    <row r="1334" spans="1:8">
      <c r="A1334"/>
      <c r="B1334"/>
      <c r="C1334"/>
      <c r="D1334"/>
      <c r="E1334"/>
      <c r="F1334"/>
      <c r="G1334"/>
      <c r="H1334"/>
    </row>
    <row r="1335" spans="1:8">
      <c r="A1335"/>
      <c r="B1335"/>
      <c r="C1335"/>
      <c r="D1335"/>
      <c r="E1335"/>
      <c r="F1335"/>
      <c r="G1335"/>
      <c r="H1335"/>
    </row>
    <row r="1336" spans="1:8">
      <c r="A1336"/>
      <c r="B1336"/>
      <c r="C1336"/>
      <c r="D1336"/>
      <c r="E1336"/>
      <c r="F1336"/>
      <c r="G1336"/>
      <c r="H1336"/>
    </row>
    <row r="1337" spans="1:8">
      <c r="A1337"/>
      <c r="B1337"/>
      <c r="C1337"/>
      <c r="D1337"/>
      <c r="E1337"/>
      <c r="F1337"/>
      <c r="G1337"/>
      <c r="H1337"/>
    </row>
    <row r="1338" spans="1:8">
      <c r="A1338"/>
      <c r="B1338"/>
      <c r="C1338"/>
      <c r="D1338"/>
      <c r="E1338"/>
      <c r="F1338"/>
      <c r="G1338"/>
      <c r="H1338"/>
    </row>
    <row r="1339" spans="1:8">
      <c r="A1339"/>
      <c r="B1339"/>
      <c r="C1339"/>
      <c r="D1339"/>
      <c r="E1339"/>
      <c r="F1339"/>
      <c r="G1339"/>
      <c r="H1339"/>
    </row>
    <row r="1340" spans="1:8">
      <c r="A1340"/>
      <c r="B1340"/>
      <c r="C1340"/>
      <c r="D1340"/>
      <c r="E1340"/>
      <c r="F1340"/>
      <c r="G1340"/>
      <c r="H1340"/>
    </row>
    <row r="1341" spans="1:8">
      <c r="A1341"/>
      <c r="B1341"/>
      <c r="C1341"/>
      <c r="D1341"/>
      <c r="E1341"/>
      <c r="F1341"/>
      <c r="G1341"/>
      <c r="H1341"/>
    </row>
    <row r="1342" spans="1:8">
      <c r="A1342"/>
      <c r="B1342"/>
      <c r="C1342"/>
      <c r="D1342"/>
      <c r="E1342"/>
      <c r="F1342"/>
      <c r="G1342"/>
      <c r="H1342"/>
    </row>
    <row r="1343" spans="1:8">
      <c r="A1343"/>
      <c r="B1343"/>
      <c r="C1343"/>
      <c r="D1343"/>
      <c r="E1343"/>
      <c r="F1343"/>
      <c r="G1343"/>
      <c r="H1343"/>
    </row>
    <row r="1344" spans="1:8">
      <c r="A1344"/>
      <c r="B1344"/>
      <c r="C1344"/>
      <c r="D1344"/>
      <c r="E1344"/>
      <c r="F1344"/>
      <c r="G1344"/>
      <c r="H1344"/>
    </row>
    <row r="1345" spans="1:8">
      <c r="A1345"/>
      <c r="B1345"/>
      <c r="C1345"/>
      <c r="D1345"/>
      <c r="E1345"/>
      <c r="F1345"/>
      <c r="G1345"/>
      <c r="H1345"/>
    </row>
    <row r="1346" spans="1:8">
      <c r="A1346"/>
      <c r="B1346"/>
      <c r="C1346"/>
      <c r="D1346"/>
      <c r="E1346"/>
      <c r="F1346"/>
      <c r="G1346"/>
      <c r="H1346"/>
    </row>
    <row r="1347" spans="1:8">
      <c r="A1347"/>
      <c r="B1347"/>
      <c r="C1347"/>
      <c r="D1347"/>
      <c r="E1347"/>
      <c r="F1347"/>
      <c r="G1347"/>
      <c r="H1347"/>
    </row>
    <row r="1348" spans="1:8">
      <c r="A1348"/>
      <c r="B1348"/>
      <c r="C1348"/>
      <c r="D1348"/>
      <c r="E1348"/>
      <c r="F1348"/>
      <c r="G1348"/>
      <c r="H1348"/>
    </row>
    <row r="1349" spans="1:8">
      <c r="A1349"/>
      <c r="B1349"/>
      <c r="C1349"/>
      <c r="D1349"/>
      <c r="E1349"/>
      <c r="F1349"/>
      <c r="G1349"/>
      <c r="H1349"/>
    </row>
    <row r="1350" spans="1:8">
      <c r="A1350"/>
      <c r="B1350"/>
      <c r="C1350"/>
      <c r="D1350"/>
      <c r="E1350"/>
      <c r="F1350"/>
      <c r="G1350"/>
      <c r="H1350"/>
    </row>
    <row r="1351" spans="1:8">
      <c r="A1351"/>
      <c r="B1351"/>
      <c r="C1351"/>
      <c r="D1351"/>
      <c r="E1351"/>
      <c r="F1351"/>
      <c r="G1351"/>
      <c r="H1351"/>
    </row>
    <row r="1352" spans="1:8">
      <c r="A1352"/>
      <c r="B1352"/>
      <c r="C1352"/>
      <c r="D1352"/>
      <c r="E1352"/>
      <c r="F1352"/>
      <c r="G1352"/>
      <c r="H1352"/>
    </row>
    <row r="1353" spans="1:8">
      <c r="A1353"/>
      <c r="B1353"/>
      <c r="C1353"/>
      <c r="D1353"/>
      <c r="E1353"/>
      <c r="F1353"/>
      <c r="G1353"/>
      <c r="H1353"/>
    </row>
    <row r="1354" spans="1:8">
      <c r="A1354"/>
      <c r="B1354"/>
      <c r="C1354"/>
      <c r="D1354"/>
      <c r="E1354"/>
      <c r="F1354"/>
      <c r="G1354"/>
      <c r="H1354"/>
    </row>
    <row r="1355" spans="1:8">
      <c r="A1355"/>
      <c r="B1355"/>
      <c r="C1355"/>
      <c r="D1355"/>
      <c r="E1355"/>
      <c r="F1355"/>
      <c r="G1355"/>
      <c r="H1355"/>
    </row>
    <row r="1356" spans="1:8">
      <c r="A1356"/>
      <c r="B1356"/>
      <c r="C1356"/>
      <c r="D1356"/>
      <c r="E1356"/>
      <c r="F1356"/>
      <c r="G1356"/>
      <c r="H1356"/>
    </row>
    <row r="1357" spans="1:8">
      <c r="A1357"/>
      <c r="B1357"/>
      <c r="C1357"/>
      <c r="D1357"/>
      <c r="E1357"/>
      <c r="F1357"/>
      <c r="G1357"/>
      <c r="H1357"/>
    </row>
    <row r="1358" spans="1:8">
      <c r="A1358"/>
      <c r="B1358"/>
      <c r="C1358"/>
      <c r="D1358"/>
      <c r="E1358"/>
      <c r="F1358"/>
      <c r="G1358"/>
      <c r="H1358"/>
    </row>
    <row r="1359" spans="1:8">
      <c r="A1359"/>
      <c r="B1359"/>
      <c r="C1359"/>
      <c r="D1359"/>
      <c r="E1359"/>
      <c r="F1359"/>
      <c r="G1359"/>
      <c r="H1359"/>
    </row>
    <row r="1360" spans="1:8">
      <c r="A1360"/>
      <c r="B1360"/>
      <c r="C1360"/>
      <c r="D1360"/>
      <c r="E1360"/>
      <c r="F1360"/>
      <c r="G1360"/>
      <c r="H1360"/>
    </row>
    <row r="1361" spans="1:8">
      <c r="A1361"/>
      <c r="B1361"/>
      <c r="C1361"/>
      <c r="D1361"/>
      <c r="E1361"/>
      <c r="F1361"/>
      <c r="G1361"/>
      <c r="H1361"/>
    </row>
    <row r="1362" spans="1:8">
      <c r="A1362"/>
      <c r="B1362"/>
      <c r="C1362"/>
      <c r="D1362"/>
      <c r="E1362"/>
      <c r="F1362"/>
      <c r="G1362"/>
      <c r="H1362"/>
    </row>
    <row r="1363" spans="1:8">
      <c r="A1363"/>
      <c r="B1363"/>
      <c r="C1363"/>
      <c r="D1363"/>
      <c r="E1363"/>
      <c r="F1363"/>
      <c r="G1363"/>
      <c r="H1363"/>
    </row>
    <row r="1364" spans="1:8">
      <c r="A1364"/>
      <c r="B1364"/>
      <c r="C1364"/>
      <c r="D1364"/>
      <c r="E1364"/>
      <c r="F1364"/>
      <c r="G1364"/>
      <c r="H1364"/>
    </row>
    <row r="1365" spans="1:8">
      <c r="A1365"/>
      <c r="B1365"/>
      <c r="C1365"/>
      <c r="D1365"/>
      <c r="E1365"/>
      <c r="F1365"/>
      <c r="G1365"/>
      <c r="H1365"/>
    </row>
    <row r="1366" spans="1:8">
      <c r="A1366"/>
      <c r="B1366"/>
      <c r="C1366"/>
      <c r="D1366"/>
      <c r="E1366"/>
      <c r="F1366"/>
      <c r="G1366"/>
      <c r="H1366"/>
    </row>
    <row r="1367" spans="1:8">
      <c r="A1367"/>
      <c r="B1367"/>
      <c r="C1367"/>
      <c r="D1367"/>
      <c r="E1367"/>
      <c r="F1367"/>
      <c r="G1367"/>
      <c r="H1367"/>
    </row>
    <row r="1368" spans="1:8">
      <c r="A1368"/>
      <c r="B1368"/>
      <c r="C1368"/>
      <c r="D1368"/>
      <c r="E1368"/>
      <c r="F1368"/>
      <c r="G1368"/>
      <c r="H1368"/>
    </row>
    <row r="1369" spans="1:8">
      <c r="A1369"/>
      <c r="B1369"/>
      <c r="C1369"/>
      <c r="D1369"/>
      <c r="E1369"/>
      <c r="F1369"/>
      <c r="G1369"/>
      <c r="H1369"/>
    </row>
    <row r="1370" spans="1:8">
      <c r="A1370"/>
      <c r="B1370"/>
      <c r="C1370"/>
      <c r="D1370"/>
      <c r="E1370"/>
      <c r="F1370"/>
      <c r="G1370"/>
      <c r="H1370"/>
    </row>
    <row r="1371" spans="1:8">
      <c r="A1371"/>
      <c r="B1371"/>
      <c r="C1371"/>
      <c r="D1371"/>
      <c r="E1371"/>
      <c r="F1371"/>
      <c r="G1371"/>
      <c r="H1371"/>
    </row>
    <row r="1372" spans="1:8">
      <c r="A1372"/>
      <c r="B1372"/>
      <c r="C1372"/>
      <c r="D1372"/>
      <c r="E1372"/>
      <c r="F1372"/>
      <c r="G1372"/>
      <c r="H1372"/>
    </row>
    <row r="1373" spans="1:8">
      <c r="A1373"/>
      <c r="B1373"/>
      <c r="C1373"/>
      <c r="D1373"/>
      <c r="E1373"/>
      <c r="F1373"/>
      <c r="G1373"/>
      <c r="H1373"/>
    </row>
    <row r="1374" spans="1:8">
      <c r="A1374"/>
      <c r="B1374"/>
      <c r="C1374"/>
      <c r="D1374"/>
      <c r="E1374"/>
      <c r="F1374"/>
      <c r="G1374"/>
      <c r="H1374"/>
    </row>
    <row r="1375" spans="1:8">
      <c r="A1375"/>
      <c r="B1375"/>
      <c r="C1375"/>
      <c r="D1375"/>
      <c r="E1375"/>
      <c r="F1375"/>
      <c r="G1375"/>
      <c r="H1375"/>
    </row>
    <row r="1376" spans="1:8">
      <c r="A1376"/>
      <c r="B1376"/>
      <c r="C1376"/>
      <c r="D1376"/>
      <c r="E1376"/>
      <c r="F1376"/>
      <c r="G1376"/>
      <c r="H1376"/>
    </row>
    <row r="1377" spans="1:8">
      <c r="A1377"/>
      <c r="B1377"/>
      <c r="C1377"/>
      <c r="D1377"/>
      <c r="E1377"/>
      <c r="F1377"/>
      <c r="G1377"/>
      <c r="H1377"/>
    </row>
    <row r="1378" spans="1:8">
      <c r="A1378"/>
      <c r="B1378"/>
      <c r="C1378"/>
      <c r="D1378"/>
      <c r="E1378"/>
      <c r="F1378"/>
      <c r="G1378"/>
      <c r="H1378"/>
    </row>
    <row r="1379" spans="1:8">
      <c r="A1379"/>
      <c r="B1379"/>
      <c r="C1379"/>
      <c r="D1379"/>
      <c r="E1379"/>
      <c r="F1379"/>
      <c r="G1379"/>
      <c r="H1379"/>
    </row>
    <row r="1380" spans="1:8">
      <c r="A1380"/>
      <c r="B1380"/>
      <c r="C1380"/>
      <c r="D1380"/>
      <c r="E1380"/>
      <c r="F1380"/>
      <c r="G1380"/>
      <c r="H1380"/>
    </row>
    <row r="1381" spans="1:8">
      <c r="A1381"/>
      <c r="B1381"/>
      <c r="C1381"/>
      <c r="D1381"/>
      <c r="E1381"/>
      <c r="F1381"/>
      <c r="G1381"/>
      <c r="H1381"/>
    </row>
    <row r="1382" spans="1:8">
      <c r="A1382"/>
      <c r="B1382"/>
      <c r="C1382"/>
      <c r="D1382"/>
      <c r="E1382"/>
      <c r="F1382"/>
      <c r="G1382"/>
      <c r="H1382"/>
    </row>
    <row r="1383" spans="1:8">
      <c r="A1383"/>
      <c r="B1383"/>
      <c r="C1383"/>
      <c r="D1383"/>
      <c r="E1383"/>
      <c r="F1383"/>
      <c r="G1383"/>
      <c r="H1383"/>
    </row>
    <row r="1384" spans="1:8">
      <c r="A1384"/>
      <c r="B1384"/>
      <c r="C1384"/>
      <c r="D1384"/>
      <c r="E1384"/>
      <c r="F1384"/>
      <c r="G1384"/>
      <c r="H1384"/>
    </row>
    <row r="1385" spans="1:8">
      <c r="A1385"/>
      <c r="B1385"/>
      <c r="C1385"/>
      <c r="D1385"/>
      <c r="E1385"/>
      <c r="F1385"/>
      <c r="G1385"/>
      <c r="H1385"/>
    </row>
    <row r="1386" spans="1:8">
      <c r="A1386"/>
      <c r="B1386"/>
      <c r="C1386"/>
      <c r="D1386"/>
      <c r="E1386"/>
      <c r="F1386"/>
      <c r="G1386"/>
      <c r="H1386"/>
    </row>
    <row r="1387" spans="1:8">
      <c r="A1387"/>
      <c r="B1387"/>
      <c r="C1387"/>
      <c r="D1387"/>
      <c r="E1387"/>
      <c r="F1387"/>
      <c r="G1387"/>
      <c r="H1387"/>
    </row>
    <row r="1388" spans="1:8">
      <c r="A1388"/>
      <c r="B1388"/>
      <c r="C1388"/>
      <c r="D1388"/>
      <c r="E1388"/>
      <c r="F1388"/>
      <c r="G1388"/>
      <c r="H1388"/>
    </row>
    <row r="1389" spans="1:8">
      <c r="A1389"/>
      <c r="B1389"/>
      <c r="C1389"/>
      <c r="D1389"/>
      <c r="E1389"/>
      <c r="F1389"/>
      <c r="G1389"/>
      <c r="H1389"/>
    </row>
    <row r="1390" spans="1:8">
      <c r="A1390"/>
      <c r="B1390"/>
      <c r="C1390"/>
      <c r="D1390"/>
      <c r="E1390"/>
      <c r="F1390"/>
      <c r="G1390"/>
      <c r="H1390"/>
    </row>
    <row r="1391" spans="1:8">
      <c r="A1391"/>
      <c r="B1391"/>
      <c r="C1391"/>
      <c r="D1391"/>
      <c r="E1391"/>
      <c r="F1391"/>
      <c r="G1391"/>
      <c r="H1391"/>
    </row>
    <row r="1392" spans="1:8">
      <c r="A1392"/>
      <c r="B1392"/>
      <c r="C1392"/>
      <c r="D1392"/>
      <c r="E1392"/>
      <c r="F1392"/>
      <c r="G1392"/>
      <c r="H1392"/>
    </row>
    <row r="1393" spans="1:8">
      <c r="A1393"/>
      <c r="B1393"/>
      <c r="C1393"/>
      <c r="D1393"/>
      <c r="E1393"/>
      <c r="F1393"/>
      <c r="G1393"/>
      <c r="H1393"/>
    </row>
    <row r="1394" spans="1:8">
      <c r="A1394"/>
      <c r="B1394"/>
      <c r="C1394"/>
      <c r="D1394"/>
      <c r="E1394"/>
      <c r="F1394"/>
      <c r="G1394"/>
      <c r="H1394"/>
    </row>
    <row r="1395" spans="1:8">
      <c r="A1395"/>
      <c r="B1395"/>
      <c r="C1395"/>
      <c r="D1395"/>
      <c r="E1395"/>
      <c r="F1395"/>
      <c r="G1395"/>
      <c r="H1395"/>
    </row>
    <row r="1396" spans="1:8">
      <c r="A1396"/>
      <c r="B1396"/>
      <c r="C1396"/>
      <c r="D1396"/>
      <c r="E1396"/>
      <c r="F1396"/>
      <c r="G1396"/>
      <c r="H1396"/>
    </row>
    <row r="1397" spans="1:8">
      <c r="A1397"/>
      <c r="B1397"/>
      <c r="C1397"/>
      <c r="D1397"/>
      <c r="E1397"/>
      <c r="F1397"/>
      <c r="G1397"/>
      <c r="H1397"/>
    </row>
    <row r="1398" spans="1:8">
      <c r="A1398"/>
      <c r="B1398"/>
      <c r="C1398"/>
      <c r="D1398"/>
      <c r="E1398"/>
      <c r="F1398"/>
      <c r="G1398"/>
      <c r="H1398"/>
    </row>
    <row r="1399" spans="1:8">
      <c r="A1399"/>
      <c r="B1399"/>
      <c r="C1399"/>
      <c r="D1399"/>
      <c r="E1399"/>
      <c r="F1399"/>
      <c r="G1399"/>
      <c r="H1399"/>
    </row>
    <row r="1400" spans="1:8">
      <c r="A1400"/>
      <c r="B1400"/>
      <c r="C1400"/>
      <c r="D1400"/>
      <c r="E1400"/>
      <c r="F1400"/>
      <c r="G1400"/>
      <c r="H1400"/>
    </row>
    <row r="1401" spans="1:8">
      <c r="A1401"/>
      <c r="B1401"/>
      <c r="C1401"/>
      <c r="D1401"/>
      <c r="E1401"/>
      <c r="F1401"/>
      <c r="G1401"/>
      <c r="H1401"/>
    </row>
    <row r="1402" spans="1:8">
      <c r="A1402"/>
      <c r="B1402"/>
      <c r="C1402"/>
      <c r="D1402"/>
      <c r="E1402"/>
      <c r="F1402"/>
      <c r="G1402"/>
      <c r="H1402"/>
    </row>
    <row r="1403" spans="1:8">
      <c r="A1403"/>
      <c r="B1403"/>
      <c r="C1403"/>
      <c r="D1403"/>
      <c r="E1403"/>
      <c r="F1403"/>
      <c r="G1403"/>
      <c r="H1403"/>
    </row>
    <row r="1404" spans="1:8">
      <c r="A1404"/>
      <c r="B1404"/>
      <c r="C1404"/>
      <c r="D1404"/>
      <c r="E1404"/>
      <c r="F1404"/>
      <c r="G1404"/>
      <c r="H1404"/>
    </row>
    <row r="1405" spans="1:8">
      <c r="A1405"/>
      <c r="B1405"/>
      <c r="C1405"/>
      <c r="D1405"/>
      <c r="E1405"/>
      <c r="F1405"/>
      <c r="G1405"/>
      <c r="H1405"/>
    </row>
    <row r="1406" spans="1:8">
      <c r="A1406"/>
      <c r="B1406"/>
      <c r="C1406"/>
      <c r="D1406"/>
      <c r="E1406"/>
      <c r="F1406"/>
      <c r="G1406"/>
      <c r="H1406"/>
    </row>
    <row r="1407" spans="1:8">
      <c r="A1407"/>
      <c r="B1407"/>
      <c r="C1407"/>
      <c r="D1407"/>
      <c r="E1407"/>
      <c r="F1407"/>
      <c r="G1407"/>
      <c r="H1407"/>
    </row>
    <row r="1408" spans="1:8">
      <c r="A1408"/>
      <c r="B1408"/>
      <c r="C1408"/>
      <c r="D1408"/>
      <c r="E1408"/>
      <c r="F1408"/>
      <c r="G1408"/>
      <c r="H1408"/>
    </row>
    <row r="1409" spans="1:8">
      <c r="A1409"/>
      <c r="B1409"/>
      <c r="C1409"/>
      <c r="D1409"/>
      <c r="E1409"/>
      <c r="F1409"/>
      <c r="G1409"/>
      <c r="H1409"/>
    </row>
    <row r="1410" spans="1:8">
      <c r="A1410"/>
      <c r="B1410"/>
      <c r="C1410"/>
      <c r="D1410"/>
      <c r="E1410"/>
      <c r="F1410"/>
      <c r="G1410"/>
      <c r="H1410"/>
    </row>
    <row r="1411" spans="1:8">
      <c r="A1411"/>
      <c r="B1411"/>
      <c r="C1411"/>
      <c r="D1411"/>
      <c r="E1411"/>
      <c r="F1411"/>
      <c r="G1411"/>
      <c r="H1411"/>
    </row>
    <row r="1412" spans="1:8">
      <c r="A1412"/>
      <c r="B1412"/>
      <c r="C1412"/>
      <c r="D1412"/>
      <c r="E1412"/>
      <c r="F1412"/>
      <c r="G1412"/>
      <c r="H1412"/>
    </row>
    <row r="1413" spans="1:8">
      <c r="A1413"/>
      <c r="B1413"/>
      <c r="C1413"/>
      <c r="D1413"/>
      <c r="E1413"/>
      <c r="F1413"/>
      <c r="G1413"/>
      <c r="H1413"/>
    </row>
    <row r="1414" spans="1:8">
      <c r="A1414"/>
      <c r="B1414"/>
      <c r="C1414"/>
      <c r="D1414"/>
      <c r="E1414"/>
      <c r="F1414"/>
      <c r="G1414"/>
      <c r="H1414"/>
    </row>
    <row r="1415" spans="1:8">
      <c r="A1415"/>
      <c r="B1415"/>
      <c r="C1415"/>
      <c r="D1415"/>
      <c r="E1415"/>
      <c r="F1415"/>
      <c r="G1415"/>
      <c r="H1415"/>
    </row>
    <row r="1416" spans="1:8">
      <c r="A1416"/>
      <c r="B1416"/>
      <c r="C1416"/>
      <c r="D1416"/>
      <c r="E1416"/>
      <c r="F1416"/>
      <c r="G1416"/>
      <c r="H1416"/>
    </row>
    <row r="1417" spans="1:8">
      <c r="A1417"/>
      <c r="B1417"/>
      <c r="C1417"/>
      <c r="D1417"/>
      <c r="E1417"/>
      <c r="F1417"/>
      <c r="G1417"/>
      <c r="H1417"/>
    </row>
    <row r="1418" spans="1:8">
      <c r="A1418"/>
      <c r="B1418"/>
      <c r="C1418"/>
      <c r="D1418"/>
      <c r="E1418"/>
      <c r="F1418"/>
      <c r="G1418"/>
      <c r="H1418"/>
    </row>
    <row r="1419" spans="1:8">
      <c r="A1419"/>
      <c r="B1419"/>
      <c r="C1419"/>
      <c r="D1419"/>
      <c r="E1419"/>
      <c r="F1419"/>
      <c r="G1419"/>
      <c r="H1419"/>
    </row>
    <row r="1420" spans="1:8">
      <c r="A1420"/>
      <c r="B1420"/>
      <c r="C1420"/>
      <c r="D1420"/>
      <c r="E1420"/>
      <c r="F1420"/>
      <c r="G1420"/>
      <c r="H1420"/>
    </row>
    <row r="1421" spans="1:8">
      <c r="A1421"/>
      <c r="B1421"/>
      <c r="C1421"/>
      <c r="D1421"/>
      <c r="E1421"/>
      <c r="F1421"/>
      <c r="G1421"/>
      <c r="H1421"/>
    </row>
    <row r="1422" spans="1:8">
      <c r="A1422"/>
      <c r="B1422"/>
      <c r="C1422"/>
      <c r="D1422"/>
      <c r="E1422"/>
      <c r="F1422"/>
      <c r="G1422"/>
      <c r="H1422"/>
    </row>
    <row r="1423" spans="1:8">
      <c r="A1423"/>
      <c r="B1423"/>
      <c r="C1423"/>
      <c r="D1423"/>
      <c r="E1423"/>
      <c r="F1423"/>
      <c r="G1423"/>
      <c r="H1423"/>
    </row>
    <row r="1424" spans="1:8">
      <c r="A1424"/>
      <c r="B1424"/>
      <c r="C1424"/>
      <c r="D1424"/>
      <c r="E1424"/>
      <c r="F1424"/>
      <c r="G1424"/>
      <c r="H1424"/>
    </row>
    <row r="1425" spans="1:8">
      <c r="A1425"/>
      <c r="B1425"/>
      <c r="C1425"/>
      <c r="D1425"/>
      <c r="E1425"/>
      <c r="F1425"/>
      <c r="G1425"/>
      <c r="H1425"/>
    </row>
    <row r="1426" spans="1:8">
      <c r="A1426"/>
      <c r="B1426"/>
      <c r="C1426"/>
      <c r="D1426"/>
      <c r="E1426"/>
      <c r="F1426"/>
      <c r="G1426"/>
      <c r="H1426"/>
    </row>
    <row r="1427" spans="1:8">
      <c r="A1427"/>
      <c r="B1427"/>
      <c r="C1427"/>
      <c r="D1427"/>
      <c r="E1427"/>
      <c r="F1427"/>
      <c r="G1427"/>
      <c r="H1427"/>
    </row>
    <row r="1428" spans="1:8">
      <c r="A1428"/>
      <c r="B1428"/>
      <c r="C1428"/>
      <c r="D1428"/>
      <c r="E1428"/>
      <c r="F1428"/>
      <c r="G1428"/>
      <c r="H1428"/>
    </row>
    <row r="1429" spans="1:8">
      <c r="A1429"/>
      <c r="B1429"/>
      <c r="C1429"/>
      <c r="D1429"/>
      <c r="E1429"/>
      <c r="F1429"/>
      <c r="G1429"/>
      <c r="H1429"/>
    </row>
    <row r="1430" spans="1:8">
      <c r="A1430"/>
      <c r="B1430"/>
      <c r="C1430"/>
      <c r="D1430"/>
      <c r="E1430"/>
      <c r="F1430"/>
      <c r="G1430"/>
      <c r="H1430"/>
    </row>
    <row r="1431" spans="1:8">
      <c r="A1431"/>
      <c r="B1431"/>
      <c r="C1431"/>
      <c r="D1431"/>
      <c r="E1431"/>
      <c r="F1431"/>
      <c r="G1431"/>
      <c r="H1431"/>
    </row>
    <row r="1432" spans="1:8">
      <c r="A1432"/>
      <c r="B1432"/>
      <c r="C1432"/>
      <c r="D1432"/>
      <c r="E1432"/>
      <c r="F1432"/>
      <c r="G1432"/>
      <c r="H1432"/>
    </row>
    <row r="1433" spans="1:8">
      <c r="A1433"/>
      <c r="B1433"/>
      <c r="C1433"/>
      <c r="D1433"/>
      <c r="E1433"/>
      <c r="F1433"/>
      <c r="G1433"/>
      <c r="H1433"/>
    </row>
    <row r="1434" spans="1:8">
      <c r="A1434"/>
      <c r="B1434"/>
      <c r="C1434"/>
      <c r="D1434"/>
      <c r="E1434"/>
      <c r="F1434"/>
      <c r="G1434"/>
      <c r="H1434"/>
    </row>
    <row r="1435" spans="1:8">
      <c r="A1435"/>
      <c r="B1435"/>
      <c r="C1435"/>
      <c r="D1435"/>
      <c r="E1435"/>
      <c r="F1435"/>
      <c r="G1435"/>
      <c r="H1435"/>
    </row>
    <row r="1436" spans="1:8">
      <c r="A1436"/>
      <c r="B1436"/>
      <c r="C1436"/>
      <c r="D1436"/>
      <c r="E1436"/>
      <c r="F1436"/>
      <c r="G1436"/>
      <c r="H1436"/>
    </row>
    <row r="1437" spans="1:8">
      <c r="A1437"/>
      <c r="B1437"/>
      <c r="C1437"/>
      <c r="D1437"/>
      <c r="E1437"/>
      <c r="F1437"/>
      <c r="G1437"/>
      <c r="H1437"/>
    </row>
    <row r="1438" spans="1:8">
      <c r="A1438"/>
      <c r="B1438"/>
      <c r="C1438"/>
      <c r="D1438"/>
      <c r="E1438"/>
      <c r="F1438"/>
      <c r="G1438"/>
      <c r="H1438"/>
    </row>
    <row r="1439" spans="1:8">
      <c r="A1439"/>
      <c r="B1439"/>
      <c r="C1439"/>
      <c r="D1439"/>
      <c r="E1439"/>
      <c r="F1439"/>
      <c r="G1439"/>
      <c r="H1439"/>
    </row>
    <row r="1440" spans="1:8">
      <c r="A1440"/>
      <c r="B1440"/>
      <c r="C1440"/>
      <c r="D1440"/>
      <c r="E1440"/>
      <c r="F1440"/>
      <c r="G1440"/>
      <c r="H1440"/>
    </row>
    <row r="1441" spans="1:8">
      <c r="A1441"/>
      <c r="B1441"/>
      <c r="C1441"/>
      <c r="D1441"/>
      <c r="E1441"/>
      <c r="F1441"/>
      <c r="G1441"/>
      <c r="H1441"/>
    </row>
    <row r="1442" spans="1:8">
      <c r="A1442"/>
      <c r="B1442"/>
      <c r="C1442"/>
      <c r="D1442"/>
      <c r="E1442"/>
      <c r="F1442"/>
      <c r="G1442"/>
      <c r="H1442"/>
    </row>
    <row r="1443" spans="1:8">
      <c r="A1443"/>
      <c r="B1443"/>
      <c r="C1443"/>
      <c r="D1443"/>
      <c r="E1443"/>
      <c r="F1443"/>
      <c r="G1443"/>
      <c r="H1443"/>
    </row>
    <row r="1444" spans="1:8">
      <c r="A1444"/>
      <c r="B1444"/>
      <c r="C1444"/>
      <c r="D1444"/>
      <c r="E1444"/>
      <c r="F1444"/>
      <c r="G1444"/>
      <c r="H1444"/>
    </row>
    <row r="1445" spans="1:8">
      <c r="A1445"/>
      <c r="B1445"/>
      <c r="C1445"/>
      <c r="D1445"/>
      <c r="E1445"/>
      <c r="F1445"/>
      <c r="G1445"/>
      <c r="H1445"/>
    </row>
    <row r="1446" spans="1:8">
      <c r="A1446"/>
      <c r="B1446"/>
      <c r="C1446"/>
      <c r="D1446"/>
      <c r="E1446"/>
      <c r="F1446"/>
      <c r="G1446"/>
      <c r="H1446"/>
    </row>
    <row r="1447" spans="1:8">
      <c r="A1447"/>
      <c r="B1447"/>
      <c r="C1447"/>
      <c r="D1447"/>
      <c r="E1447"/>
      <c r="F1447"/>
      <c r="G1447"/>
      <c r="H1447"/>
    </row>
    <row r="1448" spans="1:8">
      <c r="A1448"/>
      <c r="B1448"/>
      <c r="C1448"/>
      <c r="D1448"/>
      <c r="E1448"/>
      <c r="F1448"/>
      <c r="G1448"/>
      <c r="H1448"/>
    </row>
    <row r="1449" spans="1:8">
      <c r="A1449"/>
      <c r="B1449"/>
      <c r="C1449"/>
      <c r="D1449"/>
      <c r="E1449"/>
      <c r="F1449"/>
      <c r="G1449"/>
      <c r="H1449"/>
    </row>
    <row r="1450" spans="1:8">
      <c r="A1450"/>
      <c r="B1450"/>
      <c r="C1450"/>
      <c r="D1450"/>
      <c r="E1450"/>
      <c r="F1450"/>
      <c r="G1450"/>
      <c r="H1450"/>
    </row>
    <row r="1451" spans="1:8">
      <c r="A1451"/>
      <c r="B1451"/>
      <c r="C1451"/>
      <c r="D1451"/>
      <c r="E1451"/>
      <c r="F1451"/>
      <c r="G1451"/>
      <c r="H1451"/>
    </row>
    <row r="1452" spans="1:8">
      <c r="A1452"/>
      <c r="B1452"/>
      <c r="C1452"/>
      <c r="D1452"/>
      <c r="E1452"/>
      <c r="F1452"/>
      <c r="G1452"/>
      <c r="H1452"/>
    </row>
    <row r="1453" spans="1:8">
      <c r="A1453"/>
      <c r="B1453"/>
      <c r="C1453"/>
      <c r="D1453"/>
      <c r="E1453"/>
      <c r="F1453"/>
      <c r="G1453"/>
      <c r="H1453"/>
    </row>
    <row r="1454" spans="1:8">
      <c r="A1454"/>
      <c r="B1454"/>
      <c r="C1454"/>
      <c r="D1454"/>
      <c r="E1454"/>
      <c r="F1454"/>
      <c r="G1454"/>
      <c r="H1454"/>
    </row>
    <row r="1455" spans="1:8">
      <c r="A1455"/>
      <c r="B1455"/>
      <c r="C1455"/>
      <c r="D1455"/>
      <c r="E1455"/>
      <c r="F1455"/>
      <c r="G1455"/>
      <c r="H1455"/>
    </row>
    <row r="1456" spans="1:8">
      <c r="A1456"/>
      <c r="B1456"/>
      <c r="C1456"/>
      <c r="D1456"/>
      <c r="E1456"/>
      <c r="F1456"/>
      <c r="G1456"/>
      <c r="H1456"/>
    </row>
    <row r="1457" spans="1:8">
      <c r="A1457"/>
      <c r="B1457"/>
      <c r="C1457"/>
      <c r="D1457"/>
      <c r="E1457"/>
      <c r="F1457"/>
      <c r="G1457"/>
      <c r="H1457"/>
    </row>
    <row r="1458" spans="1:8">
      <c r="A1458"/>
      <c r="B1458"/>
      <c r="C1458"/>
      <c r="D1458"/>
      <c r="E1458"/>
      <c r="F1458"/>
      <c r="G1458"/>
      <c r="H1458"/>
    </row>
    <row r="1459" spans="1:8">
      <c r="A1459"/>
      <c r="B1459"/>
      <c r="C1459"/>
      <c r="D1459"/>
      <c r="E1459"/>
      <c r="F1459"/>
      <c r="G1459"/>
      <c r="H1459"/>
    </row>
    <row r="1460" spans="1:8">
      <c r="A1460"/>
      <c r="B1460"/>
      <c r="C1460"/>
      <c r="D1460"/>
      <c r="E1460"/>
      <c r="F1460"/>
      <c r="G1460"/>
      <c r="H1460"/>
    </row>
    <row r="1461" spans="1:8">
      <c r="A1461"/>
      <c r="B1461"/>
      <c r="C1461"/>
      <c r="D1461"/>
      <c r="E1461"/>
      <c r="F1461"/>
      <c r="G1461"/>
      <c r="H1461"/>
    </row>
    <row r="1462" spans="1:8">
      <c r="A1462"/>
      <c r="B1462"/>
      <c r="C1462"/>
      <c r="D1462"/>
      <c r="E1462"/>
      <c r="F1462"/>
      <c r="G1462"/>
      <c r="H1462"/>
    </row>
    <row r="1463" spans="1:8">
      <c r="A1463"/>
      <c r="B1463"/>
      <c r="C1463"/>
      <c r="D1463"/>
      <c r="E1463"/>
      <c r="F1463"/>
      <c r="G1463"/>
      <c r="H1463"/>
    </row>
    <row r="1464" spans="1:8">
      <c r="A1464"/>
      <c r="B1464"/>
      <c r="C1464"/>
      <c r="D1464"/>
      <c r="E1464"/>
      <c r="F1464"/>
      <c r="G1464"/>
      <c r="H1464"/>
    </row>
    <row r="1465" spans="1:8">
      <c r="A1465"/>
      <c r="B1465"/>
      <c r="C1465"/>
      <c r="D1465"/>
      <c r="E1465"/>
      <c r="F1465"/>
      <c r="G1465"/>
      <c r="H1465"/>
    </row>
    <row r="1466" spans="1:8">
      <c r="A1466"/>
      <c r="B1466"/>
      <c r="C1466"/>
      <c r="D1466"/>
      <c r="E1466"/>
      <c r="F1466"/>
      <c r="G1466"/>
      <c r="H1466"/>
    </row>
    <row r="1467" spans="1:8">
      <c r="A1467"/>
      <c r="B1467"/>
      <c r="C1467"/>
      <c r="D1467"/>
      <c r="E1467"/>
      <c r="F1467"/>
      <c r="G1467"/>
      <c r="H1467"/>
    </row>
    <row r="1468" spans="1:8">
      <c r="A1468"/>
      <c r="B1468"/>
      <c r="C1468"/>
      <c r="D1468"/>
      <c r="E1468"/>
      <c r="F1468"/>
      <c r="G1468"/>
      <c r="H1468"/>
    </row>
    <row r="1469" spans="1:8">
      <c r="A1469"/>
      <c r="B1469"/>
      <c r="C1469"/>
      <c r="D1469"/>
      <c r="E1469"/>
      <c r="F1469"/>
      <c r="G1469"/>
      <c r="H1469"/>
    </row>
    <row r="1470" spans="1:8">
      <c r="A1470"/>
      <c r="B1470"/>
      <c r="C1470"/>
      <c r="D1470"/>
      <c r="E1470"/>
      <c r="F1470"/>
      <c r="G1470"/>
      <c r="H1470"/>
    </row>
    <row r="1471" spans="1:8">
      <c r="A1471"/>
      <c r="B1471"/>
      <c r="C1471"/>
      <c r="D1471"/>
      <c r="E1471"/>
      <c r="F1471"/>
      <c r="G1471"/>
      <c r="H1471"/>
    </row>
    <row r="1472" spans="1:8">
      <c r="A1472"/>
      <c r="B1472"/>
      <c r="C1472"/>
      <c r="D1472"/>
      <c r="E1472"/>
      <c r="F1472"/>
      <c r="G1472"/>
      <c r="H1472"/>
    </row>
    <row r="1473" spans="1:8">
      <c r="A1473"/>
      <c r="B1473"/>
      <c r="C1473"/>
      <c r="D1473"/>
      <c r="E1473"/>
      <c r="F1473"/>
      <c r="G1473"/>
      <c r="H1473"/>
    </row>
    <row r="1474" spans="1:8">
      <c r="A1474"/>
      <c r="B1474"/>
      <c r="C1474"/>
      <c r="D1474"/>
      <c r="E1474"/>
      <c r="F1474"/>
      <c r="G1474"/>
      <c r="H1474"/>
    </row>
    <row r="1475" spans="1:8">
      <c r="A1475"/>
      <c r="B1475"/>
      <c r="C1475"/>
      <c r="D1475"/>
      <c r="E1475"/>
      <c r="F1475"/>
      <c r="G1475"/>
      <c r="H1475"/>
    </row>
    <row r="1476" spans="1:8">
      <c r="A1476"/>
      <c r="B1476"/>
      <c r="C1476"/>
      <c r="D1476"/>
      <c r="E1476"/>
      <c r="F1476"/>
      <c r="G1476"/>
      <c r="H1476"/>
    </row>
    <row r="1477" spans="1:8">
      <c r="A1477"/>
      <c r="B1477"/>
      <c r="C1477"/>
      <c r="D1477"/>
      <c r="E1477"/>
      <c r="F1477"/>
      <c r="G1477"/>
      <c r="H1477"/>
    </row>
    <row r="1478" spans="1:8">
      <c r="A1478"/>
      <c r="B1478"/>
      <c r="C1478"/>
      <c r="D1478"/>
      <c r="E1478"/>
      <c r="F1478"/>
      <c r="G1478"/>
      <c r="H1478"/>
    </row>
    <row r="1479" spans="1:8">
      <c r="A1479"/>
      <c r="B1479"/>
      <c r="C1479"/>
      <c r="D1479"/>
      <c r="E1479"/>
      <c r="F1479"/>
      <c r="G1479"/>
      <c r="H1479"/>
    </row>
    <row r="1480" spans="1:8">
      <c r="A1480"/>
      <c r="B1480"/>
      <c r="C1480"/>
      <c r="D1480"/>
      <c r="E1480"/>
      <c r="F1480"/>
      <c r="G1480"/>
      <c r="H1480"/>
    </row>
    <row r="1481" spans="1:8">
      <c r="A1481"/>
      <c r="B1481"/>
      <c r="C1481"/>
      <c r="D1481"/>
      <c r="E1481"/>
      <c r="F1481"/>
      <c r="G1481"/>
      <c r="H1481"/>
    </row>
    <row r="1482" spans="1:8">
      <c r="A1482"/>
      <c r="B1482"/>
      <c r="C1482"/>
      <c r="D1482"/>
      <c r="E1482"/>
      <c r="F1482"/>
      <c r="G1482"/>
      <c r="H1482"/>
    </row>
    <row r="1483" spans="1:8">
      <c r="A1483"/>
      <c r="B1483"/>
      <c r="C1483"/>
      <c r="D1483"/>
      <c r="E1483"/>
      <c r="F1483"/>
      <c r="G1483"/>
      <c r="H1483"/>
    </row>
    <row r="1484" spans="1:8">
      <c r="A1484"/>
      <c r="B1484"/>
      <c r="C1484"/>
      <c r="D1484"/>
      <c r="E1484"/>
      <c r="F1484"/>
      <c r="G1484"/>
      <c r="H1484"/>
    </row>
    <row r="1485" spans="1:8">
      <c r="A1485"/>
      <c r="B1485"/>
      <c r="C1485"/>
      <c r="D1485"/>
      <c r="E1485"/>
      <c r="F1485"/>
      <c r="G1485"/>
      <c r="H1485"/>
    </row>
    <row r="1486" spans="1:8">
      <c r="A1486"/>
      <c r="B1486"/>
      <c r="C1486"/>
      <c r="D1486"/>
      <c r="E1486"/>
      <c r="F1486"/>
      <c r="G1486"/>
      <c r="H1486"/>
    </row>
    <row r="1487" spans="1:8">
      <c r="A1487"/>
      <c r="B1487"/>
      <c r="C1487"/>
      <c r="D1487"/>
      <c r="E1487"/>
      <c r="F1487"/>
      <c r="G1487"/>
      <c r="H1487"/>
    </row>
    <row r="1488" spans="1:8">
      <c r="A1488"/>
      <c r="B1488"/>
      <c r="C1488"/>
      <c r="D1488"/>
      <c r="E1488"/>
      <c r="F1488"/>
      <c r="G1488"/>
      <c r="H1488"/>
    </row>
    <row r="1489" spans="1:8">
      <c r="A1489"/>
      <c r="B1489"/>
      <c r="C1489"/>
      <c r="D1489"/>
      <c r="E1489"/>
      <c r="F1489"/>
      <c r="G1489"/>
      <c r="H1489"/>
    </row>
    <row r="1490" spans="1:8">
      <c r="A1490"/>
      <c r="B1490"/>
      <c r="C1490"/>
      <c r="D1490"/>
      <c r="E1490"/>
      <c r="F1490"/>
      <c r="G1490"/>
      <c r="H1490"/>
    </row>
    <row r="1491" spans="1:8">
      <c r="A1491"/>
      <c r="B1491"/>
      <c r="C1491"/>
      <c r="D1491"/>
      <c r="E1491"/>
      <c r="F1491"/>
      <c r="G1491"/>
      <c r="H1491"/>
    </row>
    <row r="1492" spans="1:8">
      <c r="A1492"/>
      <c r="B1492"/>
      <c r="C1492"/>
      <c r="D1492"/>
      <c r="E1492"/>
      <c r="F1492"/>
      <c r="G1492"/>
      <c r="H1492"/>
    </row>
    <row r="1493" spans="1:8">
      <c r="A1493"/>
      <c r="B1493"/>
      <c r="C1493"/>
      <c r="D1493"/>
      <c r="E1493"/>
      <c r="F1493"/>
      <c r="G1493"/>
      <c r="H1493"/>
    </row>
    <row r="1494" spans="1:8">
      <c r="A1494"/>
      <c r="B1494"/>
      <c r="C1494"/>
      <c r="D1494"/>
      <c r="E1494"/>
      <c r="F1494"/>
      <c r="G1494"/>
      <c r="H1494"/>
    </row>
    <row r="1495" spans="1:8">
      <c r="A1495"/>
      <c r="B1495"/>
      <c r="C1495"/>
      <c r="D1495"/>
      <c r="E1495"/>
      <c r="F1495"/>
      <c r="G1495"/>
      <c r="H1495"/>
    </row>
    <row r="1496" spans="1:8">
      <c r="A1496"/>
      <c r="B1496"/>
      <c r="C1496"/>
      <c r="D1496"/>
      <c r="E1496"/>
      <c r="F1496"/>
      <c r="G1496"/>
      <c r="H1496"/>
    </row>
    <row r="1497" spans="1:8">
      <c r="A1497"/>
      <c r="B1497"/>
      <c r="C1497"/>
      <c r="D1497"/>
      <c r="E1497"/>
      <c r="F1497"/>
      <c r="G1497"/>
      <c r="H1497"/>
    </row>
    <row r="1498" spans="1:8">
      <c r="A1498"/>
      <c r="B1498"/>
      <c r="C1498"/>
      <c r="D1498"/>
      <c r="E1498"/>
      <c r="F1498"/>
      <c r="G1498"/>
      <c r="H1498"/>
    </row>
    <row r="1499" spans="1:8">
      <c r="A1499"/>
      <c r="B1499"/>
      <c r="C1499"/>
      <c r="D1499"/>
      <c r="E1499"/>
      <c r="F1499"/>
      <c r="G1499"/>
      <c r="H1499"/>
    </row>
    <row r="1500" spans="1:8">
      <c r="A1500"/>
      <c r="B1500"/>
      <c r="C1500"/>
      <c r="D1500"/>
      <c r="E1500"/>
      <c r="F1500"/>
      <c r="G1500"/>
      <c r="H1500"/>
    </row>
    <row r="1501" spans="1:8">
      <c r="A1501"/>
      <c r="B1501"/>
      <c r="C1501"/>
      <c r="D1501"/>
      <c r="E1501"/>
      <c r="F1501"/>
      <c r="G1501"/>
      <c r="H1501"/>
    </row>
    <row r="1502" spans="1:8">
      <c r="A1502"/>
      <c r="B1502"/>
      <c r="C1502"/>
      <c r="D1502"/>
      <c r="E1502"/>
      <c r="F1502"/>
      <c r="G1502"/>
      <c r="H1502"/>
    </row>
    <row r="1503" spans="1:8">
      <c r="A1503"/>
      <c r="B1503"/>
      <c r="C1503"/>
      <c r="D1503"/>
      <c r="E1503"/>
      <c r="F1503"/>
      <c r="G1503"/>
      <c r="H1503"/>
    </row>
    <row r="1504" spans="1:8">
      <c r="A1504"/>
      <c r="B1504"/>
      <c r="C1504"/>
      <c r="D1504"/>
      <c r="E1504"/>
      <c r="F1504"/>
      <c r="G1504"/>
      <c r="H1504"/>
    </row>
    <row r="1505" spans="1:8">
      <c r="A1505"/>
      <c r="B1505"/>
      <c r="C1505"/>
      <c r="D1505"/>
      <c r="E1505"/>
      <c r="F1505"/>
      <c r="G1505"/>
      <c r="H1505"/>
    </row>
    <row r="1506" spans="1:8">
      <c r="A1506"/>
      <c r="B1506"/>
      <c r="C1506"/>
      <c r="D1506"/>
      <c r="E1506"/>
      <c r="F1506"/>
      <c r="G1506"/>
      <c r="H1506"/>
    </row>
    <row r="1507" spans="1:8">
      <c r="A1507"/>
      <c r="B1507"/>
      <c r="C1507"/>
      <c r="D1507"/>
      <c r="E1507"/>
      <c r="F1507"/>
      <c r="G1507"/>
      <c r="H1507"/>
    </row>
    <row r="1508" spans="1:8">
      <c r="A1508"/>
      <c r="B1508"/>
      <c r="C1508"/>
      <c r="D1508"/>
      <c r="E1508"/>
      <c r="F1508"/>
      <c r="G1508"/>
      <c r="H1508"/>
    </row>
    <row r="1509" spans="1:8">
      <c r="A1509"/>
      <c r="B1509"/>
      <c r="C1509"/>
      <c r="D1509"/>
      <c r="E1509"/>
      <c r="F1509"/>
      <c r="G1509"/>
      <c r="H1509"/>
    </row>
    <row r="1510" spans="1:8">
      <c r="A1510"/>
      <c r="B1510"/>
      <c r="C1510"/>
      <c r="D1510"/>
      <c r="E1510"/>
      <c r="F1510"/>
      <c r="G1510"/>
      <c r="H1510"/>
    </row>
    <row r="1511" spans="1:8">
      <c r="A1511"/>
      <c r="B1511"/>
      <c r="C1511"/>
      <c r="D1511"/>
      <c r="E1511"/>
      <c r="F1511"/>
      <c r="G1511"/>
      <c r="H1511"/>
    </row>
    <row r="1512" spans="1:8">
      <c r="A1512"/>
      <c r="B1512"/>
      <c r="C1512"/>
      <c r="D1512"/>
      <c r="E1512"/>
      <c r="F1512"/>
      <c r="G1512"/>
      <c r="H1512"/>
    </row>
    <row r="1513" spans="1:8">
      <c r="A1513"/>
      <c r="B1513"/>
      <c r="C1513"/>
      <c r="D1513"/>
      <c r="E1513"/>
      <c r="F1513"/>
      <c r="G1513"/>
      <c r="H1513"/>
    </row>
    <row r="1514" spans="1:8">
      <c r="A1514"/>
      <c r="B1514"/>
      <c r="C1514"/>
      <c r="D1514"/>
      <c r="E1514"/>
      <c r="F1514"/>
      <c r="G1514"/>
      <c r="H1514"/>
    </row>
    <row r="1515" spans="1:8">
      <c r="A1515"/>
      <c r="B1515"/>
      <c r="C1515"/>
      <c r="D1515"/>
      <c r="E1515"/>
      <c r="F1515"/>
      <c r="G1515"/>
      <c r="H1515"/>
    </row>
    <row r="1516" spans="1:8">
      <c r="A1516"/>
      <c r="B1516"/>
      <c r="C1516"/>
      <c r="D1516"/>
      <c r="E1516"/>
      <c r="F1516"/>
      <c r="G1516"/>
      <c r="H1516"/>
    </row>
    <row r="1517" spans="1:8">
      <c r="A1517"/>
      <c r="B1517"/>
      <c r="C1517"/>
      <c r="D1517"/>
      <c r="E1517"/>
      <c r="F1517"/>
      <c r="G1517"/>
      <c r="H1517"/>
    </row>
    <row r="1518" spans="1:8">
      <c r="A1518"/>
      <c r="B1518"/>
      <c r="C1518"/>
      <c r="D1518"/>
      <c r="E1518"/>
      <c r="F1518"/>
      <c r="G1518"/>
      <c r="H1518"/>
    </row>
    <row r="1519" spans="1:8">
      <c r="A1519"/>
      <c r="B1519"/>
      <c r="C1519"/>
      <c r="D1519"/>
      <c r="E1519"/>
      <c r="F1519"/>
      <c r="G1519"/>
      <c r="H1519"/>
    </row>
    <row r="1520" spans="1:8">
      <c r="A1520"/>
      <c r="B1520"/>
      <c r="C1520"/>
      <c r="D1520"/>
      <c r="E1520"/>
      <c r="F1520"/>
      <c r="G1520"/>
      <c r="H1520"/>
    </row>
    <row r="1521" spans="1:8">
      <c r="A1521"/>
      <c r="B1521"/>
      <c r="C1521"/>
      <c r="D1521"/>
      <c r="E1521"/>
      <c r="F1521"/>
      <c r="G1521"/>
      <c r="H1521"/>
    </row>
    <row r="1522" spans="1:8">
      <c r="A1522"/>
      <c r="B1522"/>
      <c r="C1522"/>
      <c r="D1522"/>
      <c r="E1522"/>
      <c r="F1522"/>
      <c r="G1522"/>
      <c r="H1522"/>
    </row>
    <row r="1523" spans="1:8">
      <c r="A1523"/>
      <c r="B1523"/>
      <c r="C1523"/>
      <c r="D1523"/>
      <c r="E1523"/>
      <c r="F1523"/>
      <c r="G1523"/>
      <c r="H1523"/>
    </row>
    <row r="1524" spans="1:8">
      <c r="A1524"/>
      <c r="B1524"/>
      <c r="C1524"/>
      <c r="D1524"/>
      <c r="E1524"/>
      <c r="F1524"/>
      <c r="G1524"/>
      <c r="H1524"/>
    </row>
    <row r="1525" spans="1:8">
      <c r="A1525"/>
      <c r="B1525"/>
      <c r="C1525"/>
      <c r="D1525"/>
      <c r="E1525"/>
      <c r="F1525"/>
      <c r="G1525"/>
      <c r="H1525"/>
    </row>
    <row r="1526" spans="1:8">
      <c r="A1526"/>
      <c r="B1526"/>
      <c r="C1526"/>
      <c r="D1526"/>
      <c r="E1526"/>
      <c r="F1526"/>
      <c r="G1526"/>
      <c r="H1526"/>
    </row>
    <row r="1527" spans="1:8">
      <c r="A1527"/>
      <c r="B1527"/>
      <c r="C1527"/>
      <c r="D1527"/>
      <c r="E1527"/>
      <c r="F1527"/>
      <c r="G1527"/>
      <c r="H1527"/>
    </row>
    <row r="1528" spans="1:8">
      <c r="A1528"/>
      <c r="B1528"/>
      <c r="C1528"/>
      <c r="D1528"/>
      <c r="E1528"/>
      <c r="F1528"/>
      <c r="G1528"/>
      <c r="H1528"/>
    </row>
    <row r="1529" spans="1:8">
      <c r="A1529"/>
      <c r="B1529"/>
      <c r="C1529"/>
      <c r="D1529"/>
      <c r="E1529"/>
      <c r="F1529"/>
      <c r="G1529"/>
      <c r="H1529"/>
    </row>
    <row r="1530" spans="1:8">
      <c r="A1530"/>
      <c r="B1530"/>
      <c r="C1530"/>
      <c r="D1530"/>
      <c r="E1530"/>
      <c r="F1530"/>
      <c r="G1530"/>
      <c r="H1530"/>
    </row>
    <row r="1531" spans="1:8">
      <c r="A1531"/>
      <c r="B1531"/>
      <c r="C1531"/>
      <c r="D1531"/>
      <c r="E1531"/>
      <c r="F1531"/>
      <c r="G1531"/>
      <c r="H1531"/>
    </row>
    <row r="1532" spans="1:8">
      <c r="A1532"/>
      <c r="B1532"/>
      <c r="C1532"/>
      <c r="D1532"/>
      <c r="E1532"/>
      <c r="F1532"/>
      <c r="G1532"/>
      <c r="H1532"/>
    </row>
    <row r="1533" spans="1:8">
      <c r="A1533"/>
      <c r="B1533"/>
      <c r="C1533"/>
      <c r="D1533"/>
      <c r="E1533"/>
      <c r="F1533"/>
      <c r="G1533"/>
      <c r="H1533"/>
    </row>
    <row r="1534" spans="1:8">
      <c r="A1534"/>
      <c r="B1534"/>
      <c r="C1534"/>
      <c r="D1534"/>
      <c r="E1534"/>
      <c r="F1534"/>
      <c r="G1534"/>
      <c r="H1534"/>
    </row>
    <row r="1535" spans="1:8">
      <c r="A1535"/>
      <c r="B1535"/>
      <c r="C1535"/>
      <c r="D1535"/>
      <c r="E1535"/>
      <c r="F1535"/>
      <c r="G1535"/>
      <c r="H1535"/>
    </row>
    <row r="1536" spans="1:8">
      <c r="A1536"/>
      <c r="B1536"/>
      <c r="C1536"/>
      <c r="D1536"/>
      <c r="E1536"/>
      <c r="F1536"/>
      <c r="G1536"/>
      <c r="H1536"/>
    </row>
    <row r="1537" spans="1:8">
      <c r="A1537"/>
      <c r="B1537"/>
      <c r="C1537"/>
      <c r="D1537"/>
      <c r="E1537"/>
      <c r="F1537"/>
      <c r="G1537"/>
      <c r="H1537"/>
    </row>
    <row r="1538" spans="1:8">
      <c r="A1538"/>
      <c r="B1538"/>
      <c r="C1538"/>
      <c r="D1538"/>
      <c r="E1538"/>
      <c r="F1538"/>
      <c r="G1538"/>
      <c r="H1538"/>
    </row>
    <row r="1539" spans="1:8">
      <c r="A1539"/>
      <c r="B1539"/>
      <c r="C1539"/>
      <c r="D1539"/>
      <c r="E1539"/>
      <c r="F1539"/>
      <c r="G1539"/>
      <c r="H1539"/>
    </row>
    <row r="1540" spans="1:8">
      <c r="A1540"/>
      <c r="B1540"/>
      <c r="C1540"/>
      <c r="D1540"/>
      <c r="E1540"/>
      <c r="F1540"/>
      <c r="G1540"/>
      <c r="H1540"/>
    </row>
    <row r="1541" spans="1:8">
      <c r="A1541"/>
      <c r="B1541"/>
      <c r="C1541"/>
      <c r="D1541"/>
      <c r="E1541"/>
      <c r="F1541"/>
      <c r="G1541"/>
      <c r="H1541"/>
    </row>
    <row r="1542" spans="1:8">
      <c r="A1542"/>
      <c r="B1542"/>
      <c r="C1542"/>
      <c r="D1542"/>
      <c r="E1542"/>
      <c r="F1542"/>
      <c r="G1542"/>
      <c r="H1542"/>
    </row>
    <row r="1543" spans="1:8">
      <c r="A1543"/>
      <c r="B1543"/>
      <c r="C1543"/>
      <c r="D1543"/>
      <c r="E1543"/>
      <c r="F1543"/>
      <c r="G1543"/>
      <c r="H1543"/>
    </row>
    <row r="1544" spans="1:8">
      <c r="A1544"/>
      <c r="B1544"/>
      <c r="C1544"/>
      <c r="D1544"/>
      <c r="E1544"/>
      <c r="F1544"/>
      <c r="G1544"/>
      <c r="H1544"/>
    </row>
    <row r="1545" spans="1:8">
      <c r="A1545"/>
      <c r="B1545"/>
      <c r="C1545"/>
      <c r="D1545"/>
      <c r="E1545"/>
      <c r="F1545"/>
      <c r="G1545"/>
      <c r="H1545"/>
    </row>
    <row r="1546" spans="1:8">
      <c r="A1546"/>
      <c r="B1546"/>
      <c r="C1546"/>
      <c r="D1546"/>
      <c r="E1546"/>
      <c r="F1546"/>
      <c r="G1546"/>
      <c r="H1546"/>
    </row>
    <row r="1547" spans="1:8">
      <c r="A1547"/>
      <c r="B1547"/>
      <c r="C1547"/>
      <c r="D1547"/>
      <c r="E1547"/>
      <c r="F1547"/>
      <c r="G1547"/>
      <c r="H1547"/>
    </row>
    <row r="1548" spans="1:8">
      <c r="A1548"/>
      <c r="B1548"/>
      <c r="C1548"/>
      <c r="D1548"/>
      <c r="E1548"/>
      <c r="F1548"/>
      <c r="G1548"/>
      <c r="H1548"/>
    </row>
    <row r="1549" spans="1:8">
      <c r="A1549"/>
      <c r="B1549"/>
      <c r="C1549"/>
      <c r="D1549"/>
      <c r="E1549"/>
      <c r="F1549"/>
      <c r="G1549"/>
      <c r="H1549"/>
    </row>
    <row r="1550" spans="1:8">
      <c r="A1550"/>
      <c r="B1550"/>
      <c r="C1550"/>
      <c r="D1550"/>
      <c r="E1550"/>
      <c r="F1550"/>
      <c r="G1550"/>
      <c r="H1550"/>
    </row>
    <row r="1551" spans="1:8">
      <c r="A1551"/>
      <c r="B1551"/>
      <c r="C1551"/>
      <c r="D1551"/>
      <c r="E1551"/>
      <c r="F1551"/>
      <c r="G1551"/>
      <c r="H1551"/>
    </row>
    <row r="1552" spans="1:8">
      <c r="A1552"/>
      <c r="B1552"/>
      <c r="C1552"/>
      <c r="D1552"/>
      <c r="E1552"/>
      <c r="F1552"/>
      <c r="G1552"/>
      <c r="H1552"/>
    </row>
    <row r="1553" spans="1:8">
      <c r="A1553"/>
      <c r="B1553"/>
      <c r="C1553"/>
      <c r="D1553"/>
      <c r="E1553"/>
      <c r="F1553"/>
      <c r="G1553"/>
      <c r="H1553"/>
    </row>
    <row r="1554" spans="1:8">
      <c r="A1554"/>
      <c r="B1554"/>
      <c r="C1554"/>
      <c r="D1554"/>
      <c r="E1554"/>
      <c r="F1554"/>
      <c r="G1554"/>
      <c r="H1554"/>
    </row>
    <row r="1555" spans="1:8">
      <c r="A1555"/>
      <c r="B1555"/>
      <c r="C1555"/>
      <c r="D1555"/>
      <c r="E1555"/>
      <c r="F1555"/>
      <c r="G1555"/>
      <c r="H1555"/>
    </row>
    <row r="1556" spans="1:8">
      <c r="A1556"/>
      <c r="B1556"/>
      <c r="C1556"/>
      <c r="D1556"/>
      <c r="E1556"/>
      <c r="F1556"/>
      <c r="G1556"/>
      <c r="H1556"/>
    </row>
    <row r="1557" spans="1:8">
      <c r="A1557"/>
      <c r="B1557"/>
      <c r="C1557"/>
      <c r="D1557"/>
      <c r="E1557"/>
      <c r="F1557"/>
      <c r="G1557"/>
      <c r="H1557"/>
    </row>
    <row r="1558" spans="1:8">
      <c r="A1558"/>
      <c r="B1558"/>
      <c r="C1558"/>
      <c r="D1558"/>
      <c r="E1558"/>
      <c r="F1558"/>
      <c r="G1558"/>
      <c r="H1558"/>
    </row>
    <row r="1559" spans="1:8">
      <c r="A1559"/>
      <c r="B1559"/>
      <c r="C1559"/>
      <c r="D1559"/>
      <c r="E1559"/>
      <c r="F1559"/>
      <c r="G1559"/>
      <c r="H1559"/>
    </row>
    <row r="1560" spans="1:8">
      <c r="A1560"/>
      <c r="B1560"/>
      <c r="C1560"/>
      <c r="D1560"/>
      <c r="E1560"/>
      <c r="F1560"/>
      <c r="G1560"/>
      <c r="H1560"/>
    </row>
    <row r="1561" spans="1:8">
      <c r="A1561"/>
      <c r="B1561"/>
      <c r="C1561"/>
      <c r="D1561"/>
      <c r="E1561"/>
      <c r="F1561"/>
      <c r="G1561"/>
      <c r="H1561"/>
    </row>
    <row r="1562" spans="1:8">
      <c r="A1562"/>
      <c r="B1562"/>
      <c r="C1562"/>
      <c r="D1562"/>
      <c r="E1562"/>
      <c r="F1562"/>
      <c r="G1562"/>
      <c r="H1562"/>
    </row>
    <row r="1563" spans="1:8">
      <c r="A1563"/>
      <c r="B1563"/>
      <c r="C1563"/>
      <c r="D1563"/>
      <c r="E1563"/>
      <c r="F1563"/>
      <c r="G1563"/>
      <c r="H1563"/>
    </row>
    <row r="1564" spans="1:8">
      <c r="A1564"/>
      <c r="B1564"/>
      <c r="C1564"/>
      <c r="D1564"/>
      <c r="E1564"/>
      <c r="F1564"/>
      <c r="G1564"/>
      <c r="H1564"/>
    </row>
    <row r="1565" spans="1:8">
      <c r="A1565"/>
      <c r="B1565"/>
      <c r="C1565"/>
      <c r="D1565"/>
      <c r="E1565"/>
      <c r="F1565"/>
      <c r="G1565"/>
      <c r="H1565"/>
    </row>
    <row r="1566" spans="1:8">
      <c r="A1566"/>
      <c r="B1566"/>
      <c r="C1566"/>
      <c r="D1566"/>
      <c r="E1566"/>
      <c r="F1566"/>
      <c r="G1566"/>
      <c r="H1566"/>
    </row>
    <row r="1567" spans="1:8">
      <c r="A1567"/>
      <c r="B1567"/>
      <c r="C1567"/>
      <c r="D1567"/>
      <c r="E1567"/>
      <c r="F1567"/>
      <c r="G1567"/>
      <c r="H1567"/>
    </row>
    <row r="1568" spans="1:8">
      <c r="A1568"/>
      <c r="B1568"/>
      <c r="C1568"/>
      <c r="D1568"/>
      <c r="E1568"/>
      <c r="F1568"/>
      <c r="G1568"/>
      <c r="H1568"/>
    </row>
    <row r="1569" spans="1:8">
      <c r="A1569"/>
      <c r="B1569"/>
      <c r="C1569"/>
      <c r="D1569"/>
      <c r="E1569"/>
      <c r="F1569"/>
      <c r="G1569"/>
      <c r="H1569"/>
    </row>
    <row r="1570" spans="1:8">
      <c r="A1570"/>
      <c r="B1570"/>
      <c r="C1570"/>
      <c r="D1570"/>
      <c r="E1570"/>
      <c r="F1570"/>
      <c r="G1570"/>
      <c r="H1570"/>
    </row>
    <row r="1571" spans="1:8">
      <c r="A1571"/>
      <c r="B1571"/>
      <c r="C1571"/>
      <c r="D1571"/>
      <c r="E1571"/>
      <c r="F1571"/>
      <c r="G1571"/>
      <c r="H1571"/>
    </row>
    <row r="1572" spans="1:8">
      <c r="A1572"/>
      <c r="B1572"/>
      <c r="C1572"/>
      <c r="D1572"/>
      <c r="E1572"/>
      <c r="F1572"/>
      <c r="G1572"/>
      <c r="H1572"/>
    </row>
    <row r="1573" spans="1:8">
      <c r="A1573"/>
      <c r="B1573"/>
      <c r="C1573"/>
      <c r="D1573"/>
      <c r="E1573"/>
      <c r="F1573"/>
      <c r="G1573"/>
      <c r="H1573"/>
    </row>
    <row r="1574" spans="1:8">
      <c r="A1574"/>
      <c r="B1574"/>
      <c r="C1574"/>
      <c r="D1574"/>
      <c r="E1574"/>
      <c r="F1574"/>
      <c r="G1574"/>
      <c r="H1574"/>
    </row>
    <row r="1575" spans="1:8">
      <c r="A1575"/>
      <c r="B1575"/>
      <c r="C1575"/>
      <c r="D1575"/>
      <c r="E1575"/>
      <c r="F1575"/>
      <c r="G1575"/>
      <c r="H1575"/>
    </row>
    <row r="1576" spans="1:8">
      <c r="A1576"/>
      <c r="B1576"/>
      <c r="C1576"/>
      <c r="D1576"/>
      <c r="E1576"/>
      <c r="F1576"/>
      <c r="G1576"/>
      <c r="H1576"/>
    </row>
    <row r="1577" spans="1:8">
      <c r="A1577"/>
      <c r="B1577"/>
      <c r="C1577"/>
      <c r="D1577"/>
      <c r="E1577"/>
      <c r="F1577"/>
      <c r="G1577"/>
      <c r="H1577"/>
    </row>
    <row r="1578" spans="1:8">
      <c r="A1578"/>
      <c r="B1578"/>
      <c r="C1578"/>
      <c r="D1578"/>
      <c r="E1578"/>
      <c r="F1578"/>
      <c r="G1578"/>
      <c r="H1578"/>
    </row>
    <row r="1579" spans="1:8">
      <c r="A1579"/>
      <c r="B1579"/>
      <c r="C1579"/>
      <c r="D1579"/>
      <c r="E1579"/>
      <c r="F1579"/>
      <c r="G1579"/>
      <c r="H1579"/>
    </row>
    <row r="1580" spans="1:8">
      <c r="A1580" s="97"/>
    </row>
    <row r="1581" spans="1:8">
      <c r="F1581" s="99"/>
      <c r="G1581" s="100"/>
    </row>
    <row r="1586" spans="5:8">
      <c r="E1586" s="59"/>
      <c r="G1586" s="59"/>
      <c r="H1586" s="59"/>
    </row>
    <row r="1587" spans="5:8">
      <c r="E1587" s="59"/>
      <c r="G1587" s="59"/>
      <c r="H1587" s="59"/>
    </row>
    <row r="1588" spans="5:8">
      <c r="E1588" s="59"/>
      <c r="G1588" s="59"/>
      <c r="H1588" s="59"/>
    </row>
    <row r="1589" spans="5:8">
      <c r="E1589" s="59"/>
      <c r="G1589" s="59"/>
      <c r="H1589" s="59"/>
    </row>
    <row r="1590" spans="5:8">
      <c r="E1590" s="59"/>
      <c r="G1590" s="59"/>
      <c r="H1590" s="59"/>
    </row>
    <row r="1591" spans="5:8">
      <c r="E1591" s="59"/>
      <c r="G1591" s="59"/>
      <c r="H1591" s="59"/>
    </row>
    <row r="1592" spans="5:8">
      <c r="E1592" s="59"/>
      <c r="G1592" s="59"/>
      <c r="H1592" s="59"/>
    </row>
    <row r="1593" spans="5:8">
      <c r="E1593" s="59"/>
      <c r="G1593" s="59"/>
      <c r="H1593" s="59"/>
    </row>
    <row r="1594" spans="5:8">
      <c r="E1594" s="59"/>
      <c r="G1594" s="59"/>
      <c r="H1594" s="59"/>
    </row>
    <row r="1595" spans="5:8">
      <c r="E1595" s="59"/>
      <c r="G1595" s="59"/>
      <c r="H1595" s="59"/>
    </row>
    <row r="1596" spans="5:8">
      <c r="E1596" s="59"/>
      <c r="G1596" s="59"/>
      <c r="H1596" s="59"/>
    </row>
    <row r="1597" spans="5:8">
      <c r="E1597" s="59"/>
      <c r="G1597" s="59"/>
      <c r="H1597" s="59"/>
    </row>
    <row r="1598" spans="5:8">
      <c r="E1598" s="59"/>
      <c r="G1598" s="59"/>
      <c r="H1598" s="59"/>
    </row>
    <row r="1610" spans="1:9" s="58" customFormat="1">
      <c r="A1610" s="59"/>
      <c r="C1610" s="59"/>
      <c r="D1610" s="59"/>
      <c r="E1610" s="60"/>
      <c r="F1610" s="59" t="s">
        <v>1448</v>
      </c>
      <c r="H1610" s="98"/>
      <c r="I1610" s="54"/>
    </row>
  </sheetData>
  <autoFilter ref="A3:H953" xr:uid="{00000000-0009-0000-0000-000012000000}"/>
  <sortState ref="A4:H1580">
    <sortCondition ref="G4:G1580"/>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16"/>
  <dimension ref="A1:A156"/>
  <sheetViews>
    <sheetView topLeftCell="A13" workbookViewId="0">
      <selection activeCell="E36" sqref="E36"/>
    </sheetView>
  </sheetViews>
  <sheetFormatPr defaultRowHeight="12.75"/>
  <cols>
    <col min="1" max="1" width="75.28515625" bestFit="1" customWidth="1"/>
  </cols>
  <sheetData>
    <row r="1" spans="1:1">
      <c r="A1" s="163" t="s">
        <v>1524</v>
      </c>
    </row>
    <row r="2" spans="1:1">
      <c r="A2" s="14" t="s">
        <v>973</v>
      </c>
    </row>
    <row r="3" spans="1:1">
      <c r="A3" s="14" t="s">
        <v>840</v>
      </c>
    </row>
    <row r="4" spans="1:1">
      <c r="A4" s="14" t="s">
        <v>1209</v>
      </c>
    </row>
    <row r="5" spans="1:1">
      <c r="A5" s="14" t="s">
        <v>1221</v>
      </c>
    </row>
    <row r="6" spans="1:1">
      <c r="A6" s="14" t="s">
        <v>1227</v>
      </c>
    </row>
    <row r="7" spans="1:1">
      <c r="A7" s="14" t="s">
        <v>914</v>
      </c>
    </row>
    <row r="8" spans="1:1">
      <c r="A8" s="14" t="s">
        <v>251</v>
      </c>
    </row>
    <row r="9" spans="1:1">
      <c r="A9" s="14" t="s">
        <v>823</v>
      </c>
    </row>
    <row r="10" spans="1:1">
      <c r="A10" s="14" t="s">
        <v>1237</v>
      </c>
    </row>
    <row r="11" spans="1:1">
      <c r="A11" s="14" t="s">
        <v>606</v>
      </c>
    </row>
    <row r="12" spans="1:1">
      <c r="A12" s="14" t="s">
        <v>918</v>
      </c>
    </row>
    <row r="13" spans="1:1">
      <c r="A13" s="14" t="s">
        <v>618</v>
      </c>
    </row>
    <row r="14" spans="1:1">
      <c r="A14" s="14" t="s">
        <v>1156</v>
      </c>
    </row>
    <row r="15" spans="1:1">
      <c r="A15" s="14" t="s">
        <v>268</v>
      </c>
    </row>
    <row r="16" spans="1:1">
      <c r="A16" s="14" t="s">
        <v>173</v>
      </c>
    </row>
    <row r="17" spans="1:1">
      <c r="A17" s="14" t="s">
        <v>1160</v>
      </c>
    </row>
    <row r="18" spans="1:1">
      <c r="A18" s="14" t="s">
        <v>694</v>
      </c>
    </row>
    <row r="19" spans="1:1">
      <c r="A19" s="14" t="s">
        <v>613</v>
      </c>
    </row>
    <row r="20" spans="1:1">
      <c r="A20" s="14" t="s">
        <v>1414</v>
      </c>
    </row>
    <row r="21" spans="1:1">
      <c r="A21" s="14" t="s">
        <v>1418</v>
      </c>
    </row>
    <row r="22" spans="1:1">
      <c r="A22" s="14" t="s">
        <v>952</v>
      </c>
    </row>
    <row r="23" spans="1:1">
      <c r="A23" s="14" t="s">
        <v>940</v>
      </c>
    </row>
    <row r="24" spans="1:1">
      <c r="A24" s="14" t="s">
        <v>943</v>
      </c>
    </row>
    <row r="25" spans="1:1">
      <c r="A25" s="14" t="s">
        <v>955</v>
      </c>
    </row>
    <row r="26" spans="1:1">
      <c r="A26" s="14" t="s">
        <v>957</v>
      </c>
    </row>
    <row r="27" spans="1:1">
      <c r="A27" s="14" t="s">
        <v>1427</v>
      </c>
    </row>
    <row r="28" spans="1:1">
      <c r="A28" s="14" t="s">
        <v>1439</v>
      </c>
    </row>
    <row r="29" spans="1:1">
      <c r="A29" s="14" t="s">
        <v>1443</v>
      </c>
    </row>
    <row r="30" spans="1:1">
      <c r="A30" s="14" t="s">
        <v>723</v>
      </c>
    </row>
    <row r="31" spans="1:1">
      <c r="A31" s="14" t="s">
        <v>861</v>
      </c>
    </row>
    <row r="32" spans="1:1">
      <c r="A32" s="14" t="s">
        <v>871</v>
      </c>
    </row>
    <row r="33" spans="1:1">
      <c r="A33" s="14" t="s">
        <v>892</v>
      </c>
    </row>
    <row r="34" spans="1:1">
      <c r="A34" s="14" t="s">
        <v>300</v>
      </c>
    </row>
    <row r="35" spans="1:1">
      <c r="A35" s="14" t="s">
        <v>1230</v>
      </c>
    </row>
    <row r="36" spans="1:1">
      <c r="A36" s="14" t="s">
        <v>219</v>
      </c>
    </row>
    <row r="37" spans="1:1">
      <c r="A37" s="14" t="s">
        <v>247</v>
      </c>
    </row>
    <row r="38" spans="1:1">
      <c r="A38" s="14" t="s">
        <v>473</v>
      </c>
    </row>
    <row r="39" spans="1:1">
      <c r="A39" s="14" t="s">
        <v>519</v>
      </c>
    </row>
    <row r="40" spans="1:1">
      <c r="A40" s="14" t="s">
        <v>1244</v>
      </c>
    </row>
    <row r="41" spans="1:1">
      <c r="A41" s="14" t="s">
        <v>1254</v>
      </c>
    </row>
    <row r="42" spans="1:1">
      <c r="A42" s="14" t="s">
        <v>1286</v>
      </c>
    </row>
    <row r="43" spans="1:1">
      <c r="A43" s="14" t="s">
        <v>617</v>
      </c>
    </row>
    <row r="44" spans="1:1">
      <c r="A44" s="14" t="s">
        <v>983</v>
      </c>
    </row>
    <row r="45" spans="1:1">
      <c r="A45" s="14" t="s">
        <v>997</v>
      </c>
    </row>
    <row r="46" spans="1:1">
      <c r="A46" s="14" t="s">
        <v>981</v>
      </c>
    </row>
    <row r="47" spans="1:1">
      <c r="A47" s="14" t="s">
        <v>1003</v>
      </c>
    </row>
    <row r="48" spans="1:1">
      <c r="A48" s="14" t="s">
        <v>1168</v>
      </c>
    </row>
    <row r="49" spans="1:1">
      <c r="A49" s="14" t="s">
        <v>1011</v>
      </c>
    </row>
    <row r="50" spans="1:1">
      <c r="A50" s="14" t="s">
        <v>635</v>
      </c>
    </row>
    <row r="51" spans="1:1">
      <c r="A51" s="14" t="s">
        <v>796</v>
      </c>
    </row>
    <row r="52" spans="1:1">
      <c r="A52" s="14" t="s">
        <v>1365</v>
      </c>
    </row>
    <row r="53" spans="1:1">
      <c r="A53" s="14" t="s">
        <v>1093</v>
      </c>
    </row>
    <row r="54" spans="1:1">
      <c r="A54" s="14" t="s">
        <v>1369</v>
      </c>
    </row>
    <row r="55" spans="1:1">
      <c r="A55" s="14" t="s">
        <v>1376</v>
      </c>
    </row>
    <row r="56" spans="1:1">
      <c r="A56" s="14" t="s">
        <v>1384</v>
      </c>
    </row>
    <row r="57" spans="1:1">
      <c r="A57" s="14" t="s">
        <v>634</v>
      </c>
    </row>
    <row r="58" spans="1:1">
      <c r="A58" s="14" t="s">
        <v>525</v>
      </c>
    </row>
    <row r="59" spans="1:1">
      <c r="A59" s="14" t="s">
        <v>626</v>
      </c>
    </row>
    <row r="60" spans="1:1">
      <c r="A60" s="14" t="s">
        <v>701</v>
      </c>
    </row>
    <row r="61" spans="1:1">
      <c r="A61" s="14" t="s">
        <v>534</v>
      </c>
    </row>
    <row r="62" spans="1:1">
      <c r="A62" s="14" t="s">
        <v>1294</v>
      </c>
    </row>
    <row r="63" spans="1:1">
      <c r="A63" s="14" t="s">
        <v>458</v>
      </c>
    </row>
    <row r="64" spans="1:1">
      <c r="A64" s="14" t="s">
        <v>769</v>
      </c>
    </row>
    <row r="65" spans="1:1">
      <c r="A65" s="14" t="s">
        <v>557</v>
      </c>
    </row>
    <row r="66" spans="1:1">
      <c r="A66" s="14" t="s">
        <v>1303</v>
      </c>
    </row>
    <row r="67" spans="1:1">
      <c r="A67" s="14" t="s">
        <v>1407</v>
      </c>
    </row>
    <row r="68" spans="1:1">
      <c r="A68" s="14" t="s">
        <v>720</v>
      </c>
    </row>
    <row r="69" spans="1:1">
      <c r="A69" s="14" t="s">
        <v>413</v>
      </c>
    </row>
    <row r="70" spans="1:1">
      <c r="A70" s="14" t="s">
        <v>1172</v>
      </c>
    </row>
    <row r="71" spans="1:1">
      <c r="A71" s="14" t="s">
        <v>1176</v>
      </c>
    </row>
    <row r="72" spans="1:1">
      <c r="A72" s="14" t="s">
        <v>310</v>
      </c>
    </row>
    <row r="73" spans="1:1">
      <c r="A73" s="14" t="s">
        <v>1328</v>
      </c>
    </row>
    <row r="74" spans="1:1">
      <c r="A74" s="14" t="s">
        <v>648</v>
      </c>
    </row>
    <row r="75" spans="1:1">
      <c r="A75" s="14" t="s">
        <v>1042</v>
      </c>
    </row>
    <row r="76" spans="1:1">
      <c r="A76" s="14" t="s">
        <v>1252</v>
      </c>
    </row>
    <row r="77" spans="1:1">
      <c r="A77" s="14" t="s">
        <v>583</v>
      </c>
    </row>
    <row r="78" spans="1:1">
      <c r="A78" s="14" t="s">
        <v>1219</v>
      </c>
    </row>
    <row r="79" spans="1:1">
      <c r="A79" s="14" t="s">
        <v>1225</v>
      </c>
    </row>
    <row r="80" spans="1:1">
      <c r="A80" s="14" t="s">
        <v>611</v>
      </c>
    </row>
    <row r="81" spans="1:1">
      <c r="A81" s="14" t="s">
        <v>586</v>
      </c>
    </row>
    <row r="82" spans="1:1">
      <c r="A82" s="14" t="s">
        <v>629</v>
      </c>
    </row>
    <row r="83" spans="1:1">
      <c r="A83" s="14" t="s">
        <v>643</v>
      </c>
    </row>
    <row r="84" spans="1:1">
      <c r="A84" s="14" t="s">
        <v>673</v>
      </c>
    </row>
    <row r="85" spans="1:1">
      <c r="A85" s="14" t="s">
        <v>712</v>
      </c>
    </row>
    <row r="86" spans="1:1">
      <c r="A86" s="14" t="s">
        <v>456</v>
      </c>
    </row>
    <row r="87" spans="1:1">
      <c r="A87" s="14" t="s">
        <v>734</v>
      </c>
    </row>
    <row r="88" spans="1:1">
      <c r="A88" s="14" t="s">
        <v>1062</v>
      </c>
    </row>
    <row r="89" spans="1:1">
      <c r="A89" s="14" t="s">
        <v>736</v>
      </c>
    </row>
    <row r="90" spans="1:1">
      <c r="A90" s="14" t="s">
        <v>776</v>
      </c>
    </row>
    <row r="91" spans="1:1">
      <c r="A91" s="14" t="s">
        <v>827</v>
      </c>
    </row>
    <row r="92" spans="1:1">
      <c r="A92" s="14" t="s">
        <v>778</v>
      </c>
    </row>
    <row r="93" spans="1:1">
      <c r="A93" s="14" t="s">
        <v>652</v>
      </c>
    </row>
    <row r="94" spans="1:1">
      <c r="A94" s="14" t="s">
        <v>675</v>
      </c>
    </row>
    <row r="95" spans="1:1">
      <c r="A95" s="14" t="s">
        <v>654</v>
      </c>
    </row>
    <row r="96" spans="1:1">
      <c r="A96" s="14" t="s">
        <v>714</v>
      </c>
    </row>
    <row r="97" spans="1:1">
      <c r="A97" s="14" t="s">
        <v>738</v>
      </c>
    </row>
    <row r="98" spans="1:1">
      <c r="A98" s="14" t="s">
        <v>429</v>
      </c>
    </row>
    <row r="99" spans="1:1">
      <c r="A99" s="14" t="s">
        <v>1200</v>
      </c>
    </row>
    <row r="100" spans="1:1">
      <c r="A100" s="14" t="s">
        <v>1064</v>
      </c>
    </row>
    <row r="101" spans="1:1">
      <c r="A101" s="14" t="s">
        <v>631</v>
      </c>
    </row>
    <row r="102" spans="1:1">
      <c r="A102" s="14" t="s">
        <v>645</v>
      </c>
    </row>
    <row r="103" spans="1:1">
      <c r="A103" s="14" t="s">
        <v>656</v>
      </c>
    </row>
    <row r="104" spans="1:1">
      <c r="A104" s="14" t="s">
        <v>677</v>
      </c>
    </row>
    <row r="105" spans="1:1">
      <c r="A105" s="14" t="s">
        <v>590</v>
      </c>
    </row>
    <row r="106" spans="1:1">
      <c r="A106" s="14" t="s">
        <v>592</v>
      </c>
    </row>
    <row r="107" spans="1:1">
      <c r="A107" s="14" t="s">
        <v>453</v>
      </c>
    </row>
    <row r="108" spans="1:1">
      <c r="A108" s="14" t="s">
        <v>1096</v>
      </c>
    </row>
    <row r="109" spans="1:1">
      <c r="A109" s="14" t="s">
        <v>1144</v>
      </c>
    </row>
    <row r="110" spans="1:1">
      <c r="A110" s="14" t="s">
        <v>604</v>
      </c>
    </row>
    <row r="111" spans="1:1">
      <c r="A111" s="14" t="s">
        <v>1239</v>
      </c>
    </row>
    <row r="112" spans="1:1">
      <c r="A112" s="14" t="s">
        <v>409</v>
      </c>
    </row>
    <row r="113" spans="1:1">
      <c r="A113" s="14" t="s">
        <v>1152</v>
      </c>
    </row>
    <row r="114" spans="1:1">
      <c r="A114" s="14" t="s">
        <v>1242</v>
      </c>
    </row>
    <row r="115" spans="1:1">
      <c r="A115" s="14" t="s">
        <v>710</v>
      </c>
    </row>
    <row r="116" spans="1:1">
      <c r="A116" s="14" t="s">
        <v>721</v>
      </c>
    </row>
    <row r="117" spans="1:1">
      <c r="A117" s="14" t="s">
        <v>450</v>
      </c>
    </row>
    <row r="118" spans="1:1">
      <c r="A118" s="14" t="s">
        <v>933</v>
      </c>
    </row>
    <row r="119" spans="1:1">
      <c r="A119" s="14" t="s">
        <v>780</v>
      </c>
    </row>
    <row r="120" spans="1:1">
      <c r="A120" s="14" t="s">
        <v>471</v>
      </c>
    </row>
    <row r="121" spans="1:1">
      <c r="A121" s="14" t="s">
        <v>1038</v>
      </c>
    </row>
    <row r="122" spans="1:1">
      <c r="A122" s="14" t="s">
        <v>742</v>
      </c>
    </row>
    <row r="123" spans="1:1">
      <c r="A123" s="14" t="s">
        <v>432</v>
      </c>
    </row>
    <row r="124" spans="1:1">
      <c r="A124" s="14" t="s">
        <v>1194</v>
      </c>
    </row>
    <row r="125" spans="1:1">
      <c r="A125" s="14" t="s">
        <v>1207</v>
      </c>
    </row>
    <row r="126" spans="1:1">
      <c r="A126" s="14" t="s">
        <v>323</v>
      </c>
    </row>
    <row r="127" spans="1:1">
      <c r="A127" s="14" t="s">
        <v>202</v>
      </c>
    </row>
    <row r="128" spans="1:1">
      <c r="A128" s="14" t="s">
        <v>782</v>
      </c>
    </row>
    <row r="129" spans="1:1">
      <c r="A129" s="14" t="s">
        <v>588</v>
      </c>
    </row>
    <row r="130" spans="1:1">
      <c r="A130" s="14" t="s">
        <v>829</v>
      </c>
    </row>
    <row r="131" spans="1:1">
      <c r="A131" s="14" t="s">
        <v>1098</v>
      </c>
    </row>
    <row r="132" spans="1:1">
      <c r="A132" s="14" t="s">
        <v>1364</v>
      </c>
    </row>
    <row r="133" spans="1:1">
      <c r="A133" s="14" t="s">
        <v>1041</v>
      </c>
    </row>
    <row r="134" spans="1:1">
      <c r="A134" s="14" t="s">
        <v>832</v>
      </c>
    </row>
    <row r="135" spans="1:1">
      <c r="A135" s="14" t="s">
        <v>1079</v>
      </c>
    </row>
    <row r="136" spans="1:1">
      <c r="A136" s="14" t="s">
        <v>948</v>
      </c>
    </row>
    <row r="137" spans="1:1">
      <c r="A137" s="14" t="s">
        <v>658</v>
      </c>
    </row>
    <row r="138" spans="1:1">
      <c r="A138" s="14" t="s">
        <v>679</v>
      </c>
    </row>
    <row r="139" spans="1:1">
      <c r="A139" s="14" t="s">
        <v>682</v>
      </c>
    </row>
    <row r="140" spans="1:1">
      <c r="A140" s="14" t="s">
        <v>687</v>
      </c>
    </row>
    <row r="141" spans="1:1">
      <c r="A141" s="14" t="s">
        <v>690</v>
      </c>
    </row>
    <row r="142" spans="1:1">
      <c r="A142" s="14" t="s">
        <v>666</v>
      </c>
    </row>
    <row r="143" spans="1:1">
      <c r="A143" s="14" t="s">
        <v>951</v>
      </c>
    </row>
    <row r="144" spans="1:1">
      <c r="A144" s="14" t="s">
        <v>964</v>
      </c>
    </row>
    <row r="145" spans="1:1">
      <c r="A145" s="14" t="s">
        <v>1122</v>
      </c>
    </row>
    <row r="146" spans="1:1">
      <c r="A146" s="14" t="s">
        <v>1403</v>
      </c>
    </row>
    <row r="147" spans="1:1">
      <c r="A147" s="14" t="s">
        <v>383</v>
      </c>
    </row>
    <row r="148" spans="1:1">
      <c r="A148" s="14" t="s">
        <v>716</v>
      </c>
    </row>
    <row r="149" spans="1:1">
      <c r="A149" s="14" t="s">
        <v>1129</v>
      </c>
    </row>
    <row r="150" spans="1:1">
      <c r="A150" s="14" t="s">
        <v>1154</v>
      </c>
    </row>
    <row r="151" spans="1:1">
      <c r="A151" s="14" t="s">
        <v>756</v>
      </c>
    </row>
    <row r="152" spans="1:1">
      <c r="A152" s="14" t="s">
        <v>1146</v>
      </c>
    </row>
    <row r="153" spans="1:1">
      <c r="A153" s="14" t="s">
        <v>1150</v>
      </c>
    </row>
    <row r="154" spans="1:1">
      <c r="A154" s="14" t="s">
        <v>1137</v>
      </c>
    </row>
    <row r="155" spans="1:1">
      <c r="A155" s="14" t="s">
        <v>442</v>
      </c>
    </row>
    <row r="156" spans="1:1">
      <c r="A156" s="14" t="s">
        <v>1203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19"/>
  <dimension ref="A1:F11"/>
  <sheetViews>
    <sheetView workbookViewId="0">
      <selection activeCell="H8" sqref="H8"/>
    </sheetView>
  </sheetViews>
  <sheetFormatPr defaultRowHeight="12.75"/>
  <cols>
    <col min="1" max="1" width="9" style="8" bestFit="1" customWidth="1"/>
    <col min="2" max="3" width="15.140625" style="8" customWidth="1"/>
    <col min="4" max="4" width="9.140625" style="8"/>
    <col min="5" max="5" width="11.85546875" style="8" customWidth="1"/>
    <col min="6" max="6" width="23.5703125" style="8" customWidth="1"/>
    <col min="7" max="16384" width="9.140625" style="8"/>
  </cols>
  <sheetData>
    <row r="1" spans="1:6" ht="33" customHeight="1">
      <c r="A1" s="101"/>
      <c r="B1" s="1127" t="s">
        <v>1449</v>
      </c>
      <c r="C1" s="1127"/>
    </row>
    <row r="2" spans="1:6" ht="37.5">
      <c r="A2" s="102" t="s">
        <v>1450</v>
      </c>
      <c r="B2" s="102" t="s">
        <v>1451</v>
      </c>
      <c r="C2" s="102" t="s">
        <v>1452</v>
      </c>
      <c r="E2" s="178" t="s">
        <v>1728</v>
      </c>
      <c r="F2" s="178" t="s">
        <v>29</v>
      </c>
    </row>
    <row r="3" spans="1:6" ht="18.75">
      <c r="A3" s="103" t="s">
        <v>57</v>
      </c>
      <c r="B3" s="104">
        <v>5420</v>
      </c>
      <c r="C3" s="104">
        <v>6395.6</v>
      </c>
      <c r="E3" s="8" t="s">
        <v>1729</v>
      </c>
      <c r="F3" s="8" t="s">
        <v>1732</v>
      </c>
    </row>
    <row r="4" spans="1:6" ht="18.75">
      <c r="A4" s="103" t="s">
        <v>58</v>
      </c>
      <c r="B4" s="104">
        <v>6980</v>
      </c>
      <c r="C4" s="104">
        <v>8236.4</v>
      </c>
      <c r="E4" s="8" t="s">
        <v>1730</v>
      </c>
      <c r="F4" s="8" t="s">
        <v>1733</v>
      </c>
    </row>
    <row r="5" spans="1:6" ht="18.75">
      <c r="A5" s="103" t="s">
        <v>59</v>
      </c>
      <c r="B5" s="104">
        <v>9050</v>
      </c>
      <c r="C5" s="104">
        <v>10679</v>
      </c>
      <c r="E5" s="179" t="s">
        <v>1731</v>
      </c>
      <c r="F5" s="179" t="s">
        <v>1734</v>
      </c>
    </row>
    <row r="6" spans="1:6" ht="18.75">
      <c r="A6" s="103" t="s">
        <v>60</v>
      </c>
      <c r="B6" s="104">
        <v>11900</v>
      </c>
      <c r="C6" s="104">
        <v>14042</v>
      </c>
    </row>
    <row r="7" spans="1:6" ht="18.75">
      <c r="A7" s="103" t="s">
        <v>61</v>
      </c>
      <c r="B7" s="104">
        <v>15930</v>
      </c>
      <c r="C7" s="104">
        <v>18797.400000000001</v>
      </c>
    </row>
    <row r="8" spans="1:6" ht="18.75">
      <c r="A8" s="103" t="s">
        <v>1453</v>
      </c>
      <c r="B8" s="104">
        <v>21520</v>
      </c>
      <c r="C8" s="104">
        <v>25393.599999999999</v>
      </c>
    </row>
    <row r="9" spans="1:6" ht="18.75">
      <c r="A9" s="103" t="s">
        <v>1454</v>
      </c>
      <c r="B9" s="104">
        <v>29430</v>
      </c>
      <c r="C9" s="104">
        <v>34727.4</v>
      </c>
    </row>
    <row r="10" spans="1:6" ht="18.75">
      <c r="A10" s="103" t="s">
        <v>1455</v>
      </c>
      <c r="B10" s="104">
        <v>40400</v>
      </c>
      <c r="C10" s="104">
        <v>47672</v>
      </c>
    </row>
    <row r="11" spans="1:6" ht="18.75">
      <c r="A11" s="541" t="s">
        <v>1832</v>
      </c>
      <c r="B11" s="542">
        <v>0</v>
      </c>
      <c r="C11" s="542">
        <v>0</v>
      </c>
    </row>
  </sheetData>
  <mergeCells count="1">
    <mergeCell ref="B1:C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4"/>
  <dimension ref="A2:B15"/>
  <sheetViews>
    <sheetView workbookViewId="0">
      <selection activeCell="B39" sqref="B39"/>
    </sheetView>
  </sheetViews>
  <sheetFormatPr defaultRowHeight="12.75"/>
  <cols>
    <col min="1" max="1" width="34.140625" customWidth="1"/>
    <col min="2" max="2" width="179.85546875" customWidth="1"/>
  </cols>
  <sheetData>
    <row r="2" spans="1:2" ht="27.75" customHeight="1">
      <c r="A2" s="167" t="s">
        <v>1615</v>
      </c>
      <c r="B2" s="167" t="s">
        <v>1697</v>
      </c>
    </row>
    <row r="3" spans="1:2">
      <c r="A3" s="10" t="s">
        <v>33</v>
      </c>
      <c r="B3" s="10" t="s">
        <v>1718</v>
      </c>
    </row>
    <row r="4" spans="1:2">
      <c r="A4" s="10" t="s">
        <v>1616</v>
      </c>
      <c r="B4" s="10" t="s">
        <v>1719</v>
      </c>
    </row>
    <row r="5" spans="1:2">
      <c r="A5" s="10" t="s">
        <v>40</v>
      </c>
      <c r="B5" s="10" t="s">
        <v>1695</v>
      </c>
    </row>
    <row r="6" spans="1:2">
      <c r="A6" s="10" t="s">
        <v>222</v>
      </c>
      <c r="B6" s="10" t="s">
        <v>1721</v>
      </c>
    </row>
    <row r="7" spans="1:2">
      <c r="A7" s="10" t="s">
        <v>1619</v>
      </c>
      <c r="B7" s="10" t="s">
        <v>1720</v>
      </c>
    </row>
    <row r="8" spans="1:2" s="8" customFormat="1">
      <c r="A8" s="10" t="s">
        <v>43</v>
      </c>
      <c r="B8" s="10" t="s">
        <v>1696</v>
      </c>
    </row>
    <row r="9" spans="1:2">
      <c r="A9" s="10" t="s">
        <v>42</v>
      </c>
      <c r="B9" s="10" t="s">
        <v>1621</v>
      </c>
    </row>
    <row r="10" spans="1:2">
      <c r="A10" s="10" t="s">
        <v>309</v>
      </c>
      <c r="B10" s="10" t="s">
        <v>1626</v>
      </c>
    </row>
    <row r="11" spans="1:2">
      <c r="A11" s="10" t="s">
        <v>1628</v>
      </c>
      <c r="B11" s="10" t="s">
        <v>1624</v>
      </c>
    </row>
    <row r="12" spans="1:2">
      <c r="A12" s="11" t="s">
        <v>1625</v>
      </c>
      <c r="B12" s="11" t="s">
        <v>1627</v>
      </c>
    </row>
    <row r="13" spans="1:2">
      <c r="A13" s="10" t="s">
        <v>1618</v>
      </c>
      <c r="B13" s="10" t="s">
        <v>1622</v>
      </c>
    </row>
    <row r="14" spans="1:2">
      <c r="A14" s="10" t="s">
        <v>1617</v>
      </c>
      <c r="B14" s="10" t="s">
        <v>1620</v>
      </c>
    </row>
    <row r="15" spans="1:2">
      <c r="A15" s="10" t="s">
        <v>44</v>
      </c>
      <c r="B15" s="10" t="s">
        <v>1623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FB566D5FEBAD434182A3936B44D29173" ma:contentTypeVersion="1" ma:contentTypeDescription="Создание документа." ma:contentTypeScope="" ma:versionID="c23208f61e6bece73f2558cd83c54aab">
  <xsd:schema xmlns:xsd="http://www.w3.org/2001/XMLSchema" xmlns:p="http://schemas.microsoft.com/office/2006/metadata/properties" xmlns:ns2="f9f720a5-d838-493c-baf1-6102e60a7ea6" targetNamespace="http://schemas.microsoft.com/office/2006/metadata/properties" ma:root="true" ma:fieldsID="8ec528d7809049ac4168ec3b056066cd" ns2:_="">
    <xsd:import namespace="f9f720a5-d838-493c-baf1-6102e60a7ea6"/>
    <xsd:element name="properties">
      <xsd:complexType>
        <xsd:sequence>
          <xsd:element name="documentManagement">
            <xsd:complexType>
              <xsd:all>
                <xsd:element ref="ns2:Комментарий1" minOccurs="0"/>
              </xsd:all>
            </xsd:complexType>
          </xsd:element>
        </xsd:sequence>
      </xsd:complexType>
    </xsd:element>
  </xsd:schema>
  <xsd:schema xmlns:xsd="http://www.w3.org/2001/XMLSchema" xmlns:dms="http://schemas.microsoft.com/office/2006/documentManagement/types" targetNamespace="f9f720a5-d838-493c-baf1-6102e60a7ea6" elementFormDefault="qualified">
    <xsd:import namespace="http://schemas.microsoft.com/office/2006/documentManagement/types"/>
    <xsd:element name="Комментарий1" ma:index="8" nillable="true" ma:displayName="Комментарий" ma:description="Введите в данное поле комментарий, если это требуется" ma:internalName="_x041a__x043e__x043c__x043c__x0435__x043d__x0442__x0430__x0440__x0438__x0439_1">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содержимого" ma:readOnly="true"/>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Комментарий1 xmlns="f9f720a5-d838-493c-baf1-6102e60a7ea6">Шаблон ТКП со ставками 2016 г. На основе ТКС 2016 г: ставки не изменились в сравнении со ставками, согласованными СИТ на 2015; рентабельность  не превышает 2,5%</Комментарий1>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6F81678-FDF5-4C5C-B3E7-0A3368B263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9f720a5-d838-493c-baf1-6102e60a7ea6"/>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60A116E-24B8-4308-AF85-A736BF81F66A}">
  <ds:schemaRefs>
    <ds:schemaRef ds:uri="http://purl.org/dc/dcmitype/"/>
    <ds:schemaRef ds:uri="http://schemas.microsoft.com/office/2006/documentManagement/types"/>
    <ds:schemaRef ds:uri="http://purl.org/dc/terms/"/>
    <ds:schemaRef ds:uri="http://purl.org/dc/elements/1.1/"/>
    <ds:schemaRef ds:uri="f9f720a5-d838-493c-baf1-6102e60a7ea6"/>
    <ds:schemaRef ds:uri="http://schemas.microsoft.com/office/2006/metadata/properties"/>
    <ds:schemaRef ds:uri="http://www.w3.org/XML/1998/namespace"/>
    <ds:schemaRef ds:uri="http://schemas.openxmlformats.org/package/2006/metadata/core-properties"/>
  </ds:schemaRefs>
</ds:datastoreItem>
</file>

<file path=customXml/itemProps3.xml><?xml version="1.0" encoding="utf-8"?>
<ds:datastoreItem xmlns:ds="http://schemas.openxmlformats.org/officeDocument/2006/customXml" ds:itemID="{95B12E7C-ACDC-49C8-BFD4-F47BA1C24D6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22</vt:i4>
      </vt:variant>
      <vt:variant>
        <vt:lpstr>Именованные диапазоны</vt:lpstr>
      </vt:variant>
      <vt:variant>
        <vt:i4>37</vt:i4>
      </vt:variant>
    </vt:vector>
  </HeadingPairs>
  <TitlesOfParts>
    <vt:vector size="59" baseType="lpstr">
      <vt:lpstr>Аннотация по заполнению</vt:lpstr>
      <vt:lpstr>ДРП - свод</vt:lpstr>
      <vt:lpstr>Бюджет проекта по оплатам</vt:lpstr>
      <vt:lpstr>Работы - НН-ОЦО</vt:lpstr>
      <vt:lpstr>Командировочные расходы</vt:lpstr>
      <vt:lpstr>ФИО</vt:lpstr>
      <vt:lpstr>Стоимость подрядных работ</vt:lpstr>
      <vt:lpstr>Оборудование_ПО</vt:lpstr>
      <vt:lpstr>Свод CapEx-OpEx</vt:lpstr>
      <vt:lpstr>Бюджет_подряд_оплаты</vt:lpstr>
      <vt:lpstr>Для загрузки</vt:lpstr>
      <vt:lpstr>СДЗ</vt:lpstr>
      <vt:lpstr>сбор</vt:lpstr>
      <vt:lpstr>ком</vt:lpstr>
      <vt:lpstr>подряд</vt:lpstr>
      <vt:lpstr>прочие</vt:lpstr>
      <vt:lpstr>админка</vt:lpstr>
      <vt:lpstr>Мэппинг</vt:lpstr>
      <vt:lpstr>справочник сотрудников</vt:lpstr>
      <vt:lpstr>справочник подразделений</vt:lpstr>
      <vt:lpstr>справочник</vt:lpstr>
      <vt:lpstr>Справочник ролей</vt:lpstr>
      <vt:lpstr>COST</vt:lpstr>
      <vt:lpstr>KATEGORY</vt:lpstr>
      <vt:lpstr>LABOUR</vt:lpstr>
      <vt:lpstr>Total</vt:lpstr>
      <vt:lpstr>Total_COM</vt:lpstr>
      <vt:lpstr>Total_contr</vt:lpstr>
      <vt:lpstr>Итого</vt:lpstr>
      <vt:lpstr>к_до_доп</vt:lpstr>
      <vt:lpstr>к_до_оцо</vt:lpstr>
      <vt:lpstr>к_итого_доп</vt:lpstr>
      <vt:lpstr>к_итого_оцо</vt:lpstr>
      <vt:lpstr>к2017доп</vt:lpstr>
      <vt:lpstr>к2017оцо</vt:lpstr>
      <vt:lpstr>к2018доп</vt:lpstr>
      <vt:lpstr>к2018оцо</vt:lpstr>
      <vt:lpstr>к2019доп</vt:lpstr>
      <vt:lpstr>к2019оцо</vt:lpstr>
      <vt:lpstr>к2020доп</vt:lpstr>
      <vt:lpstr>к2020оцо</vt:lpstr>
      <vt:lpstr>к2021доп</vt:lpstr>
      <vt:lpstr>к2021оцо</vt:lpstr>
      <vt:lpstr>о_до_доп</vt:lpstr>
      <vt:lpstr>о_до_оцо</vt:lpstr>
      <vt:lpstr>о_итого_доп</vt:lpstr>
      <vt:lpstr>о_итого_оцо</vt:lpstr>
      <vt:lpstr>о2017доп</vt:lpstr>
      <vt:lpstr>о2017оцо</vt:lpstr>
      <vt:lpstr>о2018доп</vt:lpstr>
      <vt:lpstr>о2018оцо</vt:lpstr>
      <vt:lpstr>о2019доп</vt:lpstr>
      <vt:lpstr>о2019оцо</vt:lpstr>
      <vt:lpstr>о2020доп</vt:lpstr>
      <vt:lpstr>о2020оцо</vt:lpstr>
      <vt:lpstr>о2021доп</vt:lpstr>
      <vt:lpstr>о2021оцо</vt:lpstr>
      <vt:lpstr>'ДРП - свод'!Область_печати</vt:lpstr>
      <vt:lpstr>'Работы - НН-ОЦО'!Область_печати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Исмаилова Марьям Равильевна</dc:creator>
  <cp:lastModifiedBy>Ilya</cp:lastModifiedBy>
  <cp:lastPrinted>2017-09-05T11:15:26Z</cp:lastPrinted>
  <dcterms:created xsi:type="dcterms:W3CDTF">2012-11-06T12:57:54Z</dcterms:created>
  <dcterms:modified xsi:type="dcterms:W3CDTF">2018-02-06T08:41:40Z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0x010100FB566D5FEBAD434182A3936B44D29173</vt:lpwstr>
  </property>
</Properties>
</file>